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7da4e9c8a47fea5/Documents/Excel Internship/Day 1 Task/"/>
    </mc:Choice>
  </mc:AlternateContent>
  <xr:revisionPtr revIDLastSave="4" documentId="8_{5475277A-2C13-41E6-9482-46D2D3657FD5}" xr6:coauthVersionLast="47" xr6:coauthVersionMax="47" xr10:uidLastSave="{02818DD2-37EC-480C-9314-AC4E27456497}"/>
  <bookViews>
    <workbookView xWindow="-108" yWindow="-108" windowWidth="23256" windowHeight="12456" activeTab="1" xr2:uid="{AB70DA44-5AC3-47E7-8979-50359B0C1B0D}"/>
  </bookViews>
  <sheets>
    <sheet name="Orders" sheetId="1" r:id="rId1"/>
    <sheet name="OrderLines" sheetId="2" r:id="rId2"/>
    <sheet name="Menu" sheetId="3" r:id="rId3"/>
    <sheet name="Staff" sheetId="4" r:id="rId4"/>
    <sheet name="Inventory" sheetId="5" r:id="rId5"/>
    <sheet name="Suppliers" sheetId="6" r:id="rId6"/>
    <sheet name="WasteLog" sheetId="7" r:id="rId7"/>
    <sheet name="Feedback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</calcChain>
</file>

<file path=xl/sharedStrings.xml><?xml version="1.0" encoding="utf-8"?>
<sst xmlns="http://schemas.openxmlformats.org/spreadsheetml/2006/main" count="4557" uniqueCount="523">
  <si>
    <t>OrderID</t>
  </si>
  <si>
    <t>OrderDateTime</t>
  </si>
  <si>
    <t>Branch</t>
  </si>
  <si>
    <t>CustomerType</t>
  </si>
  <si>
    <t>PaymentType</t>
  </si>
  <si>
    <t>Shift</t>
  </si>
  <si>
    <t>StaffID</t>
  </si>
  <si>
    <t>DiscountPct</t>
  </si>
  <si>
    <t>O00001</t>
  </si>
  <si>
    <t>Head Office Café</t>
  </si>
  <si>
    <t>Visitor</t>
  </si>
  <si>
    <t>UPI</t>
  </si>
  <si>
    <t>Breakfast</t>
  </si>
  <si>
    <t>E016</t>
  </si>
  <si>
    <t>O00002</t>
  </si>
  <si>
    <t>Plant 2 Canteen</t>
  </si>
  <si>
    <t>Staff</t>
  </si>
  <si>
    <t>Cash</t>
  </si>
  <si>
    <t>Dinner</t>
  </si>
  <si>
    <t>E004</t>
  </si>
  <si>
    <t>O00003</t>
  </si>
  <si>
    <t>Card</t>
  </si>
  <si>
    <t>Lunch</t>
  </si>
  <si>
    <t>E014</t>
  </si>
  <si>
    <t>O00004</t>
  </si>
  <si>
    <t>O00005</t>
  </si>
  <si>
    <t>O00006</t>
  </si>
  <si>
    <t>Plant 1 Canteen</t>
  </si>
  <si>
    <t>Worker</t>
  </si>
  <si>
    <t>E015</t>
  </si>
  <si>
    <t>O00007</t>
  </si>
  <si>
    <t>O00008</t>
  </si>
  <si>
    <t>O00009</t>
  </si>
  <si>
    <t>E003</t>
  </si>
  <si>
    <t>O00010</t>
  </si>
  <si>
    <t>O00011</t>
  </si>
  <si>
    <t>E013</t>
  </si>
  <si>
    <t>O00012</t>
  </si>
  <si>
    <t>E010</t>
  </si>
  <si>
    <t>O00013</t>
  </si>
  <si>
    <t>O00014</t>
  </si>
  <si>
    <t>E002</t>
  </si>
  <si>
    <t>O00015</t>
  </si>
  <si>
    <t>E011</t>
  </si>
  <si>
    <t>O00016</t>
  </si>
  <si>
    <t>E017</t>
  </si>
  <si>
    <t>O00017</t>
  </si>
  <si>
    <t>O00018</t>
  </si>
  <si>
    <t>E008</t>
  </si>
  <si>
    <t>O00019</t>
  </si>
  <si>
    <t>O00020</t>
  </si>
  <si>
    <t>O00021</t>
  </si>
  <si>
    <t>O00022</t>
  </si>
  <si>
    <t>O00023</t>
  </si>
  <si>
    <t>O00024</t>
  </si>
  <si>
    <t>E007</t>
  </si>
  <si>
    <t>O00025</t>
  </si>
  <si>
    <t>O00026</t>
  </si>
  <si>
    <t>O00027</t>
  </si>
  <si>
    <t>O00028</t>
  </si>
  <si>
    <t>O00029</t>
  </si>
  <si>
    <t>E018</t>
  </si>
  <si>
    <t>O00030</t>
  </si>
  <si>
    <t>O00031</t>
  </si>
  <si>
    <t>E009</t>
  </si>
  <si>
    <t>O00032</t>
  </si>
  <si>
    <t>O00033</t>
  </si>
  <si>
    <t>O00034</t>
  </si>
  <si>
    <t>O00035</t>
  </si>
  <si>
    <t>E001</t>
  </si>
  <si>
    <t>O00036</t>
  </si>
  <si>
    <t>O00037</t>
  </si>
  <si>
    <t>E005</t>
  </si>
  <si>
    <t>O00038</t>
  </si>
  <si>
    <t>E012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</si>
  <si>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</si>
  <si>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</si>
  <si>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</si>
  <si>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</si>
  <si>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</si>
  <si>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</si>
  <si>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</si>
  <si>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</si>
  <si>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</si>
  <si>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</si>
  <si>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</si>
  <si>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</si>
  <si>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</si>
  <si>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</si>
  <si>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</si>
  <si>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</si>
  <si>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</si>
  <si>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</si>
  <si>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</si>
  <si>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</si>
  <si>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E006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</si>
  <si>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</si>
  <si>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</si>
  <si>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</si>
  <si>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</si>
  <si>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</si>
  <si>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</si>
  <si>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</si>
  <si>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</si>
  <si>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</si>
  <si>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</si>
  <si>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</si>
  <si>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</si>
  <si>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</si>
  <si>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</si>
  <si>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</si>
  <si>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</si>
  <si>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</si>
  <si>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</si>
  <si>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</si>
  <si>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</si>
  <si>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</si>
  <si>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</si>
  <si>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</si>
  <si>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</si>
  <si>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</si>
  <si>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</si>
  <si>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</si>
  <si>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</si>
  <si>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</si>
  <si>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</si>
  <si>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</si>
  <si>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</si>
  <si>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</si>
  <si>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</si>
  <si>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</si>
  <si>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</si>
  <si>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</si>
  <si>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</si>
  <si>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</si>
  <si>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</si>
  <si>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</si>
  <si>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</si>
  <si>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</si>
  <si>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</si>
  <si>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</si>
  <si>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</si>
  <si>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</si>
  <si>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</si>
  <si>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</si>
  <si>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</si>
  <si>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</si>
  <si>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</si>
  <si>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</si>
  <si>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</si>
  <si>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</si>
  <si>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</si>
  <si>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</si>
  <si>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</si>
  <si>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</si>
  <si>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</si>
  <si>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</si>
  <si>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</si>
  <si>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</si>
  <si>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</si>
  <si>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</si>
  <si>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</si>
  <si>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</si>
  <si>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</si>
  <si>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</si>
  <si>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</si>
  <si>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</si>
  <si>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</si>
  <si>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</si>
  <si>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</si>
  <si>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</si>
  <si>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</si>
  <si>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</si>
  <si>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</si>
  <si>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</si>
  <si>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</si>
  <si>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</si>
  <si>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</si>
  <si>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</si>
  <si>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</si>
  <si>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</si>
  <si>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</si>
  <si>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</si>
  <si>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</si>
  <si>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</si>
  <si>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</si>
  <si>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</si>
  <si>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</si>
  <si>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</si>
  <si>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</si>
  <si>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</si>
  <si>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</si>
  <si>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</si>
  <si>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</si>
  <si>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</si>
  <si>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</si>
  <si>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</si>
  <si>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</si>
  <si>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</si>
  <si>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</si>
  <si>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</si>
  <si>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</si>
  <si>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</si>
  <si>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</si>
  <si>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</si>
  <si>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</si>
  <si>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</si>
  <si>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</si>
  <si>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</si>
  <si>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</si>
  <si>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</si>
  <si>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</si>
  <si>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</si>
  <si>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</si>
  <si>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</si>
  <si>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</si>
  <si>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</si>
  <si>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</si>
  <si>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</si>
  <si>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</si>
  <si>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</si>
  <si>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</si>
  <si>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</si>
  <si>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</si>
  <si>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</si>
  <si>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</si>
  <si>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</si>
  <si>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</si>
  <si>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</si>
  <si>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</si>
  <si>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</si>
  <si>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</si>
  <si>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</si>
  <si>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</si>
  <si>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</si>
  <si>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</si>
  <si>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</si>
  <si>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</si>
  <si>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</si>
  <si>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</si>
  <si>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</si>
  <si>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</si>
  <si>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</si>
  <si>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</si>
  <si>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</si>
  <si>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</si>
  <si>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</si>
  <si>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</si>
  <si>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</si>
  <si>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</si>
  <si>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</si>
  <si>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</si>
  <si>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</si>
  <si>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</si>
  <si>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</si>
  <si>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</si>
  <si>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</si>
  <si>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</si>
  <si>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</si>
  <si>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</si>
  <si>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</si>
  <si>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</si>
  <si>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</si>
  <si>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</si>
  <si>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</si>
  <si>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</si>
  <si>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</si>
  <si>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</si>
  <si>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</si>
  <si>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</si>
  <si>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</si>
  <si>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</si>
  <si>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</si>
  <si>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</si>
  <si>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</si>
  <si>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</si>
  <si>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</si>
  <si>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</si>
  <si>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</si>
  <si>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</si>
  <si>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</si>
  <si>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</si>
  <si>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</si>
  <si>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</si>
  <si>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</si>
  <si>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</si>
  <si>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</si>
  <si>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</si>
  <si>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</si>
  <si>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</si>
  <si>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</si>
  <si>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</si>
  <si>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</si>
  <si>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</si>
  <si>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</si>
  <si>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</si>
  <si>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</si>
  <si>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</si>
  <si>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</si>
  <si>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</si>
  <si>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</si>
  <si>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</si>
  <si>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</si>
  <si>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</si>
  <si>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</si>
  <si>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</si>
  <si>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</si>
  <si>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</si>
  <si>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</si>
  <si>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</si>
  <si>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</si>
  <si>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</si>
  <si>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</si>
  <si>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</si>
  <si>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</si>
  <si>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</si>
  <si>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</si>
  <si>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</si>
  <si>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</si>
  <si>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</si>
  <si>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</si>
  <si>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</si>
  <si>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</si>
  <si>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</si>
  <si>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</si>
  <si>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</si>
  <si>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</si>
  <si>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</si>
  <si>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</si>
  <si>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</si>
  <si>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</si>
  <si>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</si>
  <si>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</si>
  <si>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</si>
  <si>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</si>
  <si>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</si>
  <si>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</si>
  <si>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</si>
  <si>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</si>
  <si>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</si>
  <si>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</si>
  <si>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</si>
  <si>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</si>
  <si>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</si>
  <si>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</si>
  <si>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</si>
  <si>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</si>
  <si>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</si>
  <si>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</si>
  <si>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</si>
  <si>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</si>
  <si>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</si>
  <si>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</si>
  <si>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</si>
  <si>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</si>
  <si>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</si>
  <si>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</si>
  <si>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</si>
  <si>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</si>
  <si>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</si>
  <si>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</si>
  <si>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</si>
  <si>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</si>
  <si>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</si>
  <si>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</si>
  <si>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</si>
  <si>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</si>
  <si>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</si>
  <si>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</si>
  <si>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</si>
  <si>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</si>
  <si>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</si>
  <si>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</si>
  <si>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</si>
  <si>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</si>
  <si>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</si>
  <si>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</si>
  <si>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</si>
  <si>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</si>
  <si>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</si>
  <si>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</si>
  <si>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</si>
  <si>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</si>
  <si>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</si>
  <si>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</si>
  <si>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</si>
  <si>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</si>
  <si>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</si>
  <si>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</si>
  <si>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</si>
  <si>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</si>
  <si>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</si>
  <si>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</si>
  <si>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</si>
  <si>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</si>
  <si>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</si>
  <si>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</si>
  <si>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</si>
  <si>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SKU</t>
  </si>
  <si>
    <t>Qty</t>
  </si>
  <si>
    <t>UnitPrice</t>
  </si>
  <si>
    <t>SHJ7XV</t>
  </si>
  <si>
    <t>BTIQJ7</t>
  </si>
  <si>
    <t>DH9SDB</t>
  </si>
  <si>
    <t>BOC6UZ</t>
  </si>
  <si>
    <t>H3A3ZM</t>
  </si>
  <si>
    <t>SZBIKC</t>
  </si>
  <si>
    <t>HH1DNM</t>
  </si>
  <si>
    <t>SCKW5N</t>
  </si>
  <si>
    <t>B0T0PV</t>
  </si>
  <si>
    <t>BXO6QJ</t>
  </si>
  <si>
    <t>BHL1C3</t>
  </si>
  <si>
    <t>DYTJXE</t>
  </si>
  <si>
    <t>DFFYVN</t>
  </si>
  <si>
    <t>D9T84A</t>
  </si>
  <si>
    <t>HDPBHS</t>
  </si>
  <si>
    <t>HXAJI0</t>
  </si>
  <si>
    <t>HUZZPQ</t>
  </si>
  <si>
    <t>SV30T9</t>
  </si>
  <si>
    <t>S5NQ4F</t>
  </si>
  <si>
    <t>ItemName</t>
  </si>
  <si>
    <t>Category</t>
  </si>
  <si>
    <t>SupplierID</t>
  </si>
  <si>
    <t>UnitCost</t>
  </si>
  <si>
    <t>Veg Thali</t>
  </si>
  <si>
    <t>Hot Meal</t>
  </si>
  <si>
    <t>S009</t>
  </si>
  <si>
    <t>Chicken Thali</t>
  </si>
  <si>
    <t>S001</t>
  </si>
  <si>
    <t>Rajma Chawal</t>
  </si>
  <si>
    <t>S005</t>
  </si>
  <si>
    <t>Paneer Butter Masala + Naan</t>
  </si>
  <si>
    <t>S003</t>
  </si>
  <si>
    <t>Egg Curry + Rice</t>
  </si>
  <si>
    <t>S006</t>
  </si>
  <si>
    <t>Samosa</t>
  </si>
  <si>
    <t>Snack</t>
  </si>
  <si>
    <t>S007</t>
  </si>
  <si>
    <t>Veg Sandwich</t>
  </si>
  <si>
    <t>S004</t>
  </si>
  <si>
    <t>Paneer Roll</t>
  </si>
  <si>
    <t>Masala Puff</t>
  </si>
  <si>
    <t>Poha</t>
  </si>
  <si>
    <t>Tea</t>
  </si>
  <si>
    <t>Beverage</t>
  </si>
  <si>
    <t>Coffee</t>
  </si>
  <si>
    <t>Masala Chaas</t>
  </si>
  <si>
    <t>Nimbu Pani</t>
  </si>
  <si>
    <t>Bottled Water</t>
  </si>
  <si>
    <t>Gulab Jamun (2 pc)</t>
  </si>
  <si>
    <t>Dessert</t>
  </si>
  <si>
    <t>S002</t>
  </si>
  <si>
    <t>Kheer Cup</t>
  </si>
  <si>
    <t>S010</t>
  </si>
  <si>
    <t>Brownie</t>
  </si>
  <si>
    <t>Fruit Cup</t>
  </si>
  <si>
    <t>StaffName</t>
  </si>
  <si>
    <t>Role</t>
  </si>
  <si>
    <t>HourlyRateINR</t>
  </si>
  <si>
    <t>Tarun</t>
  </si>
  <si>
    <t>Cashier</t>
  </si>
  <si>
    <t>Payal</t>
  </si>
  <si>
    <t>Karan</t>
  </si>
  <si>
    <t>Cook</t>
  </si>
  <si>
    <t>Vikram</t>
  </si>
  <si>
    <t>Rina</t>
  </si>
  <si>
    <t>Sanjay</t>
  </si>
  <si>
    <t>Manish</t>
  </si>
  <si>
    <t>Pooja</t>
  </si>
  <si>
    <t>Server</t>
  </si>
  <si>
    <t>Sourav</t>
  </si>
  <si>
    <t>Neha</t>
  </si>
  <si>
    <t>Amit</t>
  </si>
  <si>
    <t>Sneha</t>
  </si>
  <si>
    <t>Iqbal</t>
  </si>
  <si>
    <t>OnHandQty</t>
  </si>
  <si>
    <t>ReorderPoint</t>
  </si>
  <si>
    <t>LeadTimeDays</t>
  </si>
  <si>
    <t>LastRestockDate</t>
  </si>
  <si>
    <t>SupplierName</t>
  </si>
  <si>
    <t>City</t>
  </si>
  <si>
    <t>Phone</t>
  </si>
  <si>
    <t>DailyDairy 1</t>
  </si>
  <si>
    <t>Howrah</t>
  </si>
  <si>
    <t>+91-9624636385</t>
  </si>
  <si>
    <t>BakersHub 2</t>
  </si>
  <si>
    <t>Durgapur</t>
  </si>
  <si>
    <t>+91-9120912992</t>
  </si>
  <si>
    <t>FreshFoods 3</t>
  </si>
  <si>
    <t>+91-9220117054</t>
  </si>
  <si>
    <t>Tea&amp;Co 4</t>
  </si>
  <si>
    <t>Jamshedpur</t>
  </si>
  <si>
    <t>+91-9489747629</t>
  </si>
  <si>
    <t>SpiceRoute 5</t>
  </si>
  <si>
    <t>+91-9992994062</t>
  </si>
  <si>
    <t>DailyDairy 6</t>
  </si>
  <si>
    <t>+91-9966267851</t>
  </si>
  <si>
    <t>SpiceRoute 7</t>
  </si>
  <si>
    <t>+91-9430190783</t>
  </si>
  <si>
    <t>S008</t>
  </si>
  <si>
    <t>AgroDelight 8</t>
  </si>
  <si>
    <t>Kolkata</t>
  </si>
  <si>
    <t>+91-9357109965</t>
  </si>
  <si>
    <t>Tea&amp;Co 9</t>
  </si>
  <si>
    <t>+91-9162196678</t>
  </si>
  <si>
    <t>SpiceRoute 10</t>
  </si>
  <si>
    <t>+91-9358633898</t>
  </si>
  <si>
    <t>Date</t>
  </si>
  <si>
    <t>Reason</t>
  </si>
  <si>
    <t>Spoilage</t>
  </si>
  <si>
    <t>Damaged</t>
  </si>
  <si>
    <t>Expired</t>
  </si>
  <si>
    <t>Overproduction</t>
  </si>
  <si>
    <t>Rating</t>
  </si>
  <si>
    <t>Comment</t>
  </si>
  <si>
    <t>Ok</t>
  </si>
  <si>
    <t>Great staff</t>
  </si>
  <si>
    <t>Good</t>
  </si>
  <si>
    <t>Less spicy</t>
  </si>
  <si>
    <t>Loved chai</t>
  </si>
  <si>
    <t>Crowded</t>
  </si>
  <si>
    <t>Slow service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</si>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</sst>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4F855-4FAB-46BE-900C-BD07B30BF31B}" name="Table1" displayName="Table1" ref="A1:H925" totalsRowShown="0" headerRowDxfId="0">
  <autoFilter ref="A1:H925" xr:uid="{C854F855-4FAB-46BE-900C-BD07B30BF31B}"/>
  <tableColumns count="8">
    <tableColumn id="1" xr3:uid="{188AD749-6563-4B65-B327-8FC95FD745D6}" name="OrderID"/>
    <tableColumn id="2" xr3:uid="{5131FE47-8C83-4BE6-B475-70171833BBE1}" name="SKU"/>
    <tableColumn id="3" xr3:uid="{39601ACE-A7A8-449A-836A-85CEEFA59ACA}" name="Qty"/>
    <tableColumn id="4" xr3:uid="{0BDFF15D-E108-4A9B-88F2-5DD4407224E4}" name="UnitPrice">
      <calculatedColumnFormula>VLOOKUP(B2, Menu!$A:$F, 6, 0)</calculatedColumnFormula>
    </tableColumn>
    <tableColumn id="5" xr3:uid="{40FBA542-CE9C-408C-B6BD-0D4FF22577E4}" name="UnitCost">
      <calculatedColumnFormula>VLOOKUP(B2, Menu!$A:$F, 5, 0)</calculatedColumnFormula>
    </tableColumn>
    <tableColumn id="6" xr3:uid="{ED6B9DA2-5CF7-4E58-8443-4AEDB059DECE}" name="Category">
      <calculatedColumnFormula>VLOOKUP(B2, Menu!$A:$F, 3, 0)</calculatedColumnFormula>
    </tableColumn>
    <tableColumn id="7" xr3:uid="{87D4D1B8-E44A-430B-AFB8-1706577FCDF8}" name="OrderDate" dataDxfId="1">
      <calculatedColumnFormula>VLOOKUP(A2, Orders!$A:$B, 2, 0)</calculatedColumnFormula>
    </tableColumn>
    <tableColumn id="8" xr3:uid="{86FAB342-BC99-4663-8BA2-CFDBA35BC3D4}" name="Branch">
      <calculatedColumnFormula>VLOOKUP(A2, Orders!$A:$C, 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BC0-0F11-45B2-8A82-CAFF1D8A612A}">
  <dimension ref="A1:G361"/>
  <sheetViews>
    <sheetView workbookViewId="0">
      <selection activeCell="L18" sqref="L18"/>
    </sheetView>
  </sheetViews>
  <sheetFormatPr defaultRowHeight="14.4" x14ac:dyDescent="0.3"/>
  <cols>
    <col min="1" max="1" width="7.5546875" bestFit="1" customWidth="1"/>
    <col min="2" max="2" width="15.21875" bestFit="1" customWidth="1"/>
    <col min="3" max="3" width="14.77734375" bestFit="1" customWidth="1"/>
    <col min="4" max="4" width="13.109375" bestFit="1" customWidth="1"/>
    <col min="5" max="5" width="12.2187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3">
      <c r="A2" t="s">
        <v>8</v>
      </c>
      <c r="B2" s="2">
        <v>45852.096203703702</v>
      </c>
      <c r="C2" t="s">
        <v>9</v>
      </c>
      <c r="D2" t="s">
        <v>10</v>
      </c>
      <c r="E2" t="s">
        <v>11</v>
      </c>
      <c r="F2" t="s">
        <v>12</v>
      </c>
      <c r="G2">
        <v>0.06</v>
      </c>
    </row>
    <row r="3" spans="1:7" x14ac:dyDescent="0.3">
      <c r="A3" t="s">
        <v>14</v>
      </c>
      <c r="B3" s="2">
        <v>45862.842685185176</v>
      </c>
      <c r="C3" t="s">
        <v>15</v>
      </c>
      <c r="D3" t="s">
        <v>16</v>
      </c>
      <c r="E3" t="s">
        <v>17</v>
      </c>
      <c r="F3" t="s">
        <v>18</v>
      </c>
      <c r="G3">
        <v>0.05</v>
      </c>
    </row>
    <row r="4" spans="1:7" x14ac:dyDescent="0.3">
      <c r="A4" t="s">
        <v>20</v>
      </c>
      <c r="B4" s="2">
        <v>45848.661041666674</v>
      </c>
      <c r="C4" t="s">
        <v>9</v>
      </c>
      <c r="D4" t="s">
        <v>16</v>
      </c>
      <c r="E4" t="s">
        <v>21</v>
      </c>
      <c r="F4" t="s">
        <v>22</v>
      </c>
      <c r="G4">
        <v>0</v>
      </c>
    </row>
    <row r="5" spans="1:7" x14ac:dyDescent="0.3">
      <c r="A5" t="s">
        <v>24</v>
      </c>
      <c r="B5" s="2">
        <v>45879.1640625</v>
      </c>
      <c r="C5" t="s">
        <v>15</v>
      </c>
      <c r="D5" t="s">
        <v>10</v>
      </c>
      <c r="E5" t="s">
        <v>17</v>
      </c>
      <c r="F5" t="s">
        <v>12</v>
      </c>
      <c r="G5">
        <v>0.03</v>
      </c>
    </row>
    <row r="6" spans="1:7" x14ac:dyDescent="0.3">
      <c r="A6" t="s">
        <v>25</v>
      </c>
      <c r="B6" s="2">
        <v>45845.134895833333</v>
      </c>
      <c r="C6" t="s">
        <v>15</v>
      </c>
      <c r="D6" t="s">
        <v>10</v>
      </c>
      <c r="E6" t="s">
        <v>21</v>
      </c>
      <c r="F6" t="s">
        <v>12</v>
      </c>
      <c r="G6">
        <v>0.04</v>
      </c>
    </row>
    <row r="7" spans="1:7" x14ac:dyDescent="0.3">
      <c r="A7" t="s">
        <v>26</v>
      </c>
      <c r="B7" s="2">
        <v>45863.392129629632</v>
      </c>
      <c r="C7" t="s">
        <v>27</v>
      </c>
      <c r="D7" t="s">
        <v>28</v>
      </c>
      <c r="E7" t="s">
        <v>11</v>
      </c>
      <c r="F7" t="s">
        <v>12</v>
      </c>
      <c r="G7">
        <v>0.1</v>
      </c>
    </row>
    <row r="8" spans="1:7" x14ac:dyDescent="0.3">
      <c r="A8" t="s">
        <v>30</v>
      </c>
      <c r="B8" s="2">
        <v>45852.860347222217</v>
      </c>
      <c r="C8" t="s">
        <v>15</v>
      </c>
      <c r="D8" t="s">
        <v>28</v>
      </c>
      <c r="E8" t="s">
        <v>21</v>
      </c>
      <c r="F8" t="s">
        <v>18</v>
      </c>
      <c r="G8">
        <v>7.0000000000000007E-2</v>
      </c>
    </row>
    <row r="9" spans="1:7" x14ac:dyDescent="0.3">
      <c r="A9" t="s">
        <v>31</v>
      </c>
      <c r="B9" s="2">
        <v>45863.503796296303</v>
      </c>
      <c r="C9" t="s">
        <v>27</v>
      </c>
      <c r="D9" t="s">
        <v>16</v>
      </c>
      <c r="E9" t="s">
        <v>11</v>
      </c>
      <c r="F9" t="s">
        <v>22</v>
      </c>
      <c r="G9">
        <v>0</v>
      </c>
    </row>
    <row r="10" spans="1:7" x14ac:dyDescent="0.3">
      <c r="A10" t="s">
        <v>32</v>
      </c>
      <c r="B10" s="2">
        <v>45844.161631944437</v>
      </c>
      <c r="C10" t="s">
        <v>9</v>
      </c>
      <c r="D10" t="s">
        <v>10</v>
      </c>
      <c r="E10" t="s">
        <v>17</v>
      </c>
      <c r="F10" t="s">
        <v>12</v>
      </c>
      <c r="G10">
        <v>7.0000000000000007E-2</v>
      </c>
    </row>
    <row r="11" spans="1:7" x14ac:dyDescent="0.3">
      <c r="A11" t="s">
        <v>34</v>
      </c>
      <c r="B11" s="2">
        <v>45862.200162037043</v>
      </c>
      <c r="C11" t="s">
        <v>27</v>
      </c>
      <c r="D11" t="s">
        <v>16</v>
      </c>
      <c r="E11" t="s">
        <v>21</v>
      </c>
      <c r="F11" t="s">
        <v>12</v>
      </c>
      <c r="G11">
        <v>0.04</v>
      </c>
    </row>
    <row r="12" spans="1:7" x14ac:dyDescent="0.3">
      <c r="A12" t="s">
        <v>35</v>
      </c>
      <c r="B12" s="2">
        <v>45860.002800925933</v>
      </c>
      <c r="C12" t="s">
        <v>15</v>
      </c>
      <c r="D12" t="s">
        <v>28</v>
      </c>
      <c r="E12" t="s">
        <v>17</v>
      </c>
      <c r="F12" t="s">
        <v>12</v>
      </c>
      <c r="G12">
        <v>0.03</v>
      </c>
    </row>
    <row r="13" spans="1:7" x14ac:dyDescent="0.3">
      <c r="A13" t="s">
        <v>37</v>
      </c>
      <c r="B13" s="2">
        <v>45839.45925925926</v>
      </c>
      <c r="C13" t="s">
        <v>15</v>
      </c>
      <c r="D13" t="s">
        <v>16</v>
      </c>
      <c r="E13" t="s">
        <v>21</v>
      </c>
      <c r="F13" t="s">
        <v>22</v>
      </c>
      <c r="G13">
        <v>0.08</v>
      </c>
    </row>
    <row r="14" spans="1:7" x14ac:dyDescent="0.3">
      <c r="A14" t="s">
        <v>39</v>
      </c>
      <c r="B14" s="2">
        <v>45880.31994212963</v>
      </c>
      <c r="C14" t="s">
        <v>9</v>
      </c>
      <c r="D14" t="s">
        <v>10</v>
      </c>
      <c r="E14" t="s">
        <v>11</v>
      </c>
      <c r="F14" t="s">
        <v>12</v>
      </c>
      <c r="G14">
        <v>0.1</v>
      </c>
    </row>
    <row r="15" spans="1:7" x14ac:dyDescent="0.3">
      <c r="A15" t="s">
        <v>40</v>
      </c>
      <c r="B15" s="2">
        <v>45854.279270833344</v>
      </c>
      <c r="C15" t="s">
        <v>27</v>
      </c>
      <c r="D15" t="s">
        <v>16</v>
      </c>
      <c r="E15" t="s">
        <v>17</v>
      </c>
      <c r="F15" t="s">
        <v>12</v>
      </c>
      <c r="G15">
        <v>0.1</v>
      </c>
    </row>
    <row r="16" spans="1:7" x14ac:dyDescent="0.3">
      <c r="A16" t="s">
        <v>42</v>
      </c>
      <c r="B16" s="2">
        <v>45895.482824074083</v>
      </c>
      <c r="C16" t="s">
        <v>9</v>
      </c>
      <c r="D16" t="s">
        <v>10</v>
      </c>
      <c r="E16" t="s">
        <v>17</v>
      </c>
      <c r="F16" t="s">
        <v>22</v>
      </c>
      <c r="G16">
        <v>0.03</v>
      </c>
    </row>
    <row r="17" spans="1:7" x14ac:dyDescent="0.3">
      <c r="A17" t="s">
        <v>44</v>
      </c>
      <c r="B17" s="2">
        <v>45844.800196759257</v>
      </c>
      <c r="C17" t="s">
        <v>27</v>
      </c>
      <c r="D17" t="s">
        <v>10</v>
      </c>
      <c r="E17" t="s">
        <v>21</v>
      </c>
      <c r="F17" t="s">
        <v>18</v>
      </c>
      <c r="G17">
        <v>0.05</v>
      </c>
    </row>
    <row r="18" spans="1:7" x14ac:dyDescent="0.3">
      <c r="A18" t="s">
        <v>46</v>
      </c>
      <c r="B18" s="2">
        <v>45890.81722222222</v>
      </c>
      <c r="C18" t="s">
        <v>27</v>
      </c>
      <c r="D18" t="s">
        <v>28</v>
      </c>
      <c r="E18" t="s">
        <v>11</v>
      </c>
      <c r="F18" t="s">
        <v>18</v>
      </c>
      <c r="G18">
        <v>7.0000000000000007E-2</v>
      </c>
    </row>
    <row r="19" spans="1:7" x14ac:dyDescent="0.3">
      <c r="A19" t="s">
        <v>47</v>
      </c>
      <c r="B19" s="2">
        <v>45857.291805555556</v>
      </c>
      <c r="C19" t="s">
        <v>27</v>
      </c>
      <c r="D19" t="s">
        <v>10</v>
      </c>
      <c r="E19" t="s">
        <v>17</v>
      </c>
      <c r="F19" t="s">
        <v>12</v>
      </c>
      <c r="G19">
        <v>0.1</v>
      </c>
    </row>
    <row r="20" spans="1:7" x14ac:dyDescent="0.3">
      <c r="A20" t="s">
        <v>49</v>
      </c>
      <c r="B20" s="2">
        <v>45878.452708333331</v>
      </c>
      <c r="C20" t="s">
        <v>27</v>
      </c>
      <c r="D20" t="s">
        <v>10</v>
      </c>
      <c r="E20" t="s">
        <v>17</v>
      </c>
      <c r="F20" t="s">
        <v>12</v>
      </c>
      <c r="G20">
        <v>0.04</v>
      </c>
    </row>
    <row r="21" spans="1:7" x14ac:dyDescent="0.3">
      <c r="A21" t="s">
        <v>50</v>
      </c>
      <c r="B21" s="2">
        <v>45847.209791666668</v>
      </c>
      <c r="C21" t="s">
        <v>15</v>
      </c>
      <c r="D21" t="s">
        <v>10</v>
      </c>
      <c r="E21" t="s">
        <v>11</v>
      </c>
      <c r="F21" t="s">
        <v>12</v>
      </c>
      <c r="G21">
        <v>0.05</v>
      </c>
    </row>
    <row r="22" spans="1:7" x14ac:dyDescent="0.3">
      <c r="A22" t="s">
        <v>51</v>
      </c>
      <c r="B22" s="2">
        <v>45869.966458333343</v>
      </c>
      <c r="C22" t="s">
        <v>15</v>
      </c>
      <c r="D22" t="s">
        <v>28</v>
      </c>
      <c r="E22" t="s">
        <v>11</v>
      </c>
      <c r="F22" t="s">
        <v>18</v>
      </c>
      <c r="G22">
        <v>0.02</v>
      </c>
    </row>
    <row r="23" spans="1:7" x14ac:dyDescent="0.3">
      <c r="A23" t="s">
        <v>52</v>
      </c>
      <c r="B23" s="2">
        <v>45862.424097222232</v>
      </c>
      <c r="C23" t="s">
        <v>15</v>
      </c>
      <c r="D23" t="s">
        <v>16</v>
      </c>
      <c r="E23" t="s">
        <v>17</v>
      </c>
      <c r="F23" t="s">
        <v>12</v>
      </c>
      <c r="G23">
        <v>0.01</v>
      </c>
    </row>
    <row r="24" spans="1:7" x14ac:dyDescent="0.3">
      <c r="A24" t="s">
        <v>53</v>
      </c>
      <c r="B24" s="2">
        <v>45883.642094907409</v>
      </c>
      <c r="C24" t="s">
        <v>15</v>
      </c>
      <c r="D24" t="s">
        <v>28</v>
      </c>
      <c r="E24" t="s">
        <v>17</v>
      </c>
      <c r="F24" t="s">
        <v>22</v>
      </c>
      <c r="G24">
        <v>0.09</v>
      </c>
    </row>
    <row r="25" spans="1:7" x14ac:dyDescent="0.3">
      <c r="A25" t="s">
        <v>54</v>
      </c>
      <c r="B25" s="2">
        <v>45893.911249999997</v>
      </c>
      <c r="C25" t="s">
        <v>27</v>
      </c>
      <c r="D25" t="s">
        <v>28</v>
      </c>
      <c r="E25" t="s">
        <v>11</v>
      </c>
      <c r="F25" t="s">
        <v>18</v>
      </c>
      <c r="G25">
        <v>0.11</v>
      </c>
    </row>
    <row r="26" spans="1:7" x14ac:dyDescent="0.3">
      <c r="A26" t="s">
        <v>56</v>
      </c>
      <c r="B26" s="2">
        <v>45888.366527777784</v>
      </c>
      <c r="C26" t="s">
        <v>15</v>
      </c>
      <c r="D26" t="s">
        <v>28</v>
      </c>
      <c r="E26" t="s">
        <v>21</v>
      </c>
      <c r="F26" t="s">
        <v>12</v>
      </c>
      <c r="G26">
        <v>0.06</v>
      </c>
    </row>
    <row r="27" spans="1:7" x14ac:dyDescent="0.3">
      <c r="A27" t="s">
        <v>57</v>
      </c>
      <c r="B27" s="2">
        <v>45862.967662037037</v>
      </c>
      <c r="C27" t="s">
        <v>15</v>
      </c>
      <c r="D27" t="s">
        <v>16</v>
      </c>
      <c r="E27" t="s">
        <v>17</v>
      </c>
      <c r="F27" t="s">
        <v>18</v>
      </c>
      <c r="G27">
        <v>0.1</v>
      </c>
    </row>
    <row r="28" spans="1:7" x14ac:dyDescent="0.3">
      <c r="A28" t="s">
        <v>58</v>
      </c>
      <c r="B28" s="2">
        <v>45891.991226851853</v>
      </c>
      <c r="C28" t="s">
        <v>9</v>
      </c>
      <c r="D28" t="s">
        <v>16</v>
      </c>
      <c r="E28" t="s">
        <v>11</v>
      </c>
      <c r="F28" t="s">
        <v>18</v>
      </c>
      <c r="G28">
        <v>7.0000000000000007E-2</v>
      </c>
    </row>
    <row r="29" spans="1:7" x14ac:dyDescent="0.3">
      <c r="A29" t="s">
        <v>59</v>
      </c>
      <c r="B29" s="2">
        <v>45840.00953703704</v>
      </c>
      <c r="C29" t="s">
        <v>9</v>
      </c>
      <c r="D29" t="s">
        <v>10</v>
      </c>
      <c r="E29" t="s">
        <v>21</v>
      </c>
      <c r="F29" t="s">
        <v>12</v>
      </c>
      <c r="G29">
        <v>0.03</v>
      </c>
    </row>
    <row r="30" spans="1:7" x14ac:dyDescent="0.3">
      <c r="A30" t="s">
        <v>60</v>
      </c>
      <c r="B30" s="2">
        <v>45852.288368055553</v>
      </c>
      <c r="C30" t="s">
        <v>15</v>
      </c>
      <c r="D30" t="s">
        <v>28</v>
      </c>
      <c r="E30" t="s">
        <v>17</v>
      </c>
      <c r="F30" t="s">
        <v>12</v>
      </c>
      <c r="G30">
        <v>7.0000000000000007E-2</v>
      </c>
    </row>
    <row r="31" spans="1:7" x14ac:dyDescent="0.3">
      <c r="A31" t="s">
        <v>62</v>
      </c>
      <c r="B31" s="2">
        <v>45854.342488425929</v>
      </c>
      <c r="C31" t="s">
        <v>15</v>
      </c>
      <c r="D31" t="s">
        <v>16</v>
      </c>
      <c r="E31" t="s">
        <v>11</v>
      </c>
      <c r="F31" t="s">
        <v>12</v>
      </c>
      <c r="G31">
        <v>0.12</v>
      </c>
    </row>
    <row r="32" spans="1:7" x14ac:dyDescent="0.3">
      <c r="A32" t="s">
        <v>63</v>
      </c>
      <c r="B32" s="2">
        <v>45872.540370370371</v>
      </c>
      <c r="C32" t="s">
        <v>27</v>
      </c>
      <c r="D32" t="s">
        <v>10</v>
      </c>
      <c r="E32" t="s">
        <v>11</v>
      </c>
      <c r="F32" t="s">
        <v>22</v>
      </c>
      <c r="G32">
        <v>0.06</v>
      </c>
    </row>
    <row r="33" spans="1:7" x14ac:dyDescent="0.3">
      <c r="A33" t="s">
        <v>65</v>
      </c>
      <c r="B33" s="2">
        <v>45888.320347222223</v>
      </c>
      <c r="C33" t="s">
        <v>15</v>
      </c>
      <c r="D33" t="s">
        <v>16</v>
      </c>
      <c r="E33" t="s">
        <v>17</v>
      </c>
      <c r="F33" t="s">
        <v>12</v>
      </c>
      <c r="G33">
        <v>0.12</v>
      </c>
    </row>
    <row r="34" spans="1:7" x14ac:dyDescent="0.3">
      <c r="A34" t="s">
        <v>66</v>
      </c>
      <c r="B34" s="2">
        <v>45880.375127314823</v>
      </c>
      <c r="C34" t="s">
        <v>15</v>
      </c>
      <c r="D34" t="s">
        <v>28</v>
      </c>
      <c r="E34" t="s">
        <v>17</v>
      </c>
      <c r="F34" t="s">
        <v>12</v>
      </c>
      <c r="G34">
        <v>0</v>
      </c>
    </row>
    <row r="35" spans="1:7" x14ac:dyDescent="0.3">
      <c r="A35" t="s">
        <v>67</v>
      </c>
      <c r="B35" s="2">
        <v>45851.951319444437</v>
      </c>
      <c r="C35" t="s">
        <v>9</v>
      </c>
      <c r="D35" t="s">
        <v>16</v>
      </c>
      <c r="E35" t="s">
        <v>17</v>
      </c>
      <c r="F35" t="s">
        <v>18</v>
      </c>
      <c r="G35">
        <v>0.09</v>
      </c>
    </row>
    <row r="36" spans="1:7" x14ac:dyDescent="0.3">
      <c r="A36" t="s">
        <v>68</v>
      </c>
      <c r="B36" s="2">
        <v>45892.812847222223</v>
      </c>
      <c r="C36" t="s">
        <v>9</v>
      </c>
      <c r="D36" t="s">
        <v>16</v>
      </c>
      <c r="E36" t="s">
        <v>11</v>
      </c>
      <c r="F36" t="s">
        <v>18</v>
      </c>
      <c r="G36">
        <v>0.06</v>
      </c>
    </row>
    <row r="37" spans="1:7" x14ac:dyDescent="0.3">
      <c r="A37" t="s">
        <v>70</v>
      </c>
      <c r="B37" s="2">
        <v>45850.111875000002</v>
      </c>
      <c r="C37" t="s">
        <v>27</v>
      </c>
      <c r="D37" t="s">
        <v>10</v>
      </c>
      <c r="E37" t="s">
        <v>17</v>
      </c>
      <c r="F37" t="s">
        <v>12</v>
      </c>
      <c r="G37">
        <v>0.05</v>
      </c>
    </row>
    <row r="38" spans="1:7" x14ac:dyDescent="0.3">
      <c r="A38" t="s">
        <v>71</v>
      </c>
      <c r="B38" s="2">
        <v>45842.747974537036</v>
      </c>
      <c r="C38" t="s">
        <v>15</v>
      </c>
      <c r="D38" t="s">
        <v>10</v>
      </c>
      <c r="E38" t="s">
        <v>11</v>
      </c>
      <c r="F38" t="s">
        <v>18</v>
      </c>
      <c r="G38">
        <v>0.06</v>
      </c>
    </row>
    <row r="39" spans="1:7" x14ac:dyDescent="0.3">
      <c r="A39" t="s">
        <v>73</v>
      </c>
      <c r="B39" s="2">
        <v>45880.978148148148</v>
      </c>
      <c r="C39" t="s">
        <v>27</v>
      </c>
      <c r="D39" t="s">
        <v>28</v>
      </c>
      <c r="E39" t="s">
        <v>21</v>
      </c>
      <c r="F39" t="s">
        <v>18</v>
      </c>
      <c r="G39">
        <v>0</v>
      </c>
    </row>
    <row r="40" spans="1:7" x14ac:dyDescent="0.3">
      <c r="A40" t="s">
        <v>75</v>
      </c>
      <c r="B40" s="2">
        <v>45843.123402777783</v>
      </c>
      <c r="C40" t="s">
        <v>15</v>
      </c>
      <c r="D40" t="s">
        <v>28</v>
      </c>
      <c r="E40" t="s">
        <v>11</v>
      </c>
      <c r="F40" t="s">
        <v>12</v>
      </c>
      <c r="G40">
        <v>0.05</v>
      </c>
    </row>
    <row r="41" spans="1:7" x14ac:dyDescent="0.3">
      <c r="A41" t="s">
        <v>76</v>
      </c>
      <c r="B41" s="2">
        <v>45849.230266203696</v>
      </c>
      <c r="C41" t="s">
        <v>15</v>
      </c>
      <c r="D41" t="s">
        <v>10</v>
      </c>
      <c r="E41" t="s">
        <v>21</v>
      </c>
      <c r="F41" t="s">
        <v>12</v>
      </c>
      <c r="G41">
        <v>7.0000000000000007E-2</v>
      </c>
    </row>
    <row r="42" spans="1:7" x14ac:dyDescent="0.3">
      <c r="A42" t="s">
        <v>77</v>
      </c>
      <c r="B42" s="2">
        <v>45862.234907407408</v>
      </c>
      <c r="C42" t="s">
        <v>27</v>
      </c>
      <c r="D42" t="s">
        <v>28</v>
      </c>
      <c r="E42" t="s">
        <v>21</v>
      </c>
      <c r="F42" t="s">
        <v>12</v>
      </c>
      <c r="G42">
        <v>0.12</v>
      </c>
    </row>
    <row r="43" spans="1:7" x14ac:dyDescent="0.3">
      <c r="A43" t="s">
        <v>78</v>
      </c>
      <c r="B43" s="2">
        <v>45856.664189814823</v>
      </c>
      <c r="C43" t="s">
        <v>9</v>
      </c>
      <c r="D43" t="s">
        <v>16</v>
      </c>
      <c r="E43" t="s">
        <v>21</v>
      </c>
      <c r="F43" t="s">
        <v>22</v>
      </c>
      <c r="G43">
        <v>0.04</v>
      </c>
    </row>
    <row r="44" spans="1:7" x14ac:dyDescent="0.3">
      <c r="A44" t="s">
        <v>79</v>
      </c>
      <c r="B44" s="2">
        <v>45865.15425925926</v>
      </c>
      <c r="C44" t="s">
        <v>27</v>
      </c>
      <c r="D44" t="s">
        <v>10</v>
      </c>
      <c r="E44" t="s">
        <v>17</v>
      </c>
      <c r="F44" t="s">
        <v>12</v>
      </c>
      <c r="G44">
        <v>0.03</v>
      </c>
    </row>
    <row r="45" spans="1:7" x14ac:dyDescent="0.3">
      <c r="A45" t="s">
        <v>80</v>
      </c>
      <c r="B45" s="2">
        <v>45843.009780092587</v>
      </c>
      <c r="C45" t="s">
        <v>15</v>
      </c>
      <c r="D45" t="s">
        <v>28</v>
      </c>
      <c r="E45" t="s">
        <v>17</v>
      </c>
      <c r="F45" t="s">
        <v>12</v>
      </c>
      <c r="G45">
        <v>0.04</v>
      </c>
    </row>
    <row r="46" spans="1:7" x14ac:dyDescent="0.3">
      <c r="A46" t="s">
        <v>81</v>
      </c>
      <c r="B46" s="2">
        <v>45873.198460648149</v>
      </c>
      <c r="C46" t="s">
        <v>15</v>
      </c>
      <c r="D46" t="s">
        <v>28</v>
      </c>
      <c r="E46" t="s">
        <v>17</v>
      </c>
      <c r="F46" t="s">
        <v>12</v>
      </c>
      <c r="G46">
        <v>0.1</v>
      </c>
    </row>
    <row r="47" spans="1:7" x14ac:dyDescent="0.3">
      <c r="A47" t="s">
        <v>82</v>
      </c>
      <c r="B47" s="2">
        <v>45858.00104166667</v>
      </c>
      <c r="C47" t="s">
        <v>15</v>
      </c>
      <c r="D47" t="s">
        <v>16</v>
      </c>
      <c r="E47" t="s">
        <v>21</v>
      </c>
      <c r="F47" t="s">
        <v>12</v>
      </c>
      <c r="G47">
        <v>7.0000000000000007E-2</v>
      </c>
    </row>
    <row r="48" spans="1:7" x14ac:dyDescent="0.3">
      <c r="A48" t="s">
        <v>83</v>
      </c>
      <c r="B48" s="2">
        <v>45866.350347222222</v>
      </c>
      <c r="C48" t="s">
        <v>15</v>
      </c>
      <c r="D48" t="s">
        <v>10</v>
      </c>
      <c r="E48" t="s">
        <v>11</v>
      </c>
      <c r="F48" t="s">
        <v>12</v>
      </c>
      <c r="G48">
        <v>0.04</v>
      </c>
    </row>
    <row r="49" spans="1:7" x14ac:dyDescent="0.3">
      <c r="A49" t="s">
        <v>84</v>
      </c>
      <c r="B49" s="2">
        <v>45891.311377314807</v>
      </c>
      <c r="C49" t="s">
        <v>15</v>
      </c>
      <c r="D49" t="s">
        <v>28</v>
      </c>
      <c r="E49" t="s">
        <v>17</v>
      </c>
      <c r="F49" t="s">
        <v>12</v>
      </c>
      <c r="G49">
        <v>0.08</v>
      </c>
    </row>
    <row r="50" spans="1:7" x14ac:dyDescent="0.3">
      <c r="A50" t="s">
        <v>85</v>
      </c>
      <c r="B50" s="2">
        <v>45856.587210648147</v>
      </c>
      <c r="C50" t="s">
        <v>9</v>
      </c>
      <c r="D50" t="s">
        <v>16</v>
      </c>
      <c r="E50" t="s">
        <v>17</v>
      </c>
      <c r="F50" t="s">
        <v>22</v>
      </c>
      <c r="G50">
        <v>0.06</v>
      </c>
    </row>
    <row r="51" spans="1:7" x14ac:dyDescent="0.3">
      <c r="A51" t="s">
        <v>86</v>
      </c>
      <c r="B51" s="2">
        <v>45897.171319444453</v>
      </c>
      <c r="C51" t="s">
        <v>15</v>
      </c>
      <c r="D51" t="s">
        <v>16</v>
      </c>
      <c r="E51" t="s">
        <v>11</v>
      </c>
      <c r="F51" t="s">
        <v>12</v>
      </c>
      <c r="G51">
        <v>0.1</v>
      </c>
    </row>
    <row r="52" spans="1:7" x14ac:dyDescent="0.3">
      <c r="A52" t="s">
        <v>87</v>
      </c>
      <c r="B52" s="2">
        <v>45881.619641203702</v>
      </c>
      <c r="C52" t="s">
        <v>9</v>
      </c>
      <c r="D52" t="s">
        <v>10</v>
      </c>
      <c r="E52" t="s">
        <v>17</v>
      </c>
      <c r="F52" t="s">
        <v>22</v>
      </c>
      <c r="G52">
        <v>0.03</v>
      </c>
    </row>
    <row r="53" spans="1:7" x14ac:dyDescent="0.3">
      <c r="A53" t="s">
        <v>88</v>
      </c>
      <c r="B53" s="2">
        <v>45895.231145833342</v>
      </c>
      <c r="C53" t="s">
        <v>27</v>
      </c>
      <c r="D53" t="s">
        <v>16</v>
      </c>
      <c r="E53" t="s">
        <v>17</v>
      </c>
      <c r="F53" t="s">
        <v>12</v>
      </c>
      <c r="G53">
        <v>0.05</v>
      </c>
    </row>
    <row r="54" spans="1:7" x14ac:dyDescent="0.3">
      <c r="A54" t="s">
        <v>89</v>
      </c>
      <c r="B54" s="2">
        <v>45839.414201388892</v>
      </c>
      <c r="C54" t="s">
        <v>9</v>
      </c>
      <c r="D54" t="s">
        <v>10</v>
      </c>
      <c r="E54" t="s">
        <v>11</v>
      </c>
      <c r="F54" t="s">
        <v>12</v>
      </c>
      <c r="G54">
        <v>0.04</v>
      </c>
    </row>
    <row r="55" spans="1:7" x14ac:dyDescent="0.3">
      <c r="A55" t="s">
        <v>90</v>
      </c>
      <c r="B55" s="2">
        <v>45874.612395833326</v>
      </c>
      <c r="C55" t="s">
        <v>15</v>
      </c>
      <c r="D55" t="s">
        <v>28</v>
      </c>
      <c r="E55" t="s">
        <v>11</v>
      </c>
      <c r="F55" t="s">
        <v>22</v>
      </c>
      <c r="G55">
        <v>0</v>
      </c>
    </row>
    <row r="56" spans="1:7" x14ac:dyDescent="0.3">
      <c r="A56" t="s">
        <v>91</v>
      </c>
      <c r="B56" s="2">
        <v>45869.728182870371</v>
      </c>
      <c r="C56" t="s">
        <v>9</v>
      </c>
      <c r="D56" t="s">
        <v>28</v>
      </c>
      <c r="E56" t="s">
        <v>11</v>
      </c>
      <c r="F56" t="s">
        <v>18</v>
      </c>
      <c r="G56">
        <v>7.0000000000000007E-2</v>
      </c>
    </row>
    <row r="57" spans="1:7" x14ac:dyDescent="0.3">
      <c r="A57" t="s">
        <v>92</v>
      </c>
      <c r="B57" s="2">
        <v>45888.486701388887</v>
      </c>
      <c r="C57" t="s">
        <v>15</v>
      </c>
      <c r="D57" t="s">
        <v>10</v>
      </c>
      <c r="E57" t="s">
        <v>21</v>
      </c>
      <c r="F57" t="s">
        <v>22</v>
      </c>
      <c r="G57">
        <v>7.0000000000000007E-2</v>
      </c>
    </row>
    <row r="58" spans="1:7" x14ac:dyDescent="0.3">
      <c r="A58" t="s">
        <v>93</v>
      </c>
      <c r="B58" s="2">
        <v>45878.319201388891</v>
      </c>
      <c r="C58" t="s">
        <v>9</v>
      </c>
      <c r="D58" t="s">
        <v>16</v>
      </c>
      <c r="E58" t="s">
        <v>11</v>
      </c>
      <c r="F58" t="s">
        <v>12</v>
      </c>
      <c r="G58">
        <v>0.06</v>
      </c>
    </row>
    <row r="59" spans="1:7" x14ac:dyDescent="0.3">
      <c r="A59" t="s">
        <v>94</v>
      </c>
      <c r="B59" s="2">
        <v>45857.875821759262</v>
      </c>
      <c r="C59" t="s">
        <v>15</v>
      </c>
      <c r="D59" t="s">
        <v>10</v>
      </c>
      <c r="E59" t="s">
        <v>21</v>
      </c>
      <c r="F59" t="s">
        <v>18</v>
      </c>
      <c r="G59">
        <v>0.05</v>
      </c>
    </row>
    <row r="60" spans="1:7" x14ac:dyDescent="0.3">
      <c r="A60" t="s">
        <v>96</v>
      </c>
      <c r="B60" s="2">
        <v>45894.504629629628</v>
      </c>
      <c r="C60" t="s">
        <v>15</v>
      </c>
      <c r="D60" t="s">
        <v>16</v>
      </c>
      <c r="E60" t="s">
        <v>11</v>
      </c>
      <c r="F60" t="s">
        <v>22</v>
      </c>
      <c r="G60">
        <v>0</v>
      </c>
    </row>
    <row r="61" spans="1:7" x14ac:dyDescent="0.3">
      <c r="A61" t="s">
        <v>97</v>
      </c>
      <c r="B61" s="2">
        <v>45868.753321759257</v>
      </c>
      <c r="C61" t="s">
        <v>15</v>
      </c>
      <c r="D61" t="s">
        <v>28</v>
      </c>
      <c r="E61" t="s">
        <v>21</v>
      </c>
      <c r="F61" t="s">
        <v>18</v>
      </c>
      <c r="G61">
        <v>0.04</v>
      </c>
    </row>
    <row r="62" spans="1:7" x14ac:dyDescent="0.3">
      <c r="A62" t="s">
        <v>98</v>
      </c>
      <c r="B62" s="2">
        <v>45884.395868055559</v>
      </c>
      <c r="C62" t="s">
        <v>15</v>
      </c>
      <c r="D62" t="s">
        <v>16</v>
      </c>
      <c r="E62" t="s">
        <v>11</v>
      </c>
      <c r="F62" t="s">
        <v>12</v>
      </c>
      <c r="G62">
        <v>0.05</v>
      </c>
    </row>
    <row r="63" spans="1:7" x14ac:dyDescent="0.3">
      <c r="A63" t="s">
        <v>99</v>
      </c>
      <c r="B63" s="2">
        <v>45888.880069444444</v>
      </c>
      <c r="C63" t="s">
        <v>15</v>
      </c>
      <c r="D63" t="s">
        <v>10</v>
      </c>
      <c r="E63" t="s">
        <v>17</v>
      </c>
      <c r="F63" t="s">
        <v>18</v>
      </c>
      <c r="G63">
        <v>0.03</v>
      </c>
    </row>
    <row r="64" spans="1:7" x14ac:dyDescent="0.3">
      <c r="A64" t="s">
        <v>100</v>
      </c>
      <c r="B64" s="2">
        <v>45866.802916666667</v>
      </c>
      <c r="C64" t="s">
        <v>9</v>
      </c>
      <c r="D64" t="s">
        <v>10</v>
      </c>
      <c r="E64" t="s">
        <v>11</v>
      </c>
      <c r="F64" t="s">
        <v>18</v>
      </c>
      <c r="G64">
        <v>0.05</v>
      </c>
    </row>
    <row r="65" spans="1:7" x14ac:dyDescent="0.3">
      <c r="A65" t="s">
        <v>101</v>
      </c>
      <c r="B65" s="2">
        <v>45848.316990740743</v>
      </c>
      <c r="C65" t="s">
        <v>27</v>
      </c>
      <c r="D65" t="s">
        <v>10</v>
      </c>
      <c r="E65" t="s">
        <v>21</v>
      </c>
      <c r="F65" t="s">
        <v>12</v>
      </c>
      <c r="G65">
        <v>0.08</v>
      </c>
    </row>
    <row r="66" spans="1:7" x14ac:dyDescent="0.3">
      <c r="A66" t="s">
        <v>102</v>
      </c>
      <c r="B66" s="2">
        <v>45858.583587962959</v>
      </c>
      <c r="C66" t="s">
        <v>27</v>
      </c>
      <c r="D66" t="s">
        <v>28</v>
      </c>
      <c r="E66" t="s">
        <v>17</v>
      </c>
      <c r="F66" t="s">
        <v>22</v>
      </c>
      <c r="G66">
        <v>0.14000000000000001</v>
      </c>
    </row>
    <row r="67" spans="1:7" x14ac:dyDescent="0.3">
      <c r="A67" t="s">
        <v>103</v>
      </c>
      <c r="B67" s="2">
        <v>45885.381157407413</v>
      </c>
      <c r="C67" t="s">
        <v>9</v>
      </c>
      <c r="D67" t="s">
        <v>28</v>
      </c>
      <c r="E67" t="s">
        <v>21</v>
      </c>
      <c r="F67" t="s">
        <v>12</v>
      </c>
      <c r="G67">
        <v>7.0000000000000007E-2</v>
      </c>
    </row>
    <row r="68" spans="1:7" x14ac:dyDescent="0.3">
      <c r="A68" t="s">
        <v>104</v>
      </c>
      <c r="B68" s="2">
        <v>45895.142094907409</v>
      </c>
      <c r="C68" t="s">
        <v>27</v>
      </c>
      <c r="D68" t="s">
        <v>10</v>
      </c>
      <c r="E68" t="s">
        <v>11</v>
      </c>
      <c r="F68" t="s">
        <v>12</v>
      </c>
      <c r="G68">
        <v>7.0000000000000007E-2</v>
      </c>
    </row>
    <row r="69" spans="1:7" x14ac:dyDescent="0.3">
      <c r="A69" t="s">
        <v>105</v>
      </c>
      <c r="B69" s="2">
        <v>45887.249259259261</v>
      </c>
      <c r="C69" t="s">
        <v>15</v>
      </c>
      <c r="D69" t="s">
        <v>28</v>
      </c>
      <c r="E69" t="s">
        <v>17</v>
      </c>
      <c r="F69" t="s">
        <v>12</v>
      </c>
      <c r="G69">
        <v>0.06</v>
      </c>
    </row>
    <row r="70" spans="1:7" x14ac:dyDescent="0.3">
      <c r="A70" t="s">
        <v>106</v>
      </c>
      <c r="B70" s="2">
        <v>45849.598599537043</v>
      </c>
      <c r="C70" t="s">
        <v>15</v>
      </c>
      <c r="D70" t="s">
        <v>28</v>
      </c>
      <c r="E70" t="s">
        <v>17</v>
      </c>
      <c r="F70" t="s">
        <v>22</v>
      </c>
      <c r="G70">
        <v>0</v>
      </c>
    </row>
    <row r="71" spans="1:7" x14ac:dyDescent="0.3">
      <c r="A71" t="s">
        <v>107</v>
      </c>
      <c r="B71" s="2">
        <v>45884.353310185194</v>
      </c>
      <c r="C71" t="s">
        <v>27</v>
      </c>
      <c r="D71" t="s">
        <v>10</v>
      </c>
      <c r="E71" t="s">
        <v>17</v>
      </c>
      <c r="F71" t="s">
        <v>12</v>
      </c>
      <c r="G71">
        <v>0.06</v>
      </c>
    </row>
    <row r="72" spans="1:7" x14ac:dyDescent="0.3">
      <c r="A72" t="s">
        <v>108</v>
      </c>
      <c r="B72" s="2">
        <v>45883.568043981482</v>
      </c>
      <c r="C72" t="s">
        <v>27</v>
      </c>
      <c r="D72" t="s">
        <v>16</v>
      </c>
      <c r="E72" t="s">
        <v>11</v>
      </c>
      <c r="F72" t="s">
        <v>22</v>
      </c>
      <c r="G72">
        <v>0.06</v>
      </c>
    </row>
    <row r="73" spans="1:7" x14ac:dyDescent="0.3">
      <c r="A73" t="s">
        <v>109</v>
      </c>
      <c r="B73" s="2">
        <v>45893.516261574077</v>
      </c>
      <c r="C73" t="s">
        <v>9</v>
      </c>
      <c r="D73" t="s">
        <v>16</v>
      </c>
      <c r="E73" t="s">
        <v>21</v>
      </c>
      <c r="F73" t="s">
        <v>22</v>
      </c>
      <c r="G73">
        <v>0.16</v>
      </c>
    </row>
    <row r="74" spans="1:7" x14ac:dyDescent="0.3">
      <c r="A74" t="s">
        <v>110</v>
      </c>
      <c r="B74" s="2">
        <v>45880.68240740741</v>
      </c>
      <c r="C74" t="s">
        <v>9</v>
      </c>
      <c r="D74" t="s">
        <v>16</v>
      </c>
      <c r="E74" t="s">
        <v>17</v>
      </c>
      <c r="F74" t="s">
        <v>18</v>
      </c>
      <c r="G74">
        <v>0.05</v>
      </c>
    </row>
    <row r="75" spans="1:7" x14ac:dyDescent="0.3">
      <c r="A75" t="s">
        <v>111</v>
      </c>
      <c r="B75" s="2">
        <v>45882.947430555563</v>
      </c>
      <c r="C75" t="s">
        <v>15</v>
      </c>
      <c r="D75" t="s">
        <v>28</v>
      </c>
      <c r="E75" t="s">
        <v>11</v>
      </c>
      <c r="F75" t="s">
        <v>18</v>
      </c>
      <c r="G75">
        <v>7.0000000000000007E-2</v>
      </c>
    </row>
    <row r="76" spans="1:7" x14ac:dyDescent="0.3">
      <c r="A76" t="s">
        <v>112</v>
      </c>
      <c r="B76" s="2">
        <v>45889.863182870373</v>
      </c>
      <c r="C76" t="s">
        <v>15</v>
      </c>
      <c r="D76" t="s">
        <v>10</v>
      </c>
      <c r="E76" t="s">
        <v>17</v>
      </c>
      <c r="F76" t="s">
        <v>18</v>
      </c>
      <c r="G76">
        <v>0.06</v>
      </c>
    </row>
    <row r="77" spans="1:7" x14ac:dyDescent="0.3">
      <c r="A77" t="s">
        <v>113</v>
      </c>
      <c r="B77" s="2">
        <v>45881.957384259258</v>
      </c>
      <c r="C77" t="s">
        <v>27</v>
      </c>
      <c r="D77" t="s">
        <v>10</v>
      </c>
      <c r="E77" t="s">
        <v>21</v>
      </c>
      <c r="F77" t="s">
        <v>18</v>
      </c>
      <c r="G77">
        <v>0.01</v>
      </c>
    </row>
    <row r="78" spans="1:7" x14ac:dyDescent="0.3">
      <c r="A78" t="s">
        <v>114</v>
      </c>
      <c r="B78" s="2">
        <v>45865.630914351852</v>
      </c>
      <c r="C78" t="s">
        <v>15</v>
      </c>
      <c r="D78" t="s">
        <v>16</v>
      </c>
      <c r="E78" t="s">
        <v>11</v>
      </c>
      <c r="F78" t="s">
        <v>22</v>
      </c>
      <c r="G78">
        <v>0.11</v>
      </c>
    </row>
    <row r="79" spans="1:7" x14ac:dyDescent="0.3">
      <c r="A79" t="s">
        <v>115</v>
      </c>
      <c r="B79" s="2">
        <v>45852.68478009259</v>
      </c>
      <c r="C79" t="s">
        <v>27</v>
      </c>
      <c r="D79" t="s">
        <v>28</v>
      </c>
      <c r="E79" t="s">
        <v>21</v>
      </c>
      <c r="F79" t="s">
        <v>18</v>
      </c>
      <c r="G79">
        <v>0.09</v>
      </c>
    </row>
    <row r="80" spans="1:7" x14ac:dyDescent="0.3">
      <c r="A80" t="s">
        <v>116</v>
      </c>
      <c r="B80" s="2">
        <v>45860.02275462963</v>
      </c>
      <c r="C80" t="s">
        <v>27</v>
      </c>
      <c r="D80" t="s">
        <v>16</v>
      </c>
      <c r="E80" t="s">
        <v>21</v>
      </c>
      <c r="F80" t="s">
        <v>12</v>
      </c>
      <c r="G80">
        <v>0.09</v>
      </c>
    </row>
    <row r="81" spans="1:7" x14ac:dyDescent="0.3">
      <c r="A81" t="s">
        <v>117</v>
      </c>
      <c r="B81" s="2">
        <v>45891.932314814818</v>
      </c>
      <c r="C81" t="s">
        <v>15</v>
      </c>
      <c r="D81" t="s">
        <v>16</v>
      </c>
      <c r="E81" t="s">
        <v>17</v>
      </c>
      <c r="F81" t="s">
        <v>18</v>
      </c>
      <c r="G81">
        <v>0.02</v>
      </c>
    </row>
    <row r="82" spans="1:7" x14ac:dyDescent="0.3">
      <c r="A82" t="s">
        <v>118</v>
      </c>
      <c r="B82" s="2">
        <v>45880.041886574072</v>
      </c>
      <c r="C82" t="s">
        <v>15</v>
      </c>
      <c r="D82" t="s">
        <v>10</v>
      </c>
      <c r="E82" t="s">
        <v>11</v>
      </c>
      <c r="F82" t="s">
        <v>12</v>
      </c>
      <c r="G82">
        <v>0.12</v>
      </c>
    </row>
    <row r="83" spans="1:7" x14ac:dyDescent="0.3">
      <c r="A83" t="s">
        <v>119</v>
      </c>
      <c r="B83" s="2">
        <v>45895.14398148148</v>
      </c>
      <c r="C83" t="s">
        <v>15</v>
      </c>
      <c r="D83" t="s">
        <v>16</v>
      </c>
      <c r="E83" t="s">
        <v>17</v>
      </c>
      <c r="F83" t="s">
        <v>12</v>
      </c>
      <c r="G83">
        <v>0</v>
      </c>
    </row>
    <row r="84" spans="1:7" x14ac:dyDescent="0.3">
      <c r="A84" t="s">
        <v>120</v>
      </c>
      <c r="B84" s="2">
        <v>45868.242407407408</v>
      </c>
      <c r="C84" t="s">
        <v>15</v>
      </c>
      <c r="D84" t="s">
        <v>16</v>
      </c>
      <c r="E84" t="s">
        <v>11</v>
      </c>
      <c r="F84" t="s">
        <v>12</v>
      </c>
      <c r="G84">
        <v>0.08</v>
      </c>
    </row>
    <row r="85" spans="1:7" x14ac:dyDescent="0.3">
      <c r="A85" t="s">
        <v>121</v>
      </c>
      <c r="B85" s="2">
        <v>45897.820011574076</v>
      </c>
      <c r="C85" t="s">
        <v>27</v>
      </c>
      <c r="D85" t="s">
        <v>16</v>
      </c>
      <c r="E85" t="s">
        <v>17</v>
      </c>
      <c r="F85" t="s">
        <v>18</v>
      </c>
      <c r="G85">
        <v>0.15</v>
      </c>
    </row>
    <row r="86" spans="1:7" x14ac:dyDescent="0.3">
      <c r="A86" t="s">
        <v>122</v>
      </c>
      <c r="B86" s="2">
        <v>45881.565474537027</v>
      </c>
      <c r="C86" t="s">
        <v>15</v>
      </c>
      <c r="D86" t="s">
        <v>28</v>
      </c>
      <c r="E86" t="s">
        <v>21</v>
      </c>
      <c r="F86" t="s">
        <v>22</v>
      </c>
      <c r="G86">
        <v>0.02</v>
      </c>
    </row>
    <row r="87" spans="1:7" x14ac:dyDescent="0.3">
      <c r="A87" t="s">
        <v>123</v>
      </c>
      <c r="B87" s="2">
        <v>45878.505254629628</v>
      </c>
      <c r="C87" t="s">
        <v>9</v>
      </c>
      <c r="D87" t="s">
        <v>28</v>
      </c>
      <c r="E87" t="s">
        <v>21</v>
      </c>
      <c r="F87" t="s">
        <v>22</v>
      </c>
      <c r="G87">
        <v>0.04</v>
      </c>
    </row>
    <row r="88" spans="1:7" x14ac:dyDescent="0.3">
      <c r="A88" t="s">
        <v>124</v>
      </c>
      <c r="B88" s="2">
        <v>45891.108252314807</v>
      </c>
      <c r="C88" t="s">
        <v>27</v>
      </c>
      <c r="D88" t="s">
        <v>16</v>
      </c>
      <c r="E88" t="s">
        <v>11</v>
      </c>
      <c r="F88" t="s">
        <v>12</v>
      </c>
      <c r="G88">
        <v>0.06</v>
      </c>
    </row>
    <row r="89" spans="1:7" x14ac:dyDescent="0.3">
      <c r="A89" t="s">
        <v>125</v>
      </c>
      <c r="B89" s="2">
        <v>45847.40048611111</v>
      </c>
      <c r="C89" t="s">
        <v>9</v>
      </c>
      <c r="D89" t="s">
        <v>16</v>
      </c>
      <c r="E89" t="s">
        <v>17</v>
      </c>
      <c r="F89" t="s">
        <v>12</v>
      </c>
      <c r="G89">
        <v>0.04</v>
      </c>
    </row>
    <row r="90" spans="1:7" x14ac:dyDescent="0.3">
      <c r="A90" t="s">
        <v>126</v>
      </c>
      <c r="B90" s="2">
        <v>45856.894131944442</v>
      </c>
      <c r="C90" t="s">
        <v>27</v>
      </c>
      <c r="D90" t="s">
        <v>16</v>
      </c>
      <c r="E90" t="s">
        <v>21</v>
      </c>
      <c r="F90" t="s">
        <v>18</v>
      </c>
      <c r="G90">
        <v>0</v>
      </c>
    </row>
    <row r="91" spans="1:7" x14ac:dyDescent="0.3">
      <c r="A91" t="s">
        <v>127</v>
      </c>
      <c r="B91" s="2">
        <v>45859.800173611111</v>
      </c>
      <c r="C91" t="s">
        <v>15</v>
      </c>
      <c r="D91" t="s">
        <v>16</v>
      </c>
      <c r="E91" t="s">
        <v>21</v>
      </c>
      <c r="F91" t="s">
        <v>18</v>
      </c>
      <c r="G91">
        <v>0.06</v>
      </c>
    </row>
    <row r="92" spans="1:7" x14ac:dyDescent="0.3">
      <c r="A92" t="s">
        <v>128</v>
      </c>
      <c r="B92" s="2">
        <v>45866.266030092593</v>
      </c>
      <c r="C92" t="s">
        <v>15</v>
      </c>
      <c r="D92" t="s">
        <v>16</v>
      </c>
      <c r="E92" t="s">
        <v>17</v>
      </c>
      <c r="F92" t="s">
        <v>12</v>
      </c>
      <c r="G92">
        <v>0.02</v>
      </c>
    </row>
    <row r="93" spans="1:7" x14ac:dyDescent="0.3">
      <c r="A93" t="s">
        <v>129</v>
      </c>
      <c r="B93" s="2">
        <v>45841.131921296299</v>
      </c>
      <c r="C93" t="s">
        <v>9</v>
      </c>
      <c r="D93" t="s">
        <v>10</v>
      </c>
      <c r="E93" t="s">
        <v>17</v>
      </c>
      <c r="F93" t="s">
        <v>12</v>
      </c>
      <c r="G93">
        <v>0.08</v>
      </c>
    </row>
    <row r="94" spans="1:7" x14ac:dyDescent="0.3">
      <c r="A94" t="s">
        <v>130</v>
      </c>
      <c r="B94" s="2">
        <v>45861.019803240742</v>
      </c>
      <c r="C94" t="s">
        <v>9</v>
      </c>
      <c r="D94" t="s">
        <v>28</v>
      </c>
      <c r="E94" t="s">
        <v>11</v>
      </c>
      <c r="F94" t="s">
        <v>12</v>
      </c>
      <c r="G94">
        <v>0.02</v>
      </c>
    </row>
    <row r="95" spans="1:7" x14ac:dyDescent="0.3">
      <c r="A95" t="s">
        <v>131</v>
      </c>
      <c r="B95" s="2">
        <v>45842.262708333343</v>
      </c>
      <c r="C95" t="s">
        <v>27</v>
      </c>
      <c r="D95" t="s">
        <v>28</v>
      </c>
      <c r="E95" t="s">
        <v>17</v>
      </c>
      <c r="F95" t="s">
        <v>12</v>
      </c>
      <c r="G95">
        <v>0.12</v>
      </c>
    </row>
    <row r="96" spans="1:7" x14ac:dyDescent="0.3">
      <c r="A96" t="s">
        <v>132</v>
      </c>
      <c r="B96" s="2">
        <v>45862.410416666673</v>
      </c>
      <c r="C96" t="s">
        <v>27</v>
      </c>
      <c r="D96" t="s">
        <v>16</v>
      </c>
      <c r="E96" t="s">
        <v>11</v>
      </c>
      <c r="F96" t="s">
        <v>12</v>
      </c>
      <c r="G96">
        <v>0.03</v>
      </c>
    </row>
    <row r="97" spans="1:7" x14ac:dyDescent="0.3">
      <c r="A97" t="s">
        <v>133</v>
      </c>
      <c r="B97" s="2">
        <v>45894.006006944437</v>
      </c>
      <c r="C97" t="s">
        <v>27</v>
      </c>
      <c r="D97" t="s">
        <v>16</v>
      </c>
      <c r="E97" t="s">
        <v>11</v>
      </c>
      <c r="F97" t="s">
        <v>12</v>
      </c>
      <c r="G97">
        <v>0.05</v>
      </c>
    </row>
    <row r="98" spans="1:7" x14ac:dyDescent="0.3">
      <c r="A98" t="s">
        <v>134</v>
      </c>
      <c r="B98" s="2">
        <v>45875.066168981481</v>
      </c>
      <c r="C98" t="s">
        <v>27</v>
      </c>
      <c r="D98" t="s">
        <v>10</v>
      </c>
      <c r="E98" t="s">
        <v>11</v>
      </c>
      <c r="F98" t="s">
        <v>12</v>
      </c>
      <c r="G98">
        <v>0.09</v>
      </c>
    </row>
    <row r="99" spans="1:7" x14ac:dyDescent="0.3">
      <c r="A99" t="s">
        <v>135</v>
      </c>
      <c r="B99" s="2">
        <v>45855.150081018517</v>
      </c>
      <c r="C99" t="s">
        <v>15</v>
      </c>
      <c r="D99" t="s">
        <v>28</v>
      </c>
      <c r="E99" t="s">
        <v>11</v>
      </c>
      <c r="F99" t="s">
        <v>12</v>
      </c>
      <c r="G99">
        <v>0.01</v>
      </c>
    </row>
    <row r="100" spans="1:7" x14ac:dyDescent="0.3">
      <c r="A100" t="s">
        <v>136</v>
      </c>
      <c r="B100" s="2">
        <v>45869.538043981483</v>
      </c>
      <c r="C100" t="s">
        <v>9</v>
      </c>
      <c r="D100" t="s">
        <v>10</v>
      </c>
      <c r="E100" t="s">
        <v>21</v>
      </c>
      <c r="F100" t="s">
        <v>22</v>
      </c>
      <c r="G100">
        <v>7.0000000000000007E-2</v>
      </c>
    </row>
    <row r="101" spans="1:7" x14ac:dyDescent="0.3">
      <c r="A101" t="s">
        <v>137</v>
      </c>
      <c r="B101" s="2">
        <v>45858.505902777782</v>
      </c>
      <c r="C101" t="s">
        <v>27</v>
      </c>
      <c r="D101" t="s">
        <v>10</v>
      </c>
      <c r="E101" t="s">
        <v>11</v>
      </c>
      <c r="F101" t="s">
        <v>22</v>
      </c>
      <c r="G101">
        <v>0.11</v>
      </c>
    </row>
    <row r="102" spans="1:7" x14ac:dyDescent="0.3">
      <c r="A102" t="s">
        <v>138</v>
      </c>
      <c r="B102" s="2">
        <v>45849.143634259257</v>
      </c>
      <c r="C102" t="s">
        <v>9</v>
      </c>
      <c r="D102" t="s">
        <v>16</v>
      </c>
      <c r="E102" t="s">
        <v>11</v>
      </c>
      <c r="F102" t="s">
        <v>12</v>
      </c>
      <c r="G102">
        <v>0</v>
      </c>
    </row>
    <row r="103" spans="1:7" x14ac:dyDescent="0.3">
      <c r="A103" t="s">
        <v>139</v>
      </c>
      <c r="B103" s="2">
        <v>45894.196597222217</v>
      </c>
      <c r="C103" t="s">
        <v>27</v>
      </c>
      <c r="D103" t="s">
        <v>16</v>
      </c>
      <c r="E103" t="s">
        <v>11</v>
      </c>
      <c r="F103" t="s">
        <v>12</v>
      </c>
      <c r="G103">
        <v>7.0000000000000007E-2</v>
      </c>
    </row>
    <row r="104" spans="1:7" x14ac:dyDescent="0.3">
      <c r="A104" t="s">
        <v>140</v>
      </c>
      <c r="B104" s="2">
        <v>45875.228854166657</v>
      </c>
      <c r="C104" t="s">
        <v>27</v>
      </c>
      <c r="D104" t="s">
        <v>10</v>
      </c>
      <c r="E104" t="s">
        <v>11</v>
      </c>
      <c r="F104" t="s">
        <v>12</v>
      </c>
      <c r="G104">
        <v>7.0000000000000007E-2</v>
      </c>
    </row>
    <row r="105" spans="1:7" x14ac:dyDescent="0.3">
      <c r="A105" t="s">
        <v>141</v>
      </c>
      <c r="B105" s="2">
        <v>45840.478391203702</v>
      </c>
      <c r="C105" t="s">
        <v>15</v>
      </c>
      <c r="D105" t="s">
        <v>16</v>
      </c>
      <c r="E105" t="s">
        <v>17</v>
      </c>
      <c r="F105" t="s">
        <v>22</v>
      </c>
      <c r="G105">
        <v>0.09</v>
      </c>
    </row>
    <row r="106" spans="1:7" x14ac:dyDescent="0.3">
      <c r="A106" t="s">
        <v>142</v>
      </c>
      <c r="B106" s="2">
        <v>45874.414965277778</v>
      </c>
      <c r="C106" t="s">
        <v>9</v>
      </c>
      <c r="D106" t="s">
        <v>16</v>
      </c>
      <c r="E106" t="s">
        <v>11</v>
      </c>
      <c r="F106" t="s">
        <v>12</v>
      </c>
      <c r="G106">
        <v>0.01</v>
      </c>
    </row>
    <row r="107" spans="1:7" x14ac:dyDescent="0.3">
      <c r="A107" t="s">
        <v>143</v>
      </c>
      <c r="B107" s="2">
        <v>45881.531597222223</v>
      </c>
      <c r="C107" t="s">
        <v>27</v>
      </c>
      <c r="D107" t="s">
        <v>10</v>
      </c>
      <c r="E107" t="s">
        <v>11</v>
      </c>
      <c r="F107" t="s">
        <v>22</v>
      </c>
      <c r="G107">
        <v>0.01</v>
      </c>
    </row>
    <row r="108" spans="1:7" x14ac:dyDescent="0.3">
      <c r="A108" t="s">
        <v>144</v>
      </c>
      <c r="B108" s="2">
        <v>45891.501400462963</v>
      </c>
      <c r="C108" t="s">
        <v>15</v>
      </c>
      <c r="D108" t="s">
        <v>16</v>
      </c>
      <c r="E108" t="s">
        <v>21</v>
      </c>
      <c r="F108" t="s">
        <v>22</v>
      </c>
      <c r="G108">
        <v>0.08</v>
      </c>
    </row>
    <row r="109" spans="1:7" x14ac:dyDescent="0.3">
      <c r="A109" t="s">
        <v>145</v>
      </c>
      <c r="B109" s="2">
        <v>45870.542662037027</v>
      </c>
      <c r="C109" t="s">
        <v>27</v>
      </c>
      <c r="D109" t="s">
        <v>28</v>
      </c>
      <c r="E109" t="s">
        <v>21</v>
      </c>
      <c r="F109" t="s">
        <v>22</v>
      </c>
      <c r="G109">
        <v>7.0000000000000007E-2</v>
      </c>
    </row>
    <row r="110" spans="1:7" x14ac:dyDescent="0.3">
      <c r="A110" t="s">
        <v>146</v>
      </c>
      <c r="B110" s="2">
        <v>45862.926782407398</v>
      </c>
      <c r="C110" t="s">
        <v>15</v>
      </c>
      <c r="D110" t="s">
        <v>10</v>
      </c>
      <c r="E110" t="s">
        <v>11</v>
      </c>
      <c r="F110" t="s">
        <v>18</v>
      </c>
      <c r="G110">
        <v>7.0000000000000007E-2</v>
      </c>
    </row>
    <row r="111" spans="1:7" x14ac:dyDescent="0.3">
      <c r="A111" t="s">
        <v>147</v>
      </c>
      <c r="B111" s="2">
        <v>45871.910868055558</v>
      </c>
      <c r="C111" t="s">
        <v>27</v>
      </c>
      <c r="D111" t="s">
        <v>16</v>
      </c>
      <c r="E111" t="s">
        <v>21</v>
      </c>
      <c r="F111" t="s">
        <v>18</v>
      </c>
      <c r="G111">
        <v>7.0000000000000007E-2</v>
      </c>
    </row>
    <row r="112" spans="1:7" x14ac:dyDescent="0.3">
      <c r="A112" t="s">
        <v>148</v>
      </c>
      <c r="B112" s="2">
        <v>45886.586400462962</v>
      </c>
      <c r="C112" t="s">
        <v>27</v>
      </c>
      <c r="D112" t="s">
        <v>16</v>
      </c>
      <c r="E112" t="s">
        <v>21</v>
      </c>
      <c r="F112" t="s">
        <v>22</v>
      </c>
      <c r="G112">
        <v>0.03</v>
      </c>
    </row>
    <row r="113" spans="1:7" x14ac:dyDescent="0.3">
      <c r="A113" t="s">
        <v>149</v>
      </c>
      <c r="B113" s="2">
        <v>45866.402141203696</v>
      </c>
      <c r="C113" t="s">
        <v>9</v>
      </c>
      <c r="D113" t="s">
        <v>10</v>
      </c>
      <c r="E113" t="s">
        <v>21</v>
      </c>
      <c r="F113" t="s">
        <v>12</v>
      </c>
      <c r="G113">
        <v>7.0000000000000007E-2</v>
      </c>
    </row>
    <row r="114" spans="1:7" x14ac:dyDescent="0.3">
      <c r="A114" t="s">
        <v>150</v>
      </c>
      <c r="B114" s="2">
        <v>45840.235567129632</v>
      </c>
      <c r="C114" t="s">
        <v>9</v>
      </c>
      <c r="D114" t="s">
        <v>28</v>
      </c>
      <c r="E114" t="s">
        <v>17</v>
      </c>
      <c r="F114" t="s">
        <v>12</v>
      </c>
      <c r="G114">
        <v>7.0000000000000007E-2</v>
      </c>
    </row>
    <row r="115" spans="1:7" x14ac:dyDescent="0.3">
      <c r="A115" t="s">
        <v>151</v>
      </c>
      <c r="B115" s="2">
        <v>45878.71025462963</v>
      </c>
      <c r="C115" t="s">
        <v>15</v>
      </c>
      <c r="D115" t="s">
        <v>10</v>
      </c>
      <c r="E115" t="s">
        <v>17</v>
      </c>
      <c r="F115" t="s">
        <v>18</v>
      </c>
      <c r="G115">
        <v>0.03</v>
      </c>
    </row>
    <row r="116" spans="1:7" x14ac:dyDescent="0.3">
      <c r="A116" t="s">
        <v>152</v>
      </c>
      <c r="B116" s="2">
        <v>45886.904016203713</v>
      </c>
      <c r="C116" t="s">
        <v>15</v>
      </c>
      <c r="D116" t="s">
        <v>28</v>
      </c>
      <c r="E116" t="s">
        <v>17</v>
      </c>
      <c r="F116" t="s">
        <v>18</v>
      </c>
      <c r="G116">
        <v>0.13</v>
      </c>
    </row>
    <row r="117" spans="1:7" x14ac:dyDescent="0.3">
      <c r="A117" t="s">
        <v>153</v>
      </c>
      <c r="B117" s="2">
        <v>45860.764872685177</v>
      </c>
      <c r="C117" t="s">
        <v>15</v>
      </c>
      <c r="D117" t="s">
        <v>10</v>
      </c>
      <c r="E117" t="s">
        <v>17</v>
      </c>
      <c r="F117" t="s">
        <v>18</v>
      </c>
      <c r="G117">
        <v>0.08</v>
      </c>
    </row>
    <row r="118" spans="1:7" x14ac:dyDescent="0.3">
      <c r="A118" t="s">
        <v>154</v>
      </c>
      <c r="B118" s="2">
        <v>45895.713437500002</v>
      </c>
      <c r="C118" t="s">
        <v>15</v>
      </c>
      <c r="D118" t="s">
        <v>16</v>
      </c>
      <c r="E118" t="s">
        <v>11</v>
      </c>
      <c r="F118" t="s">
        <v>18</v>
      </c>
      <c r="G118">
        <v>0.01</v>
      </c>
    </row>
    <row r="119" spans="1:7" x14ac:dyDescent="0.3">
      <c r="A119" t="s">
        <v>155</v>
      </c>
      <c r="B119" s="2">
        <v>45872.625532407408</v>
      </c>
      <c r="C119" t="s">
        <v>15</v>
      </c>
      <c r="D119" t="s">
        <v>10</v>
      </c>
      <c r="E119" t="s">
        <v>11</v>
      </c>
      <c r="F119" t="s">
        <v>22</v>
      </c>
      <c r="G119">
        <v>0.09</v>
      </c>
    </row>
    <row r="120" spans="1:7" x14ac:dyDescent="0.3">
      <c r="A120" t="s">
        <v>156</v>
      </c>
      <c r="B120" s="2">
        <v>45873.407407407409</v>
      </c>
      <c r="C120" t="s">
        <v>9</v>
      </c>
      <c r="D120" t="s">
        <v>16</v>
      </c>
      <c r="E120" t="s">
        <v>21</v>
      </c>
      <c r="F120" t="s">
        <v>12</v>
      </c>
      <c r="G120">
        <v>0.02</v>
      </c>
    </row>
    <row r="121" spans="1:7" x14ac:dyDescent="0.3">
      <c r="A121" t="s">
        <v>157</v>
      </c>
      <c r="B121" s="2">
        <v>45863.658865740741</v>
      </c>
      <c r="C121" t="s">
        <v>27</v>
      </c>
      <c r="D121" t="s">
        <v>28</v>
      </c>
      <c r="E121" t="s">
        <v>11</v>
      </c>
      <c r="F121" t="s">
        <v>22</v>
      </c>
      <c r="G121">
        <v>0.09</v>
      </c>
    </row>
    <row r="122" spans="1:7" x14ac:dyDescent="0.3">
      <c r="A122" t="s">
        <v>158</v>
      </c>
      <c r="B122" s="2">
        <v>45869.886666666673</v>
      </c>
      <c r="C122" t="s">
        <v>27</v>
      </c>
      <c r="D122" t="s">
        <v>10</v>
      </c>
      <c r="E122" t="s">
        <v>11</v>
      </c>
      <c r="F122" t="s">
        <v>18</v>
      </c>
      <c r="G122">
        <v>0.11</v>
      </c>
    </row>
    <row r="123" spans="1:7" x14ac:dyDescent="0.3">
      <c r="A123" t="s">
        <v>159</v>
      </c>
      <c r="B123" s="2">
        <v>45857.846782407411</v>
      </c>
      <c r="C123" t="s">
        <v>27</v>
      </c>
      <c r="D123" t="s">
        <v>10</v>
      </c>
      <c r="E123" t="s">
        <v>21</v>
      </c>
      <c r="F123" t="s">
        <v>18</v>
      </c>
      <c r="G123">
        <v>0.03</v>
      </c>
    </row>
    <row r="124" spans="1:7" x14ac:dyDescent="0.3">
      <c r="A124" t="s">
        <v>160</v>
      </c>
      <c r="B124" s="2">
        <v>45896.493206018517</v>
      </c>
      <c r="C124" t="s">
        <v>9</v>
      </c>
      <c r="D124" t="s">
        <v>10</v>
      </c>
      <c r="E124" t="s">
        <v>21</v>
      </c>
      <c r="F124" t="s">
        <v>22</v>
      </c>
      <c r="G124">
        <v>0.1</v>
      </c>
    </row>
    <row r="125" spans="1:7" x14ac:dyDescent="0.3">
      <c r="A125" t="s">
        <v>161</v>
      </c>
      <c r="B125" s="2">
        <v>45858.096944444442</v>
      </c>
      <c r="C125" t="s">
        <v>15</v>
      </c>
      <c r="D125" t="s">
        <v>28</v>
      </c>
      <c r="E125" t="s">
        <v>21</v>
      </c>
      <c r="F125" t="s">
        <v>12</v>
      </c>
      <c r="G125">
        <v>0.08</v>
      </c>
    </row>
    <row r="126" spans="1:7" x14ac:dyDescent="0.3">
      <c r="A126" t="s">
        <v>162</v>
      </c>
      <c r="B126" s="2">
        <v>45868.597268518519</v>
      </c>
      <c r="C126" t="s">
        <v>27</v>
      </c>
      <c r="D126" t="s">
        <v>10</v>
      </c>
      <c r="E126" t="s">
        <v>11</v>
      </c>
      <c r="F126" t="s">
        <v>22</v>
      </c>
      <c r="G126">
        <v>0.09</v>
      </c>
    </row>
    <row r="127" spans="1:7" x14ac:dyDescent="0.3">
      <c r="A127" t="s">
        <v>163</v>
      </c>
      <c r="B127" s="2">
        <v>45865.882986111108</v>
      </c>
      <c r="C127" t="s">
        <v>27</v>
      </c>
      <c r="D127" t="s">
        <v>28</v>
      </c>
      <c r="E127" t="s">
        <v>11</v>
      </c>
      <c r="F127" t="s">
        <v>18</v>
      </c>
      <c r="G127">
        <v>0.14000000000000001</v>
      </c>
    </row>
    <row r="128" spans="1:7" x14ac:dyDescent="0.3">
      <c r="A128" t="s">
        <v>164</v>
      </c>
      <c r="B128" s="2">
        <v>45851.510520833333</v>
      </c>
      <c r="C128" t="s">
        <v>9</v>
      </c>
      <c r="D128" t="s">
        <v>16</v>
      </c>
      <c r="E128" t="s">
        <v>17</v>
      </c>
      <c r="F128" t="s">
        <v>22</v>
      </c>
      <c r="G128">
        <v>0.05</v>
      </c>
    </row>
    <row r="129" spans="1:7" x14ac:dyDescent="0.3">
      <c r="A129" t="s">
        <v>165</v>
      </c>
      <c r="B129" s="2">
        <v>45894.98609953704</v>
      </c>
      <c r="C129" t="s">
        <v>15</v>
      </c>
      <c r="D129" t="s">
        <v>16</v>
      </c>
      <c r="E129" t="s">
        <v>21</v>
      </c>
      <c r="F129" t="s">
        <v>18</v>
      </c>
      <c r="G129">
        <v>0.03</v>
      </c>
    </row>
    <row r="130" spans="1:7" x14ac:dyDescent="0.3">
      <c r="A130" t="s">
        <v>166</v>
      </c>
      <c r="B130" s="2">
        <v>45872.329259259262</v>
      </c>
      <c r="C130" t="s">
        <v>27</v>
      </c>
      <c r="D130" t="s">
        <v>28</v>
      </c>
      <c r="E130" t="s">
        <v>21</v>
      </c>
      <c r="F130" t="s">
        <v>12</v>
      </c>
      <c r="G130">
        <v>0.02</v>
      </c>
    </row>
    <row r="131" spans="1:7" x14ac:dyDescent="0.3">
      <c r="A131" t="s">
        <v>167</v>
      </c>
      <c r="B131" s="2">
        <v>45850.32675925926</v>
      </c>
      <c r="C131" t="s">
        <v>27</v>
      </c>
      <c r="D131" t="s">
        <v>16</v>
      </c>
      <c r="E131" t="s">
        <v>21</v>
      </c>
      <c r="F131" t="s">
        <v>12</v>
      </c>
      <c r="G131">
        <v>0.03</v>
      </c>
    </row>
    <row r="132" spans="1:7" x14ac:dyDescent="0.3">
      <c r="A132" t="s">
        <v>168</v>
      </c>
      <c r="B132" s="2">
        <v>45895.273194444453</v>
      </c>
      <c r="C132" t="s">
        <v>9</v>
      </c>
      <c r="D132" t="s">
        <v>10</v>
      </c>
      <c r="E132" t="s">
        <v>17</v>
      </c>
      <c r="F132" t="s">
        <v>12</v>
      </c>
      <c r="G132">
        <v>0.06</v>
      </c>
    </row>
    <row r="133" spans="1:7" x14ac:dyDescent="0.3">
      <c r="A133" t="s">
        <v>169</v>
      </c>
      <c r="B133" s="2">
        <v>45853.735648148147</v>
      </c>
      <c r="C133" t="s">
        <v>9</v>
      </c>
      <c r="D133" t="s">
        <v>16</v>
      </c>
      <c r="E133" t="s">
        <v>17</v>
      </c>
      <c r="F133" t="s">
        <v>18</v>
      </c>
      <c r="G133">
        <v>7.0000000000000007E-2</v>
      </c>
    </row>
    <row r="134" spans="1:7" x14ac:dyDescent="0.3">
      <c r="A134" t="s">
        <v>170</v>
      </c>
      <c r="B134" s="2">
        <v>45850.750497685192</v>
      </c>
      <c r="C134" t="s">
        <v>9</v>
      </c>
      <c r="D134" t="s">
        <v>16</v>
      </c>
      <c r="E134" t="s">
        <v>11</v>
      </c>
      <c r="F134" t="s">
        <v>18</v>
      </c>
      <c r="G134">
        <v>7.0000000000000007E-2</v>
      </c>
    </row>
    <row r="135" spans="1:7" x14ac:dyDescent="0.3">
      <c r="A135" t="s">
        <v>171</v>
      </c>
      <c r="B135" s="2">
        <v>45889.986759259264</v>
      </c>
      <c r="C135" t="s">
        <v>15</v>
      </c>
      <c r="D135" t="s">
        <v>16</v>
      </c>
      <c r="E135" t="s">
        <v>21</v>
      </c>
      <c r="F135" t="s">
        <v>18</v>
      </c>
      <c r="G135">
        <v>0.09</v>
      </c>
    </row>
    <row r="136" spans="1:7" x14ac:dyDescent="0.3">
      <c r="A136" t="s">
        <v>172</v>
      </c>
      <c r="B136" s="2">
        <v>45896.390115740738</v>
      </c>
      <c r="C136" t="s">
        <v>15</v>
      </c>
      <c r="D136" t="s">
        <v>16</v>
      </c>
      <c r="E136" t="s">
        <v>11</v>
      </c>
      <c r="F136" t="s">
        <v>12</v>
      </c>
      <c r="G136">
        <v>0.06</v>
      </c>
    </row>
    <row r="137" spans="1:7" x14ac:dyDescent="0.3">
      <c r="A137" t="s">
        <v>173</v>
      </c>
      <c r="B137" s="2">
        <v>45898.439282407409</v>
      </c>
      <c r="C137" t="s">
        <v>9</v>
      </c>
      <c r="D137" t="s">
        <v>28</v>
      </c>
      <c r="E137" t="s">
        <v>17</v>
      </c>
      <c r="F137" t="s">
        <v>12</v>
      </c>
      <c r="G137">
        <v>0.12</v>
      </c>
    </row>
    <row r="138" spans="1:7" x14ac:dyDescent="0.3">
      <c r="A138" t="s">
        <v>174</v>
      </c>
      <c r="B138" s="2">
        <v>45864.94458333333</v>
      </c>
      <c r="C138" t="s">
        <v>9</v>
      </c>
      <c r="D138" t="s">
        <v>28</v>
      </c>
      <c r="E138" t="s">
        <v>17</v>
      </c>
      <c r="F138" t="s">
        <v>18</v>
      </c>
      <c r="G138">
        <v>0.05</v>
      </c>
    </row>
    <row r="139" spans="1:7" x14ac:dyDescent="0.3">
      <c r="A139" t="s">
        <v>175</v>
      </c>
      <c r="B139" s="2">
        <v>45856.125613425917</v>
      </c>
      <c r="C139" t="s">
        <v>9</v>
      </c>
      <c r="D139" t="s">
        <v>28</v>
      </c>
      <c r="E139" t="s">
        <v>17</v>
      </c>
      <c r="F139" t="s">
        <v>12</v>
      </c>
      <c r="G139">
        <v>0.17</v>
      </c>
    </row>
    <row r="140" spans="1:7" x14ac:dyDescent="0.3">
      <c r="A140" t="s">
        <v>176</v>
      </c>
      <c r="B140" s="2">
        <v>45878.913113425922</v>
      </c>
      <c r="C140" t="s">
        <v>15</v>
      </c>
      <c r="D140" t="s">
        <v>10</v>
      </c>
      <c r="E140" t="s">
        <v>11</v>
      </c>
      <c r="F140" t="s">
        <v>18</v>
      </c>
      <c r="G140">
        <v>0.09</v>
      </c>
    </row>
    <row r="141" spans="1:7" x14ac:dyDescent="0.3">
      <c r="A141" t="s">
        <v>177</v>
      </c>
      <c r="B141" s="2">
        <v>45867.52847222222</v>
      </c>
      <c r="C141" t="s">
        <v>27</v>
      </c>
      <c r="D141" t="s">
        <v>28</v>
      </c>
      <c r="E141" t="s">
        <v>21</v>
      </c>
      <c r="F141" t="s">
        <v>22</v>
      </c>
      <c r="G141">
        <v>0.03</v>
      </c>
    </row>
    <row r="142" spans="1:7" x14ac:dyDescent="0.3">
      <c r="A142" t="s">
        <v>178</v>
      </c>
      <c r="B142" s="2">
        <v>45883.332060185188</v>
      </c>
      <c r="C142" t="s">
        <v>27</v>
      </c>
      <c r="D142" t="s">
        <v>10</v>
      </c>
      <c r="E142" t="s">
        <v>17</v>
      </c>
      <c r="F142" t="s">
        <v>12</v>
      </c>
      <c r="G142">
        <v>0.02</v>
      </c>
    </row>
    <row r="143" spans="1:7" x14ac:dyDescent="0.3">
      <c r="A143" t="s">
        <v>179</v>
      </c>
      <c r="B143" s="2">
        <v>45896.512881944444</v>
      </c>
      <c r="C143" t="s">
        <v>9</v>
      </c>
      <c r="D143" t="s">
        <v>28</v>
      </c>
      <c r="E143" t="s">
        <v>21</v>
      </c>
      <c r="F143" t="s">
        <v>22</v>
      </c>
      <c r="G143">
        <v>0.08</v>
      </c>
    </row>
    <row r="144" spans="1:7" x14ac:dyDescent="0.3">
      <c r="A144" t="s">
        <v>180</v>
      </c>
      <c r="B144" s="2">
        <v>45892.121759259258</v>
      </c>
      <c r="C144" t="s">
        <v>27</v>
      </c>
      <c r="D144" t="s">
        <v>10</v>
      </c>
      <c r="E144" t="s">
        <v>17</v>
      </c>
      <c r="F144" t="s">
        <v>12</v>
      </c>
      <c r="G144">
        <v>0.05</v>
      </c>
    </row>
    <row r="145" spans="1:7" x14ac:dyDescent="0.3">
      <c r="A145" t="s">
        <v>181</v>
      </c>
      <c r="B145" s="2">
        <v>45853.05976851852</v>
      </c>
      <c r="C145" t="s">
        <v>27</v>
      </c>
      <c r="D145" t="s">
        <v>28</v>
      </c>
      <c r="E145" t="s">
        <v>17</v>
      </c>
      <c r="F145" t="s">
        <v>12</v>
      </c>
      <c r="G145">
        <v>0.09</v>
      </c>
    </row>
    <row r="146" spans="1:7" x14ac:dyDescent="0.3">
      <c r="A146" t="s">
        <v>182</v>
      </c>
      <c r="B146" s="2">
        <v>45897.023043981477</v>
      </c>
      <c r="C146" t="s">
        <v>9</v>
      </c>
      <c r="D146" t="s">
        <v>10</v>
      </c>
      <c r="E146" t="s">
        <v>21</v>
      </c>
      <c r="F146" t="s">
        <v>12</v>
      </c>
      <c r="G146">
        <v>0.08</v>
      </c>
    </row>
    <row r="147" spans="1:7" x14ac:dyDescent="0.3">
      <c r="A147" t="s">
        <v>183</v>
      </c>
      <c r="B147" s="2">
        <v>45851.323541666658</v>
      </c>
      <c r="C147" t="s">
        <v>15</v>
      </c>
      <c r="D147" t="s">
        <v>10</v>
      </c>
      <c r="E147" t="s">
        <v>21</v>
      </c>
      <c r="F147" t="s">
        <v>12</v>
      </c>
      <c r="G147">
        <v>0.06</v>
      </c>
    </row>
    <row r="148" spans="1:7" x14ac:dyDescent="0.3">
      <c r="A148" t="s">
        <v>184</v>
      </c>
      <c r="B148" s="2">
        <v>45865.682476851849</v>
      </c>
      <c r="C148" t="s">
        <v>9</v>
      </c>
      <c r="D148" t="s">
        <v>10</v>
      </c>
      <c r="E148" t="s">
        <v>21</v>
      </c>
      <c r="F148" t="s">
        <v>18</v>
      </c>
      <c r="G148">
        <v>0.03</v>
      </c>
    </row>
    <row r="149" spans="1:7" x14ac:dyDescent="0.3">
      <c r="A149" t="s">
        <v>185</v>
      </c>
      <c r="B149" s="2">
        <v>45847.060127314813</v>
      </c>
      <c r="C149" t="s">
        <v>9</v>
      </c>
      <c r="D149" t="s">
        <v>28</v>
      </c>
      <c r="E149" t="s">
        <v>21</v>
      </c>
      <c r="F149" t="s">
        <v>12</v>
      </c>
      <c r="G149">
        <v>0</v>
      </c>
    </row>
    <row r="150" spans="1:7" x14ac:dyDescent="0.3">
      <c r="A150" t="s">
        <v>186</v>
      </c>
      <c r="B150" s="2">
        <v>45897.86478009259</v>
      </c>
      <c r="C150" t="s">
        <v>15</v>
      </c>
      <c r="D150" t="s">
        <v>28</v>
      </c>
      <c r="E150" t="s">
        <v>17</v>
      </c>
      <c r="F150" t="s">
        <v>18</v>
      </c>
      <c r="G150">
        <v>0.04</v>
      </c>
    </row>
    <row r="151" spans="1:7" x14ac:dyDescent="0.3">
      <c r="A151" t="s">
        <v>187</v>
      </c>
      <c r="B151" s="2">
        <v>45895.096284722233</v>
      </c>
      <c r="C151" t="s">
        <v>9</v>
      </c>
      <c r="D151" t="s">
        <v>28</v>
      </c>
      <c r="E151" t="s">
        <v>11</v>
      </c>
      <c r="F151" t="s">
        <v>12</v>
      </c>
      <c r="G151">
        <v>0.09</v>
      </c>
    </row>
    <row r="152" spans="1:7" x14ac:dyDescent="0.3">
      <c r="A152" t="s">
        <v>188</v>
      </c>
      <c r="B152" s="2">
        <v>45895.19803240741</v>
      </c>
      <c r="C152" t="s">
        <v>27</v>
      </c>
      <c r="D152" t="s">
        <v>28</v>
      </c>
      <c r="E152" t="s">
        <v>21</v>
      </c>
      <c r="F152" t="s">
        <v>12</v>
      </c>
      <c r="G152">
        <v>7.0000000000000007E-2</v>
      </c>
    </row>
    <row r="153" spans="1:7" x14ac:dyDescent="0.3">
      <c r="A153" t="s">
        <v>189</v>
      </c>
      <c r="B153" s="2">
        <v>45882.186215277783</v>
      </c>
      <c r="C153" t="s">
        <v>15</v>
      </c>
      <c r="D153" t="s">
        <v>28</v>
      </c>
      <c r="E153" t="s">
        <v>11</v>
      </c>
      <c r="F153" t="s">
        <v>12</v>
      </c>
      <c r="G153">
        <v>0.01</v>
      </c>
    </row>
    <row r="154" spans="1:7" x14ac:dyDescent="0.3">
      <c r="A154" t="s">
        <v>190</v>
      </c>
      <c r="B154" s="2">
        <v>45886.991828703707</v>
      </c>
      <c r="C154" t="s">
        <v>27</v>
      </c>
      <c r="D154" t="s">
        <v>16</v>
      </c>
      <c r="E154" t="s">
        <v>21</v>
      </c>
      <c r="F154" t="s">
        <v>18</v>
      </c>
      <c r="G154">
        <v>7.0000000000000007E-2</v>
      </c>
    </row>
    <row r="155" spans="1:7" x14ac:dyDescent="0.3">
      <c r="A155" t="s">
        <v>191</v>
      </c>
      <c r="B155" s="2">
        <v>45871.611030092587</v>
      </c>
      <c r="C155" t="s">
        <v>15</v>
      </c>
      <c r="D155" t="s">
        <v>10</v>
      </c>
      <c r="E155" t="s">
        <v>17</v>
      </c>
      <c r="F155" t="s">
        <v>22</v>
      </c>
      <c r="G155">
        <v>0.08</v>
      </c>
    </row>
    <row r="156" spans="1:7" x14ac:dyDescent="0.3">
      <c r="A156" t="s">
        <v>192</v>
      </c>
      <c r="B156" s="2">
        <v>45871.270752314813</v>
      </c>
      <c r="C156" t="s">
        <v>15</v>
      </c>
      <c r="D156" t="s">
        <v>10</v>
      </c>
      <c r="E156" t="s">
        <v>21</v>
      </c>
      <c r="F156" t="s">
        <v>12</v>
      </c>
      <c r="G156">
        <v>0.02</v>
      </c>
    </row>
    <row r="157" spans="1:7" x14ac:dyDescent="0.3">
      <c r="A157" t="s">
        <v>193</v>
      </c>
      <c r="B157" s="2">
        <v>45878.130046296297</v>
      </c>
      <c r="C157" t="s">
        <v>9</v>
      </c>
      <c r="D157" t="s">
        <v>28</v>
      </c>
      <c r="E157" t="s">
        <v>21</v>
      </c>
      <c r="F157" t="s">
        <v>12</v>
      </c>
      <c r="G157">
        <v>7.0000000000000007E-2</v>
      </c>
    </row>
    <row r="158" spans="1:7" x14ac:dyDescent="0.3">
      <c r="A158" t="s">
        <v>194</v>
      </c>
      <c r="B158" s="2">
        <v>45869.786585648151</v>
      </c>
      <c r="C158" t="s">
        <v>15</v>
      </c>
      <c r="D158" t="s">
        <v>16</v>
      </c>
      <c r="E158" t="s">
        <v>17</v>
      </c>
      <c r="F158" t="s">
        <v>18</v>
      </c>
      <c r="G158">
        <v>0.06</v>
      </c>
    </row>
    <row r="159" spans="1:7" x14ac:dyDescent="0.3">
      <c r="A159" t="s">
        <v>195</v>
      </c>
      <c r="B159" s="2">
        <v>45889.212337962963</v>
      </c>
      <c r="C159" t="s">
        <v>27</v>
      </c>
      <c r="D159" t="s">
        <v>10</v>
      </c>
      <c r="E159" t="s">
        <v>11</v>
      </c>
      <c r="F159" t="s">
        <v>12</v>
      </c>
      <c r="G159">
        <v>0.01</v>
      </c>
    </row>
    <row r="160" spans="1:7" x14ac:dyDescent="0.3">
      <c r="A160" t="s">
        <v>196</v>
      </c>
      <c r="B160" s="2">
        <v>45879.372349537043</v>
      </c>
      <c r="C160" t="s">
        <v>27</v>
      </c>
      <c r="D160" t="s">
        <v>28</v>
      </c>
      <c r="E160" t="s">
        <v>11</v>
      </c>
      <c r="F160" t="s">
        <v>12</v>
      </c>
      <c r="G160">
        <v>7.0000000000000007E-2</v>
      </c>
    </row>
    <row r="161" spans="1:7" x14ac:dyDescent="0.3">
      <c r="A161" t="s">
        <v>197</v>
      </c>
      <c r="B161" s="2">
        <v>45887.648877314823</v>
      </c>
      <c r="C161" t="s">
        <v>9</v>
      </c>
      <c r="D161" t="s">
        <v>16</v>
      </c>
      <c r="E161" t="s">
        <v>17</v>
      </c>
      <c r="F161" t="s">
        <v>22</v>
      </c>
      <c r="G161">
        <v>0.08</v>
      </c>
    </row>
    <row r="162" spans="1:7" x14ac:dyDescent="0.3">
      <c r="A162" t="s">
        <v>198</v>
      </c>
      <c r="B162" s="2">
        <v>45865.178587962961</v>
      </c>
      <c r="C162" t="s">
        <v>9</v>
      </c>
      <c r="D162" t="s">
        <v>28</v>
      </c>
      <c r="E162" t="s">
        <v>21</v>
      </c>
      <c r="F162" t="s">
        <v>12</v>
      </c>
      <c r="G162">
        <v>0.1</v>
      </c>
    </row>
    <row r="163" spans="1:7" x14ac:dyDescent="0.3">
      <c r="A163" t="s">
        <v>199</v>
      </c>
      <c r="B163" s="2">
        <v>45886.310844907413</v>
      </c>
      <c r="C163" t="s">
        <v>27</v>
      </c>
      <c r="D163" t="s">
        <v>28</v>
      </c>
      <c r="E163" t="s">
        <v>11</v>
      </c>
      <c r="F163" t="s">
        <v>12</v>
      </c>
      <c r="G163">
        <v>0.1</v>
      </c>
    </row>
    <row r="164" spans="1:7" x14ac:dyDescent="0.3">
      <c r="A164" t="s">
        <v>200</v>
      </c>
      <c r="B164" s="2">
        <v>45854.62699074074</v>
      </c>
      <c r="C164" t="s">
        <v>15</v>
      </c>
      <c r="D164" t="s">
        <v>10</v>
      </c>
      <c r="E164" t="s">
        <v>17</v>
      </c>
      <c r="F164" t="s">
        <v>22</v>
      </c>
      <c r="G164">
        <v>0</v>
      </c>
    </row>
    <row r="165" spans="1:7" x14ac:dyDescent="0.3">
      <c r="A165" t="s">
        <v>201</v>
      </c>
      <c r="B165" s="2">
        <v>45878.861956018518</v>
      </c>
      <c r="C165" t="s">
        <v>27</v>
      </c>
      <c r="D165" t="s">
        <v>28</v>
      </c>
      <c r="E165" t="s">
        <v>17</v>
      </c>
      <c r="F165" t="s">
        <v>18</v>
      </c>
      <c r="G165">
        <v>0.02</v>
      </c>
    </row>
    <row r="166" spans="1:7" x14ac:dyDescent="0.3">
      <c r="A166" t="s">
        <v>202</v>
      </c>
      <c r="B166" s="2">
        <v>45850.654826388891</v>
      </c>
      <c r="C166" t="s">
        <v>9</v>
      </c>
      <c r="D166" t="s">
        <v>28</v>
      </c>
      <c r="E166" t="s">
        <v>21</v>
      </c>
      <c r="F166" t="s">
        <v>22</v>
      </c>
      <c r="G166">
        <v>0.08</v>
      </c>
    </row>
    <row r="167" spans="1:7" x14ac:dyDescent="0.3">
      <c r="A167" t="s">
        <v>203</v>
      </c>
      <c r="B167" s="2">
        <v>45888.6565625</v>
      </c>
      <c r="C167" t="s">
        <v>9</v>
      </c>
      <c r="D167" t="s">
        <v>16</v>
      </c>
      <c r="E167" t="s">
        <v>21</v>
      </c>
      <c r="F167" t="s">
        <v>22</v>
      </c>
      <c r="G167">
        <v>0.08</v>
      </c>
    </row>
    <row r="168" spans="1:7" x14ac:dyDescent="0.3">
      <c r="A168" t="s">
        <v>204</v>
      </c>
      <c r="B168" s="2">
        <v>45885.097986111112</v>
      </c>
      <c r="C168" t="s">
        <v>27</v>
      </c>
      <c r="D168" t="s">
        <v>16</v>
      </c>
      <c r="E168" t="s">
        <v>11</v>
      </c>
      <c r="F168" t="s">
        <v>12</v>
      </c>
      <c r="G168">
        <v>0.08</v>
      </c>
    </row>
    <row r="169" spans="1:7" x14ac:dyDescent="0.3">
      <c r="A169" t="s">
        <v>205</v>
      </c>
      <c r="B169" s="2">
        <v>45876.4925</v>
      </c>
      <c r="C169" t="s">
        <v>27</v>
      </c>
      <c r="D169" t="s">
        <v>10</v>
      </c>
      <c r="E169" t="s">
        <v>11</v>
      </c>
      <c r="F169" t="s">
        <v>22</v>
      </c>
      <c r="G169">
        <v>0.21</v>
      </c>
    </row>
    <row r="170" spans="1:7" x14ac:dyDescent="0.3">
      <c r="A170" t="s">
        <v>206</v>
      </c>
      <c r="B170" s="2">
        <v>45846.027881944443</v>
      </c>
      <c r="C170" t="s">
        <v>15</v>
      </c>
      <c r="D170" t="s">
        <v>16</v>
      </c>
      <c r="E170" t="s">
        <v>21</v>
      </c>
      <c r="F170" t="s">
        <v>12</v>
      </c>
      <c r="G170">
        <v>0.08</v>
      </c>
    </row>
    <row r="171" spans="1:7" x14ac:dyDescent="0.3">
      <c r="A171" t="s">
        <v>207</v>
      </c>
      <c r="B171" s="2">
        <v>45865.189884259264</v>
      </c>
      <c r="C171" t="s">
        <v>27</v>
      </c>
      <c r="D171" t="s">
        <v>16</v>
      </c>
      <c r="E171" t="s">
        <v>11</v>
      </c>
      <c r="F171" t="s">
        <v>12</v>
      </c>
      <c r="G171">
        <v>0.11</v>
      </c>
    </row>
    <row r="172" spans="1:7" x14ac:dyDescent="0.3">
      <c r="A172" t="s">
        <v>208</v>
      </c>
      <c r="B172" s="2">
        <v>45896.235995370371</v>
      </c>
      <c r="C172" t="s">
        <v>9</v>
      </c>
      <c r="D172" t="s">
        <v>10</v>
      </c>
      <c r="E172" t="s">
        <v>21</v>
      </c>
      <c r="F172" t="s">
        <v>12</v>
      </c>
      <c r="G172">
        <v>0.1</v>
      </c>
    </row>
    <row r="173" spans="1:7" x14ac:dyDescent="0.3">
      <c r="A173" t="s">
        <v>209</v>
      </c>
      <c r="B173" s="2">
        <v>45882.605451388888</v>
      </c>
      <c r="C173" t="s">
        <v>9</v>
      </c>
      <c r="D173" t="s">
        <v>16</v>
      </c>
      <c r="E173" t="s">
        <v>21</v>
      </c>
      <c r="F173" t="s">
        <v>22</v>
      </c>
      <c r="G173">
        <v>0.09</v>
      </c>
    </row>
    <row r="174" spans="1:7" x14ac:dyDescent="0.3">
      <c r="A174" t="s">
        <v>210</v>
      </c>
      <c r="B174" s="2">
        <v>45892.835856481477</v>
      </c>
      <c r="C174" t="s">
        <v>9</v>
      </c>
      <c r="D174" t="s">
        <v>16</v>
      </c>
      <c r="E174" t="s">
        <v>21</v>
      </c>
      <c r="F174" t="s">
        <v>18</v>
      </c>
      <c r="G174">
        <v>0.05</v>
      </c>
    </row>
    <row r="175" spans="1:7" x14ac:dyDescent="0.3">
      <c r="A175" t="s">
        <v>211</v>
      </c>
      <c r="B175" s="2">
        <v>45857.566319444442</v>
      </c>
      <c r="C175" t="s">
        <v>9</v>
      </c>
      <c r="D175" t="s">
        <v>28</v>
      </c>
      <c r="E175" t="s">
        <v>11</v>
      </c>
      <c r="F175" t="s">
        <v>22</v>
      </c>
      <c r="G175">
        <v>0.09</v>
      </c>
    </row>
    <row r="176" spans="1:7" x14ac:dyDescent="0.3">
      <c r="A176" t="s">
        <v>212</v>
      </c>
      <c r="B176" s="2">
        <v>45861.926655092589</v>
      </c>
      <c r="C176" t="s">
        <v>15</v>
      </c>
      <c r="D176" t="s">
        <v>28</v>
      </c>
      <c r="E176" t="s">
        <v>21</v>
      </c>
      <c r="F176" t="s">
        <v>18</v>
      </c>
      <c r="G176">
        <v>0.03</v>
      </c>
    </row>
    <row r="177" spans="1:7" x14ac:dyDescent="0.3">
      <c r="A177" t="s">
        <v>213</v>
      </c>
      <c r="B177" s="2">
        <v>45876.263865740737</v>
      </c>
      <c r="C177" t="s">
        <v>15</v>
      </c>
      <c r="D177" t="s">
        <v>10</v>
      </c>
      <c r="E177" t="s">
        <v>11</v>
      </c>
      <c r="F177" t="s">
        <v>12</v>
      </c>
      <c r="G177">
        <v>0.05</v>
      </c>
    </row>
    <row r="178" spans="1:7" x14ac:dyDescent="0.3">
      <c r="A178" t="s">
        <v>214</v>
      </c>
      <c r="B178" s="2">
        <v>45887.341631944437</v>
      </c>
      <c r="C178" t="s">
        <v>27</v>
      </c>
      <c r="D178" t="s">
        <v>28</v>
      </c>
      <c r="E178" t="s">
        <v>11</v>
      </c>
      <c r="F178" t="s">
        <v>12</v>
      </c>
      <c r="G178">
        <v>0.04</v>
      </c>
    </row>
    <row r="179" spans="1:7" x14ac:dyDescent="0.3">
      <c r="A179" t="s">
        <v>215</v>
      </c>
      <c r="B179" s="2">
        <v>45848.994432870371</v>
      </c>
      <c r="C179" t="s">
        <v>15</v>
      </c>
      <c r="D179" t="s">
        <v>28</v>
      </c>
      <c r="E179" t="s">
        <v>11</v>
      </c>
      <c r="F179" t="s">
        <v>18</v>
      </c>
      <c r="G179">
        <v>0.06</v>
      </c>
    </row>
    <row r="180" spans="1:7" x14ac:dyDescent="0.3">
      <c r="A180" t="s">
        <v>216</v>
      </c>
      <c r="B180" s="2">
        <v>45840.74009259259</v>
      </c>
      <c r="C180" t="s">
        <v>9</v>
      </c>
      <c r="D180" t="s">
        <v>28</v>
      </c>
      <c r="E180" t="s">
        <v>21</v>
      </c>
      <c r="F180" t="s">
        <v>18</v>
      </c>
      <c r="G180">
        <v>0.15</v>
      </c>
    </row>
    <row r="181" spans="1:7" x14ac:dyDescent="0.3">
      <c r="A181" t="s">
        <v>217</v>
      </c>
      <c r="B181" s="2">
        <v>45846.515092592592</v>
      </c>
      <c r="C181" t="s">
        <v>15</v>
      </c>
      <c r="D181" t="s">
        <v>16</v>
      </c>
      <c r="E181" t="s">
        <v>21</v>
      </c>
      <c r="F181" t="s">
        <v>22</v>
      </c>
      <c r="G181">
        <v>0</v>
      </c>
    </row>
    <row r="182" spans="1:7" x14ac:dyDescent="0.3">
      <c r="A182" t="s">
        <v>218</v>
      </c>
      <c r="B182" s="2">
        <v>45847.047835648147</v>
      </c>
      <c r="C182" t="s">
        <v>15</v>
      </c>
      <c r="D182" t="s">
        <v>10</v>
      </c>
      <c r="E182" t="s">
        <v>11</v>
      </c>
      <c r="F182" t="s">
        <v>12</v>
      </c>
      <c r="G182">
        <v>0.09</v>
      </c>
    </row>
    <row r="183" spans="1:7" x14ac:dyDescent="0.3">
      <c r="A183" t="s">
        <v>219</v>
      </c>
      <c r="B183" s="2">
        <v>45869.994745370372</v>
      </c>
      <c r="C183" t="s">
        <v>9</v>
      </c>
      <c r="D183" t="s">
        <v>10</v>
      </c>
      <c r="E183" t="s">
        <v>21</v>
      </c>
      <c r="F183" t="s">
        <v>18</v>
      </c>
      <c r="G183">
        <v>0</v>
      </c>
    </row>
    <row r="184" spans="1:7" x14ac:dyDescent="0.3">
      <c r="A184" t="s">
        <v>220</v>
      </c>
      <c r="B184" s="2">
        <v>45842.735451388893</v>
      </c>
      <c r="C184" t="s">
        <v>9</v>
      </c>
      <c r="D184" t="s">
        <v>28</v>
      </c>
      <c r="E184" t="s">
        <v>17</v>
      </c>
      <c r="F184" t="s">
        <v>18</v>
      </c>
      <c r="G184">
        <v>0.04</v>
      </c>
    </row>
    <row r="185" spans="1:7" x14ac:dyDescent="0.3">
      <c r="A185" t="s">
        <v>221</v>
      </c>
      <c r="B185" s="2">
        <v>45861.336724537039</v>
      </c>
      <c r="C185" t="s">
        <v>9</v>
      </c>
      <c r="D185" t="s">
        <v>28</v>
      </c>
      <c r="E185" t="s">
        <v>21</v>
      </c>
      <c r="F185" t="s">
        <v>12</v>
      </c>
      <c r="G185">
        <v>0.1</v>
      </c>
    </row>
    <row r="186" spans="1:7" x14ac:dyDescent="0.3">
      <c r="A186" t="s">
        <v>222</v>
      </c>
      <c r="B186" s="2">
        <v>45849.008275462962</v>
      </c>
      <c r="C186" t="s">
        <v>15</v>
      </c>
      <c r="D186" t="s">
        <v>28</v>
      </c>
      <c r="E186" t="s">
        <v>11</v>
      </c>
      <c r="F186" t="s">
        <v>12</v>
      </c>
      <c r="G186">
        <v>0.06</v>
      </c>
    </row>
    <row r="187" spans="1:7" x14ac:dyDescent="0.3">
      <c r="A187" t="s">
        <v>223</v>
      </c>
      <c r="B187" s="2">
        <v>45842.060497685183</v>
      </c>
      <c r="C187" t="s">
        <v>27</v>
      </c>
      <c r="D187" t="s">
        <v>16</v>
      </c>
      <c r="E187" t="s">
        <v>17</v>
      </c>
      <c r="F187" t="s">
        <v>12</v>
      </c>
      <c r="G187">
        <v>0.02</v>
      </c>
    </row>
    <row r="188" spans="1:7" x14ac:dyDescent="0.3">
      <c r="A188" t="s">
        <v>224</v>
      </c>
      <c r="B188" s="2">
        <v>45874.053333333337</v>
      </c>
      <c r="C188" t="s">
        <v>15</v>
      </c>
      <c r="D188" t="s">
        <v>16</v>
      </c>
      <c r="E188" t="s">
        <v>17</v>
      </c>
      <c r="F188" t="s">
        <v>12</v>
      </c>
      <c r="G188">
        <v>0.03</v>
      </c>
    </row>
    <row r="189" spans="1:7" x14ac:dyDescent="0.3">
      <c r="A189" t="s">
        <v>225</v>
      </c>
      <c r="B189" s="2">
        <v>45890.821134259262</v>
      </c>
      <c r="C189" t="s">
        <v>15</v>
      </c>
      <c r="D189" t="s">
        <v>10</v>
      </c>
      <c r="E189" t="s">
        <v>11</v>
      </c>
      <c r="F189" t="s">
        <v>18</v>
      </c>
      <c r="G189">
        <v>0.09</v>
      </c>
    </row>
    <row r="190" spans="1:7" x14ac:dyDescent="0.3">
      <c r="A190" t="s">
        <v>226</v>
      </c>
      <c r="B190" s="2">
        <v>45855.75377314815</v>
      </c>
      <c r="C190" t="s">
        <v>27</v>
      </c>
      <c r="D190" t="s">
        <v>28</v>
      </c>
      <c r="E190" t="s">
        <v>11</v>
      </c>
      <c r="F190" t="s">
        <v>18</v>
      </c>
      <c r="G190">
        <v>0.03</v>
      </c>
    </row>
    <row r="191" spans="1:7" x14ac:dyDescent="0.3">
      <c r="A191" t="s">
        <v>227</v>
      </c>
      <c r="B191" s="2">
        <v>45862.632245370369</v>
      </c>
      <c r="C191" t="s">
        <v>15</v>
      </c>
      <c r="D191" t="s">
        <v>10</v>
      </c>
      <c r="E191" t="s">
        <v>17</v>
      </c>
      <c r="F191" t="s">
        <v>22</v>
      </c>
      <c r="G191">
        <v>7.0000000000000007E-2</v>
      </c>
    </row>
    <row r="192" spans="1:7" x14ac:dyDescent="0.3">
      <c r="A192" t="s">
        <v>228</v>
      </c>
      <c r="B192" s="2">
        <v>45884.023206018523</v>
      </c>
      <c r="C192" t="s">
        <v>9</v>
      </c>
      <c r="D192" t="s">
        <v>16</v>
      </c>
      <c r="E192" t="s">
        <v>21</v>
      </c>
      <c r="F192" t="s">
        <v>12</v>
      </c>
      <c r="G192">
        <v>0.06</v>
      </c>
    </row>
    <row r="193" spans="1:7" x14ac:dyDescent="0.3">
      <c r="A193" t="s">
        <v>229</v>
      </c>
      <c r="B193" s="2">
        <v>45840.162395833337</v>
      </c>
      <c r="C193" t="s">
        <v>15</v>
      </c>
      <c r="D193" t="s">
        <v>16</v>
      </c>
      <c r="E193" t="s">
        <v>11</v>
      </c>
      <c r="F193" t="s">
        <v>12</v>
      </c>
      <c r="G193">
        <v>0.03</v>
      </c>
    </row>
    <row r="194" spans="1:7" x14ac:dyDescent="0.3">
      <c r="A194" t="s">
        <v>230</v>
      </c>
      <c r="B194" s="2">
        <v>45854.587905092587</v>
      </c>
      <c r="C194" t="s">
        <v>27</v>
      </c>
      <c r="D194" t="s">
        <v>16</v>
      </c>
      <c r="E194" t="s">
        <v>21</v>
      </c>
      <c r="F194" t="s">
        <v>22</v>
      </c>
      <c r="G194">
        <v>0.15</v>
      </c>
    </row>
    <row r="195" spans="1:7" x14ac:dyDescent="0.3">
      <c r="A195" t="s">
        <v>231</v>
      </c>
      <c r="B195" s="2">
        <v>45880.44630787037</v>
      </c>
      <c r="C195" t="s">
        <v>9</v>
      </c>
      <c r="D195" t="s">
        <v>16</v>
      </c>
      <c r="E195" t="s">
        <v>21</v>
      </c>
      <c r="F195" t="s">
        <v>12</v>
      </c>
      <c r="G195">
        <v>0.09</v>
      </c>
    </row>
    <row r="196" spans="1:7" x14ac:dyDescent="0.3">
      <c r="A196" t="s">
        <v>232</v>
      </c>
      <c r="B196" s="2">
        <v>45858.592048611114</v>
      </c>
      <c r="C196" t="s">
        <v>15</v>
      </c>
      <c r="D196" t="s">
        <v>16</v>
      </c>
      <c r="E196" t="s">
        <v>17</v>
      </c>
      <c r="F196" t="s">
        <v>22</v>
      </c>
      <c r="G196">
        <v>0</v>
      </c>
    </row>
    <row r="197" spans="1:7" x14ac:dyDescent="0.3">
      <c r="A197" t="s">
        <v>233</v>
      </c>
      <c r="B197" s="2">
        <v>45876.27679398148</v>
      </c>
      <c r="C197" t="s">
        <v>9</v>
      </c>
      <c r="D197" t="s">
        <v>16</v>
      </c>
      <c r="E197" t="s">
        <v>11</v>
      </c>
      <c r="F197" t="s">
        <v>12</v>
      </c>
      <c r="G197">
        <v>7.0000000000000007E-2</v>
      </c>
    </row>
    <row r="198" spans="1:7" x14ac:dyDescent="0.3">
      <c r="A198" t="s">
        <v>234</v>
      </c>
      <c r="B198" s="2">
        <v>45867.9140625</v>
      </c>
      <c r="C198" t="s">
        <v>27</v>
      </c>
      <c r="D198" t="s">
        <v>10</v>
      </c>
      <c r="E198" t="s">
        <v>21</v>
      </c>
      <c r="F198" t="s">
        <v>18</v>
      </c>
      <c r="G198">
        <v>0.03</v>
      </c>
    </row>
    <row r="199" spans="1:7" x14ac:dyDescent="0.3">
      <c r="A199" t="s">
        <v>235</v>
      </c>
      <c r="B199" s="2">
        <v>45840.036226851851</v>
      </c>
      <c r="C199" t="s">
        <v>9</v>
      </c>
      <c r="D199" t="s">
        <v>10</v>
      </c>
      <c r="E199" t="s">
        <v>11</v>
      </c>
      <c r="F199" t="s">
        <v>12</v>
      </c>
      <c r="G199">
        <v>0.09</v>
      </c>
    </row>
    <row r="200" spans="1:7" x14ac:dyDescent="0.3">
      <c r="A200" t="s">
        <v>236</v>
      </c>
      <c r="B200" s="2">
        <v>45898.126226851848</v>
      </c>
      <c r="C200" t="s">
        <v>9</v>
      </c>
      <c r="D200" t="s">
        <v>16</v>
      </c>
      <c r="E200" t="s">
        <v>21</v>
      </c>
      <c r="F200" t="s">
        <v>12</v>
      </c>
      <c r="G200">
        <v>0.03</v>
      </c>
    </row>
    <row r="201" spans="1:7" x14ac:dyDescent="0.3">
      <c r="A201" t="s">
        <v>237</v>
      </c>
      <c r="B201" s="2">
        <v>45898.190162037034</v>
      </c>
      <c r="C201" t="s">
        <v>15</v>
      </c>
      <c r="D201" t="s">
        <v>28</v>
      </c>
      <c r="E201" t="s">
        <v>11</v>
      </c>
      <c r="F201" t="s">
        <v>12</v>
      </c>
      <c r="G201">
        <v>0.06</v>
      </c>
    </row>
    <row r="202" spans="1:7" x14ac:dyDescent="0.3">
      <c r="A202" t="s">
        <v>238</v>
      </c>
      <c r="B202" s="2">
        <v>45863.583437499998</v>
      </c>
      <c r="C202" t="s">
        <v>9</v>
      </c>
      <c r="D202" t="s">
        <v>10</v>
      </c>
      <c r="E202" t="s">
        <v>11</v>
      </c>
      <c r="F202" t="s">
        <v>22</v>
      </c>
      <c r="G202">
        <v>0.08</v>
      </c>
    </row>
    <row r="203" spans="1:7" x14ac:dyDescent="0.3">
      <c r="A203" t="s">
        <v>239</v>
      </c>
      <c r="B203" s="2">
        <v>45848.683680555558</v>
      </c>
      <c r="C203" t="s">
        <v>9</v>
      </c>
      <c r="D203" t="s">
        <v>10</v>
      </c>
      <c r="E203" t="s">
        <v>17</v>
      </c>
      <c r="F203" t="s">
        <v>18</v>
      </c>
      <c r="G203">
        <v>0.09</v>
      </c>
    </row>
    <row r="204" spans="1:7" x14ac:dyDescent="0.3">
      <c r="A204" t="s">
        <v>240</v>
      </c>
      <c r="B204" s="2">
        <v>45882.049675925933</v>
      </c>
      <c r="C204" t="s">
        <v>27</v>
      </c>
      <c r="D204" t="s">
        <v>10</v>
      </c>
      <c r="E204" t="s">
        <v>21</v>
      </c>
      <c r="F204" t="s">
        <v>12</v>
      </c>
      <c r="G204">
        <v>0.01</v>
      </c>
    </row>
    <row r="205" spans="1:7" x14ac:dyDescent="0.3">
      <c r="A205" t="s">
        <v>241</v>
      </c>
      <c r="B205" s="2">
        <v>45848.001076388893</v>
      </c>
      <c r="C205" t="s">
        <v>15</v>
      </c>
      <c r="D205" t="s">
        <v>16</v>
      </c>
      <c r="E205" t="s">
        <v>11</v>
      </c>
      <c r="F205" t="s">
        <v>12</v>
      </c>
      <c r="G205">
        <v>0.05</v>
      </c>
    </row>
    <row r="206" spans="1:7" x14ac:dyDescent="0.3">
      <c r="A206" t="s">
        <v>242</v>
      </c>
      <c r="B206" s="2">
        <v>45856.302951388891</v>
      </c>
      <c r="C206" t="s">
        <v>27</v>
      </c>
      <c r="D206" t="s">
        <v>28</v>
      </c>
      <c r="E206" t="s">
        <v>11</v>
      </c>
      <c r="F206" t="s">
        <v>12</v>
      </c>
      <c r="G206">
        <v>0.04</v>
      </c>
    </row>
    <row r="207" spans="1:7" x14ac:dyDescent="0.3">
      <c r="A207" t="s">
        <v>243</v>
      </c>
      <c r="B207" s="2">
        <v>45890.790648148148</v>
      </c>
      <c r="C207" t="s">
        <v>9</v>
      </c>
      <c r="D207" t="s">
        <v>16</v>
      </c>
      <c r="E207" t="s">
        <v>17</v>
      </c>
      <c r="F207" t="s">
        <v>18</v>
      </c>
      <c r="G207">
        <v>0.03</v>
      </c>
    </row>
    <row r="208" spans="1:7" x14ac:dyDescent="0.3">
      <c r="A208" t="s">
        <v>244</v>
      </c>
      <c r="B208" s="2">
        <v>45886.032777777778</v>
      </c>
      <c r="C208" t="s">
        <v>15</v>
      </c>
      <c r="D208" t="s">
        <v>10</v>
      </c>
      <c r="E208" t="s">
        <v>21</v>
      </c>
      <c r="F208" t="s">
        <v>12</v>
      </c>
      <c r="G208">
        <v>0.13</v>
      </c>
    </row>
    <row r="209" spans="1:7" x14ac:dyDescent="0.3">
      <c r="A209" t="s">
        <v>245</v>
      </c>
      <c r="B209" s="2">
        <v>45884.720462962963</v>
      </c>
      <c r="C209" t="s">
        <v>27</v>
      </c>
      <c r="D209" t="s">
        <v>28</v>
      </c>
      <c r="E209" t="s">
        <v>17</v>
      </c>
      <c r="F209" t="s">
        <v>18</v>
      </c>
      <c r="G209">
        <v>0.08</v>
      </c>
    </row>
    <row r="210" spans="1:7" x14ac:dyDescent="0.3">
      <c r="A210" t="s">
        <v>246</v>
      </c>
      <c r="B210" s="2">
        <v>45893.3596875</v>
      </c>
      <c r="C210" t="s">
        <v>15</v>
      </c>
      <c r="D210" t="s">
        <v>28</v>
      </c>
      <c r="E210" t="s">
        <v>21</v>
      </c>
      <c r="F210" t="s">
        <v>12</v>
      </c>
      <c r="G210">
        <v>0.01</v>
      </c>
    </row>
    <row r="211" spans="1:7" x14ac:dyDescent="0.3">
      <c r="A211" t="s">
        <v>247</v>
      </c>
      <c r="B211" s="2">
        <v>45864.926377314812</v>
      </c>
      <c r="C211" t="s">
        <v>9</v>
      </c>
      <c r="D211" t="s">
        <v>28</v>
      </c>
      <c r="E211" t="s">
        <v>21</v>
      </c>
      <c r="F211" t="s">
        <v>18</v>
      </c>
      <c r="G211">
        <v>0.1</v>
      </c>
    </row>
    <row r="212" spans="1:7" x14ac:dyDescent="0.3">
      <c r="A212" t="s">
        <v>248</v>
      </c>
      <c r="B212" s="2">
        <v>45864.703344907408</v>
      </c>
      <c r="C212" t="s">
        <v>9</v>
      </c>
      <c r="D212" t="s">
        <v>16</v>
      </c>
      <c r="E212" t="s">
        <v>11</v>
      </c>
      <c r="F212" t="s">
        <v>18</v>
      </c>
      <c r="G212">
        <v>0.14000000000000001</v>
      </c>
    </row>
    <row r="213" spans="1:7" x14ac:dyDescent="0.3">
      <c r="A213" t="s">
        <v>249</v>
      </c>
      <c r="B213" s="2">
        <v>45849.76935185185</v>
      </c>
      <c r="C213" t="s">
        <v>9</v>
      </c>
      <c r="D213" t="s">
        <v>28</v>
      </c>
      <c r="E213" t="s">
        <v>21</v>
      </c>
      <c r="F213" t="s">
        <v>18</v>
      </c>
      <c r="G213">
        <v>0.1</v>
      </c>
    </row>
    <row r="214" spans="1:7" x14ac:dyDescent="0.3">
      <c r="A214" t="s">
        <v>250</v>
      </c>
      <c r="B214" s="2">
        <v>45893.757245370369</v>
      </c>
      <c r="C214" t="s">
        <v>15</v>
      </c>
      <c r="D214" t="s">
        <v>10</v>
      </c>
      <c r="E214" t="s">
        <v>17</v>
      </c>
      <c r="F214" t="s">
        <v>18</v>
      </c>
      <c r="G214">
        <v>0</v>
      </c>
    </row>
    <row r="215" spans="1:7" x14ac:dyDescent="0.3">
      <c r="A215" t="s">
        <v>251</v>
      </c>
      <c r="B215" s="2">
        <v>45884.325902777768</v>
      </c>
      <c r="C215" t="s">
        <v>9</v>
      </c>
      <c r="D215" t="s">
        <v>16</v>
      </c>
      <c r="E215" t="s">
        <v>11</v>
      </c>
      <c r="F215" t="s">
        <v>12</v>
      </c>
      <c r="G215">
        <v>0.04</v>
      </c>
    </row>
    <row r="216" spans="1:7" x14ac:dyDescent="0.3">
      <c r="A216" t="s">
        <v>252</v>
      </c>
      <c r="B216" s="2">
        <v>45850.578101851846</v>
      </c>
      <c r="C216" t="s">
        <v>27</v>
      </c>
      <c r="D216" t="s">
        <v>28</v>
      </c>
      <c r="E216" t="s">
        <v>17</v>
      </c>
      <c r="F216" t="s">
        <v>22</v>
      </c>
      <c r="G216">
        <v>0.11</v>
      </c>
    </row>
    <row r="217" spans="1:7" x14ac:dyDescent="0.3">
      <c r="A217" t="s">
        <v>253</v>
      </c>
      <c r="B217" s="2">
        <v>45887.079097222217</v>
      </c>
      <c r="C217" t="s">
        <v>27</v>
      </c>
      <c r="D217" t="s">
        <v>28</v>
      </c>
      <c r="E217" t="s">
        <v>17</v>
      </c>
      <c r="F217" t="s">
        <v>12</v>
      </c>
      <c r="G217">
        <v>0.03</v>
      </c>
    </row>
    <row r="218" spans="1:7" x14ac:dyDescent="0.3">
      <c r="A218" t="s">
        <v>254</v>
      </c>
      <c r="B218" s="2">
        <v>45852.421666666669</v>
      </c>
      <c r="C218" t="s">
        <v>15</v>
      </c>
      <c r="D218" t="s">
        <v>16</v>
      </c>
      <c r="E218" t="s">
        <v>21</v>
      </c>
      <c r="F218" t="s">
        <v>12</v>
      </c>
      <c r="G218">
        <v>0.08</v>
      </c>
    </row>
    <row r="219" spans="1:7" x14ac:dyDescent="0.3">
      <c r="A219" t="s">
        <v>255</v>
      </c>
      <c r="B219" s="2">
        <v>45879.943171296298</v>
      </c>
      <c r="C219" t="s">
        <v>9</v>
      </c>
      <c r="D219" t="s">
        <v>10</v>
      </c>
      <c r="E219" t="s">
        <v>11</v>
      </c>
      <c r="F219" t="s">
        <v>18</v>
      </c>
      <c r="G219">
        <v>0.09</v>
      </c>
    </row>
    <row r="220" spans="1:7" x14ac:dyDescent="0.3">
      <c r="A220" t="s">
        <v>256</v>
      </c>
      <c r="B220" s="2">
        <v>45879.531284722223</v>
      </c>
      <c r="C220" t="s">
        <v>9</v>
      </c>
      <c r="D220" t="s">
        <v>28</v>
      </c>
      <c r="E220" t="s">
        <v>21</v>
      </c>
      <c r="F220" t="s">
        <v>22</v>
      </c>
      <c r="G220">
        <v>0.02</v>
      </c>
    </row>
    <row r="221" spans="1:7" x14ac:dyDescent="0.3">
      <c r="A221" t="s">
        <v>257</v>
      </c>
      <c r="B221" s="2">
        <v>45866.410069444442</v>
      </c>
      <c r="C221" t="s">
        <v>27</v>
      </c>
      <c r="D221" t="s">
        <v>10</v>
      </c>
      <c r="E221" t="s">
        <v>21</v>
      </c>
      <c r="F221" t="s">
        <v>12</v>
      </c>
      <c r="G221">
        <v>0.06</v>
      </c>
    </row>
    <row r="222" spans="1:7" x14ac:dyDescent="0.3">
      <c r="A222" t="s">
        <v>258</v>
      </c>
      <c r="B222" s="2">
        <v>45882.298217592594</v>
      </c>
      <c r="C222" t="s">
        <v>15</v>
      </c>
      <c r="D222" t="s">
        <v>28</v>
      </c>
      <c r="E222" t="s">
        <v>21</v>
      </c>
      <c r="F222" t="s">
        <v>12</v>
      </c>
      <c r="G222">
        <v>0</v>
      </c>
    </row>
    <row r="223" spans="1:7" x14ac:dyDescent="0.3">
      <c r="A223" t="s">
        <v>259</v>
      </c>
      <c r="B223" s="2">
        <v>45874.914675925917</v>
      </c>
      <c r="C223" t="s">
        <v>9</v>
      </c>
      <c r="D223" t="s">
        <v>10</v>
      </c>
      <c r="E223" t="s">
        <v>21</v>
      </c>
      <c r="F223" t="s">
        <v>18</v>
      </c>
      <c r="G223">
        <v>0.02</v>
      </c>
    </row>
    <row r="224" spans="1:7" x14ac:dyDescent="0.3">
      <c r="A224" t="s">
        <v>260</v>
      </c>
      <c r="B224" s="2">
        <v>45877.90552083333</v>
      </c>
      <c r="C224" t="s">
        <v>15</v>
      </c>
      <c r="D224" t="s">
        <v>28</v>
      </c>
      <c r="E224" t="s">
        <v>17</v>
      </c>
      <c r="F224" t="s">
        <v>18</v>
      </c>
      <c r="G224">
        <v>0.05</v>
      </c>
    </row>
    <row r="225" spans="1:7" x14ac:dyDescent="0.3">
      <c r="A225" t="s">
        <v>261</v>
      </c>
      <c r="B225" s="2">
        <v>45848.150601851848</v>
      </c>
      <c r="C225" t="s">
        <v>9</v>
      </c>
      <c r="D225" t="s">
        <v>28</v>
      </c>
      <c r="E225" t="s">
        <v>11</v>
      </c>
      <c r="F225" t="s">
        <v>12</v>
      </c>
      <c r="G225">
        <v>0.01</v>
      </c>
    </row>
    <row r="226" spans="1:7" x14ac:dyDescent="0.3">
      <c r="A226" t="s">
        <v>262</v>
      </c>
      <c r="B226" s="2">
        <v>45844.160682870373</v>
      </c>
      <c r="C226" t="s">
        <v>15</v>
      </c>
      <c r="D226" t="s">
        <v>28</v>
      </c>
      <c r="E226" t="s">
        <v>17</v>
      </c>
      <c r="F226" t="s">
        <v>12</v>
      </c>
      <c r="G226">
        <v>0.13</v>
      </c>
    </row>
    <row r="227" spans="1:7" x14ac:dyDescent="0.3">
      <c r="A227" t="s">
        <v>263</v>
      </c>
      <c r="B227" s="2">
        <v>45845.911377314813</v>
      </c>
      <c r="C227" t="s">
        <v>9</v>
      </c>
      <c r="D227" t="s">
        <v>28</v>
      </c>
      <c r="E227" t="s">
        <v>11</v>
      </c>
      <c r="F227" t="s">
        <v>18</v>
      </c>
      <c r="G227">
        <v>0</v>
      </c>
    </row>
    <row r="228" spans="1:7" x14ac:dyDescent="0.3">
      <c r="A228" t="s">
        <v>264</v>
      </c>
      <c r="B228" s="2">
        <v>45861.871921296297</v>
      </c>
      <c r="C228" t="s">
        <v>15</v>
      </c>
      <c r="D228" t="s">
        <v>28</v>
      </c>
      <c r="E228" t="s">
        <v>11</v>
      </c>
      <c r="F228" t="s">
        <v>18</v>
      </c>
      <c r="G228">
        <v>0.04</v>
      </c>
    </row>
    <row r="229" spans="1:7" x14ac:dyDescent="0.3">
      <c r="A229" t="s">
        <v>265</v>
      </c>
      <c r="B229" s="2">
        <v>45866.170706018522</v>
      </c>
      <c r="C229" t="s">
        <v>27</v>
      </c>
      <c r="D229" t="s">
        <v>28</v>
      </c>
      <c r="E229" t="s">
        <v>11</v>
      </c>
      <c r="F229" t="s">
        <v>12</v>
      </c>
      <c r="G229">
        <v>7.0000000000000007E-2</v>
      </c>
    </row>
    <row r="230" spans="1:7" x14ac:dyDescent="0.3">
      <c r="A230" t="s">
        <v>266</v>
      </c>
      <c r="B230" s="2">
        <v>45856.191979166673</v>
      </c>
      <c r="C230" t="s">
        <v>27</v>
      </c>
      <c r="D230" t="s">
        <v>10</v>
      </c>
      <c r="E230" t="s">
        <v>17</v>
      </c>
      <c r="F230" t="s">
        <v>12</v>
      </c>
      <c r="G230">
        <v>0.12</v>
      </c>
    </row>
    <row r="231" spans="1:7" x14ac:dyDescent="0.3">
      <c r="A231" t="s">
        <v>267</v>
      </c>
      <c r="B231" s="2">
        <v>45840.692789351851</v>
      </c>
      <c r="C231" t="s">
        <v>15</v>
      </c>
      <c r="D231" t="s">
        <v>28</v>
      </c>
      <c r="E231" t="s">
        <v>11</v>
      </c>
      <c r="F231" t="s">
        <v>18</v>
      </c>
      <c r="G231">
        <v>0</v>
      </c>
    </row>
    <row r="232" spans="1:7" x14ac:dyDescent="0.3">
      <c r="A232" t="s">
        <v>268</v>
      </c>
      <c r="B232" s="2">
        <v>45840.782187500001</v>
      </c>
      <c r="C232" t="s">
        <v>27</v>
      </c>
      <c r="D232" t="s">
        <v>16</v>
      </c>
      <c r="E232" t="s">
        <v>17</v>
      </c>
      <c r="F232" t="s">
        <v>18</v>
      </c>
      <c r="G232">
        <v>0.11</v>
      </c>
    </row>
    <row r="233" spans="1:7" x14ac:dyDescent="0.3">
      <c r="A233" t="s">
        <v>269</v>
      </c>
      <c r="B233" s="2">
        <v>45880.121215277781</v>
      </c>
      <c r="C233" t="s">
        <v>9</v>
      </c>
      <c r="D233" t="s">
        <v>28</v>
      </c>
      <c r="E233" t="s">
        <v>11</v>
      </c>
      <c r="F233" t="s">
        <v>12</v>
      </c>
      <c r="G233">
        <v>0.06</v>
      </c>
    </row>
    <row r="234" spans="1:7" x14ac:dyDescent="0.3">
      <c r="A234" t="s">
        <v>270</v>
      </c>
      <c r="B234" s="2">
        <v>45885.488888888889</v>
      </c>
      <c r="C234" t="s">
        <v>15</v>
      </c>
      <c r="D234" t="s">
        <v>16</v>
      </c>
      <c r="E234" t="s">
        <v>11</v>
      </c>
      <c r="F234" t="s">
        <v>22</v>
      </c>
      <c r="G234">
        <v>0.02</v>
      </c>
    </row>
    <row r="235" spans="1:7" x14ac:dyDescent="0.3">
      <c r="A235" t="s">
        <v>271</v>
      </c>
      <c r="B235" s="2">
        <v>45883.135370370372</v>
      </c>
      <c r="C235" t="s">
        <v>9</v>
      </c>
      <c r="D235" t="s">
        <v>28</v>
      </c>
      <c r="E235" t="s">
        <v>11</v>
      </c>
      <c r="F235" t="s">
        <v>12</v>
      </c>
      <c r="G235">
        <v>0.08</v>
      </c>
    </row>
    <row r="236" spans="1:7" x14ac:dyDescent="0.3">
      <c r="A236" t="s">
        <v>272</v>
      </c>
      <c r="B236" s="2">
        <v>45889.877881944441</v>
      </c>
      <c r="C236" t="s">
        <v>15</v>
      </c>
      <c r="D236" t="s">
        <v>16</v>
      </c>
      <c r="E236" t="s">
        <v>11</v>
      </c>
      <c r="F236" t="s">
        <v>18</v>
      </c>
      <c r="G236">
        <v>7.0000000000000007E-2</v>
      </c>
    </row>
    <row r="237" spans="1:7" x14ac:dyDescent="0.3">
      <c r="A237" t="s">
        <v>273</v>
      </c>
      <c r="B237" s="2">
        <v>45845.155555555553</v>
      </c>
      <c r="C237" t="s">
        <v>15</v>
      </c>
      <c r="D237" t="s">
        <v>16</v>
      </c>
      <c r="E237" t="s">
        <v>21</v>
      </c>
      <c r="F237" t="s">
        <v>12</v>
      </c>
      <c r="G237">
        <v>0.04</v>
      </c>
    </row>
    <row r="238" spans="1:7" x14ac:dyDescent="0.3">
      <c r="A238" t="s">
        <v>274</v>
      </c>
      <c r="B238" s="2">
        <v>45886.850381944438</v>
      </c>
      <c r="C238" t="s">
        <v>9</v>
      </c>
      <c r="D238" t="s">
        <v>16</v>
      </c>
      <c r="E238" t="s">
        <v>17</v>
      </c>
      <c r="F238" t="s">
        <v>18</v>
      </c>
      <c r="G238">
        <v>0.06</v>
      </c>
    </row>
    <row r="239" spans="1:7" x14ac:dyDescent="0.3">
      <c r="A239" t="s">
        <v>275</v>
      </c>
      <c r="B239" s="2">
        <v>45870.523946759262</v>
      </c>
      <c r="C239" t="s">
        <v>9</v>
      </c>
      <c r="D239" t="s">
        <v>28</v>
      </c>
      <c r="E239" t="s">
        <v>17</v>
      </c>
      <c r="F239" t="s">
        <v>22</v>
      </c>
      <c r="G239">
        <v>0.04</v>
      </c>
    </row>
    <row r="240" spans="1:7" x14ac:dyDescent="0.3">
      <c r="A240" t="s">
        <v>276</v>
      </c>
      <c r="B240" s="2">
        <v>45865.95140046296</v>
      </c>
      <c r="C240" t="s">
        <v>9</v>
      </c>
      <c r="D240" t="s">
        <v>10</v>
      </c>
      <c r="E240" t="s">
        <v>11</v>
      </c>
      <c r="F240" t="s">
        <v>18</v>
      </c>
      <c r="G240">
        <v>0.06</v>
      </c>
    </row>
    <row r="241" spans="1:7" x14ac:dyDescent="0.3">
      <c r="A241" t="s">
        <v>277</v>
      </c>
      <c r="B241" s="2">
        <v>45870.822372685187</v>
      </c>
      <c r="C241" t="s">
        <v>15</v>
      </c>
      <c r="D241" t="s">
        <v>10</v>
      </c>
      <c r="E241" t="s">
        <v>11</v>
      </c>
      <c r="F241" t="s">
        <v>18</v>
      </c>
      <c r="G241">
        <v>0.09</v>
      </c>
    </row>
    <row r="242" spans="1:7" x14ac:dyDescent="0.3">
      <c r="A242" t="s">
        <v>278</v>
      </c>
      <c r="B242" s="2">
        <v>45883.301388888889</v>
      </c>
      <c r="C242" t="s">
        <v>9</v>
      </c>
      <c r="D242" t="s">
        <v>10</v>
      </c>
      <c r="E242" t="s">
        <v>21</v>
      </c>
      <c r="F242" t="s">
        <v>12</v>
      </c>
      <c r="G242">
        <v>0.12</v>
      </c>
    </row>
    <row r="243" spans="1:7" x14ac:dyDescent="0.3">
      <c r="A243" t="s">
        <v>279</v>
      </c>
      <c r="B243" s="2">
        <v>45850.358495370368</v>
      </c>
      <c r="C243" t="s">
        <v>9</v>
      </c>
      <c r="D243" t="s">
        <v>10</v>
      </c>
      <c r="E243" t="s">
        <v>11</v>
      </c>
      <c r="F243" t="s">
        <v>12</v>
      </c>
      <c r="G243">
        <v>0.01</v>
      </c>
    </row>
    <row r="244" spans="1:7" x14ac:dyDescent="0.3">
      <c r="A244" t="s">
        <v>280</v>
      </c>
      <c r="B244" s="2">
        <v>45881.005648148152</v>
      </c>
      <c r="C244" t="s">
        <v>15</v>
      </c>
      <c r="D244" t="s">
        <v>28</v>
      </c>
      <c r="E244" t="s">
        <v>21</v>
      </c>
      <c r="F244" t="s">
        <v>12</v>
      </c>
      <c r="G244">
        <v>0.15</v>
      </c>
    </row>
    <row r="245" spans="1:7" x14ac:dyDescent="0.3">
      <c r="A245" t="s">
        <v>281</v>
      </c>
      <c r="B245" s="2">
        <v>45883.280370370368</v>
      </c>
      <c r="C245" t="s">
        <v>15</v>
      </c>
      <c r="D245" t="s">
        <v>16</v>
      </c>
      <c r="E245" t="s">
        <v>11</v>
      </c>
      <c r="F245" t="s">
        <v>12</v>
      </c>
      <c r="G245">
        <v>0</v>
      </c>
    </row>
    <row r="246" spans="1:7" x14ac:dyDescent="0.3">
      <c r="A246" t="s">
        <v>282</v>
      </c>
      <c r="B246" s="2">
        <v>45869.59542824074</v>
      </c>
      <c r="C246" t="s">
        <v>15</v>
      </c>
      <c r="D246" t="s">
        <v>16</v>
      </c>
      <c r="E246" t="s">
        <v>11</v>
      </c>
      <c r="F246" t="s">
        <v>22</v>
      </c>
      <c r="G246">
        <v>0.05</v>
      </c>
    </row>
    <row r="247" spans="1:7" x14ac:dyDescent="0.3">
      <c r="A247" t="s">
        <v>283</v>
      </c>
      <c r="B247" s="2">
        <v>45875.59101851852</v>
      </c>
      <c r="C247" t="s">
        <v>27</v>
      </c>
      <c r="D247" t="s">
        <v>10</v>
      </c>
      <c r="E247" t="s">
        <v>21</v>
      </c>
      <c r="F247" t="s">
        <v>22</v>
      </c>
      <c r="G247">
        <v>0.08</v>
      </c>
    </row>
    <row r="248" spans="1:7" x14ac:dyDescent="0.3">
      <c r="A248" t="s">
        <v>284</v>
      </c>
      <c r="B248" s="2">
        <v>45848.107037037043</v>
      </c>
      <c r="C248" t="s">
        <v>27</v>
      </c>
      <c r="D248" t="s">
        <v>28</v>
      </c>
      <c r="E248" t="s">
        <v>21</v>
      </c>
      <c r="F248" t="s">
        <v>12</v>
      </c>
      <c r="G248">
        <v>7.0000000000000007E-2</v>
      </c>
    </row>
    <row r="249" spans="1:7" x14ac:dyDescent="0.3">
      <c r="A249" t="s">
        <v>285</v>
      </c>
      <c r="B249" s="2">
        <v>45875.43041666667</v>
      </c>
      <c r="C249" t="s">
        <v>27</v>
      </c>
      <c r="D249" t="s">
        <v>10</v>
      </c>
      <c r="E249" t="s">
        <v>17</v>
      </c>
      <c r="F249" t="s">
        <v>12</v>
      </c>
      <c r="G249">
        <v>0.04</v>
      </c>
    </row>
    <row r="250" spans="1:7" x14ac:dyDescent="0.3">
      <c r="A250" t="s">
        <v>286</v>
      </c>
      <c r="B250" s="2">
        <v>45893.784039351849</v>
      </c>
      <c r="C250" t="s">
        <v>15</v>
      </c>
      <c r="D250" t="s">
        <v>10</v>
      </c>
      <c r="E250" t="s">
        <v>17</v>
      </c>
      <c r="F250" t="s">
        <v>18</v>
      </c>
      <c r="G250">
        <v>0.05</v>
      </c>
    </row>
    <row r="251" spans="1:7" x14ac:dyDescent="0.3">
      <c r="A251" t="s">
        <v>287</v>
      </c>
      <c r="B251" s="2">
        <v>45873.580960648149</v>
      </c>
      <c r="C251" t="s">
        <v>9</v>
      </c>
      <c r="D251" t="s">
        <v>16</v>
      </c>
      <c r="E251" t="s">
        <v>11</v>
      </c>
      <c r="F251" t="s">
        <v>22</v>
      </c>
      <c r="G251">
        <v>0.04</v>
      </c>
    </row>
    <row r="252" spans="1:7" x14ac:dyDescent="0.3">
      <c r="A252" t="s">
        <v>288</v>
      </c>
      <c r="B252" s="2">
        <v>45867.176041666673</v>
      </c>
      <c r="C252" t="s">
        <v>9</v>
      </c>
      <c r="D252" t="s">
        <v>16</v>
      </c>
      <c r="E252" t="s">
        <v>21</v>
      </c>
      <c r="F252" t="s">
        <v>12</v>
      </c>
      <c r="G252">
        <v>0.04</v>
      </c>
    </row>
    <row r="253" spans="1:7" x14ac:dyDescent="0.3">
      <c r="A253" t="s">
        <v>289</v>
      </c>
      <c r="B253" s="2">
        <v>45895.360312500001</v>
      </c>
      <c r="C253" t="s">
        <v>9</v>
      </c>
      <c r="D253" t="s">
        <v>28</v>
      </c>
      <c r="E253" t="s">
        <v>17</v>
      </c>
      <c r="F253" t="s">
        <v>12</v>
      </c>
      <c r="G253">
        <v>0.09</v>
      </c>
    </row>
    <row r="254" spans="1:7" x14ac:dyDescent="0.3">
      <c r="A254" t="s">
        <v>290</v>
      </c>
      <c r="B254" s="2">
        <v>45861.022013888891</v>
      </c>
      <c r="C254" t="s">
        <v>27</v>
      </c>
      <c r="D254" t="s">
        <v>16</v>
      </c>
      <c r="E254" t="s">
        <v>11</v>
      </c>
      <c r="F254" t="s">
        <v>12</v>
      </c>
      <c r="G254">
        <v>7.0000000000000007E-2</v>
      </c>
    </row>
    <row r="255" spans="1:7" x14ac:dyDescent="0.3">
      <c r="A255" t="s">
        <v>291</v>
      </c>
      <c r="B255" s="2">
        <v>45850.404247685183</v>
      </c>
      <c r="C255" t="s">
        <v>15</v>
      </c>
      <c r="D255" t="s">
        <v>10</v>
      </c>
      <c r="E255" t="s">
        <v>17</v>
      </c>
      <c r="F255" t="s">
        <v>12</v>
      </c>
      <c r="G255">
        <v>0.03</v>
      </c>
    </row>
    <row r="256" spans="1:7" x14ac:dyDescent="0.3">
      <c r="A256" t="s">
        <v>292</v>
      </c>
      <c r="B256" s="2">
        <v>45893.714363425926</v>
      </c>
      <c r="C256" t="s">
        <v>9</v>
      </c>
      <c r="D256" t="s">
        <v>10</v>
      </c>
      <c r="E256" t="s">
        <v>11</v>
      </c>
      <c r="F256" t="s">
        <v>18</v>
      </c>
      <c r="G256">
        <v>0.1</v>
      </c>
    </row>
    <row r="257" spans="1:7" x14ac:dyDescent="0.3">
      <c r="A257" t="s">
        <v>293</v>
      </c>
      <c r="B257" s="2">
        <v>45841.798993055563</v>
      </c>
      <c r="C257" t="s">
        <v>9</v>
      </c>
      <c r="D257" t="s">
        <v>10</v>
      </c>
      <c r="E257" t="s">
        <v>11</v>
      </c>
      <c r="F257" t="s">
        <v>18</v>
      </c>
      <c r="G257">
        <v>7.0000000000000007E-2</v>
      </c>
    </row>
    <row r="258" spans="1:7" x14ac:dyDescent="0.3">
      <c r="A258" t="s">
        <v>294</v>
      </c>
      <c r="B258" s="2">
        <v>45842.061064814807</v>
      </c>
      <c r="C258" t="s">
        <v>27</v>
      </c>
      <c r="D258" t="s">
        <v>16</v>
      </c>
      <c r="E258" t="s">
        <v>11</v>
      </c>
      <c r="F258" t="s">
        <v>12</v>
      </c>
      <c r="G258">
        <v>0.09</v>
      </c>
    </row>
    <row r="259" spans="1:7" x14ac:dyDescent="0.3">
      <c r="A259" t="s">
        <v>295</v>
      </c>
      <c r="B259" s="2">
        <v>45872.243692129632</v>
      </c>
      <c r="C259" t="s">
        <v>15</v>
      </c>
      <c r="D259" t="s">
        <v>28</v>
      </c>
      <c r="E259" t="s">
        <v>17</v>
      </c>
      <c r="F259" t="s">
        <v>12</v>
      </c>
      <c r="G259">
        <v>0.09</v>
      </c>
    </row>
    <row r="260" spans="1:7" x14ac:dyDescent="0.3">
      <c r="A260" t="s">
        <v>296</v>
      </c>
      <c r="B260" s="2">
        <v>45894.234317129631</v>
      </c>
      <c r="C260" t="s">
        <v>9</v>
      </c>
      <c r="D260" t="s">
        <v>16</v>
      </c>
      <c r="E260" t="s">
        <v>17</v>
      </c>
      <c r="F260" t="s">
        <v>12</v>
      </c>
      <c r="G260">
        <v>0.03</v>
      </c>
    </row>
    <row r="261" spans="1:7" x14ac:dyDescent="0.3">
      <c r="A261" t="s">
        <v>297</v>
      </c>
      <c r="B261" s="2">
        <v>45842.226504629631</v>
      </c>
      <c r="C261" t="s">
        <v>27</v>
      </c>
      <c r="D261" t="s">
        <v>10</v>
      </c>
      <c r="E261" t="s">
        <v>11</v>
      </c>
      <c r="F261" t="s">
        <v>12</v>
      </c>
      <c r="G261">
        <v>0.04</v>
      </c>
    </row>
    <row r="262" spans="1:7" x14ac:dyDescent="0.3">
      <c r="A262" t="s">
        <v>298</v>
      </c>
      <c r="B262" s="2">
        <v>45875.77484953704</v>
      </c>
      <c r="C262" t="s">
        <v>15</v>
      </c>
      <c r="D262" t="s">
        <v>16</v>
      </c>
      <c r="E262" t="s">
        <v>21</v>
      </c>
      <c r="F262" t="s">
        <v>18</v>
      </c>
      <c r="G262">
        <v>0.09</v>
      </c>
    </row>
    <row r="263" spans="1:7" x14ac:dyDescent="0.3">
      <c r="A263" t="s">
        <v>299</v>
      </c>
      <c r="B263" s="2">
        <v>45875.178587962961</v>
      </c>
      <c r="C263" t="s">
        <v>15</v>
      </c>
      <c r="D263" t="s">
        <v>10</v>
      </c>
      <c r="E263" t="s">
        <v>21</v>
      </c>
      <c r="F263" t="s">
        <v>12</v>
      </c>
      <c r="G263">
        <v>0.08</v>
      </c>
    </row>
    <row r="264" spans="1:7" x14ac:dyDescent="0.3">
      <c r="A264" t="s">
        <v>300</v>
      </c>
      <c r="B264" s="2">
        <v>45844.357800925929</v>
      </c>
      <c r="C264" t="s">
        <v>27</v>
      </c>
      <c r="D264" t="s">
        <v>28</v>
      </c>
      <c r="E264" t="s">
        <v>11</v>
      </c>
      <c r="F264" t="s">
        <v>12</v>
      </c>
      <c r="G264">
        <v>0.06</v>
      </c>
    </row>
    <row r="265" spans="1:7" x14ac:dyDescent="0.3">
      <c r="A265" t="s">
        <v>301</v>
      </c>
      <c r="B265" s="2">
        <v>45847.170775462961</v>
      </c>
      <c r="C265" t="s">
        <v>15</v>
      </c>
      <c r="D265" t="s">
        <v>16</v>
      </c>
      <c r="E265" t="s">
        <v>11</v>
      </c>
      <c r="F265" t="s">
        <v>12</v>
      </c>
      <c r="G265">
        <v>0.06</v>
      </c>
    </row>
    <row r="266" spans="1:7" x14ac:dyDescent="0.3">
      <c r="A266" t="s">
        <v>302</v>
      </c>
      <c r="B266" s="2">
        <v>45886.403067129628</v>
      </c>
      <c r="C266" t="s">
        <v>9</v>
      </c>
      <c r="D266" t="s">
        <v>16</v>
      </c>
      <c r="E266" t="s">
        <v>21</v>
      </c>
      <c r="F266" t="s">
        <v>12</v>
      </c>
      <c r="G266">
        <v>0.11</v>
      </c>
    </row>
    <row r="267" spans="1:7" x14ac:dyDescent="0.3">
      <c r="A267" t="s">
        <v>303</v>
      </c>
      <c r="B267" s="2">
        <v>45860.179664351846</v>
      </c>
      <c r="C267" t="s">
        <v>9</v>
      </c>
      <c r="D267" t="s">
        <v>28</v>
      </c>
      <c r="E267" t="s">
        <v>21</v>
      </c>
      <c r="F267" t="s">
        <v>12</v>
      </c>
      <c r="G267">
        <v>0.04</v>
      </c>
    </row>
    <row r="268" spans="1:7" x14ac:dyDescent="0.3">
      <c r="A268" t="s">
        <v>304</v>
      </c>
      <c r="B268" s="2">
        <v>45850.016319444447</v>
      </c>
      <c r="C268" t="s">
        <v>15</v>
      </c>
      <c r="D268" t="s">
        <v>10</v>
      </c>
      <c r="E268" t="s">
        <v>11</v>
      </c>
      <c r="F268" t="s">
        <v>12</v>
      </c>
      <c r="G268">
        <v>0.08</v>
      </c>
    </row>
    <row r="269" spans="1:7" x14ac:dyDescent="0.3">
      <c r="A269" t="s">
        <v>305</v>
      </c>
      <c r="B269" s="2">
        <v>45890.410219907397</v>
      </c>
      <c r="C269" t="s">
        <v>9</v>
      </c>
      <c r="D269" t="s">
        <v>16</v>
      </c>
      <c r="E269" t="s">
        <v>17</v>
      </c>
      <c r="F269" t="s">
        <v>12</v>
      </c>
      <c r="G269">
        <v>0.05</v>
      </c>
    </row>
    <row r="270" spans="1:7" x14ac:dyDescent="0.3">
      <c r="A270" t="s">
        <v>306</v>
      </c>
      <c r="B270" s="2">
        <v>45877.626261574071</v>
      </c>
      <c r="C270" t="s">
        <v>9</v>
      </c>
      <c r="D270" t="s">
        <v>28</v>
      </c>
      <c r="E270" t="s">
        <v>17</v>
      </c>
      <c r="F270" t="s">
        <v>22</v>
      </c>
      <c r="G270">
        <v>0.05</v>
      </c>
    </row>
    <row r="271" spans="1:7" x14ac:dyDescent="0.3">
      <c r="A271" t="s">
        <v>307</v>
      </c>
      <c r="B271" s="2">
        <v>45868.514907407407</v>
      </c>
      <c r="C271" t="s">
        <v>27</v>
      </c>
      <c r="D271" t="s">
        <v>28</v>
      </c>
      <c r="E271" t="s">
        <v>21</v>
      </c>
      <c r="F271" t="s">
        <v>22</v>
      </c>
      <c r="G271">
        <v>0.1</v>
      </c>
    </row>
    <row r="272" spans="1:7" x14ac:dyDescent="0.3">
      <c r="A272" t="s">
        <v>308</v>
      </c>
      <c r="B272" s="2">
        <v>45871.107511574082</v>
      </c>
      <c r="C272" t="s">
        <v>27</v>
      </c>
      <c r="D272" t="s">
        <v>28</v>
      </c>
      <c r="E272" t="s">
        <v>21</v>
      </c>
      <c r="F272" t="s">
        <v>12</v>
      </c>
      <c r="G272">
        <v>0.09</v>
      </c>
    </row>
    <row r="273" spans="1:7" x14ac:dyDescent="0.3">
      <c r="A273" t="s">
        <v>309</v>
      </c>
      <c r="B273" s="2">
        <v>45856.308263888888</v>
      </c>
      <c r="C273" t="s">
        <v>27</v>
      </c>
      <c r="D273" t="s">
        <v>16</v>
      </c>
      <c r="E273" t="s">
        <v>11</v>
      </c>
      <c r="F273" t="s">
        <v>12</v>
      </c>
      <c r="G273">
        <v>0.09</v>
      </c>
    </row>
    <row r="274" spans="1:7" x14ac:dyDescent="0.3">
      <c r="A274" t="s">
        <v>310</v>
      </c>
      <c r="B274" s="2">
        <v>45887.820648148147</v>
      </c>
      <c r="C274" t="s">
        <v>9</v>
      </c>
      <c r="D274" t="s">
        <v>10</v>
      </c>
      <c r="E274" t="s">
        <v>21</v>
      </c>
      <c r="F274" t="s">
        <v>18</v>
      </c>
      <c r="G274">
        <v>0.11</v>
      </c>
    </row>
    <row r="275" spans="1:7" x14ac:dyDescent="0.3">
      <c r="A275" t="s">
        <v>311</v>
      </c>
      <c r="B275" s="2">
        <v>45877.801782407398</v>
      </c>
      <c r="C275" t="s">
        <v>9</v>
      </c>
      <c r="D275" t="s">
        <v>28</v>
      </c>
      <c r="E275" t="s">
        <v>21</v>
      </c>
      <c r="F275" t="s">
        <v>18</v>
      </c>
      <c r="G275">
        <v>0.06</v>
      </c>
    </row>
    <row r="276" spans="1:7" x14ac:dyDescent="0.3">
      <c r="A276" t="s">
        <v>312</v>
      </c>
      <c r="B276" s="2">
        <v>45883.887708333343</v>
      </c>
      <c r="C276" t="s">
        <v>27</v>
      </c>
      <c r="D276" t="s">
        <v>16</v>
      </c>
      <c r="E276" t="s">
        <v>11</v>
      </c>
      <c r="F276" t="s">
        <v>18</v>
      </c>
      <c r="G276">
        <v>0.09</v>
      </c>
    </row>
    <row r="277" spans="1:7" x14ac:dyDescent="0.3">
      <c r="A277" t="s">
        <v>313</v>
      </c>
      <c r="B277" s="2">
        <v>45894.921585648153</v>
      </c>
      <c r="C277" t="s">
        <v>15</v>
      </c>
      <c r="D277" t="s">
        <v>10</v>
      </c>
      <c r="E277" t="s">
        <v>11</v>
      </c>
      <c r="F277" t="s">
        <v>18</v>
      </c>
      <c r="G277">
        <v>0.05</v>
      </c>
    </row>
    <row r="278" spans="1:7" x14ac:dyDescent="0.3">
      <c r="A278" t="s">
        <v>314</v>
      </c>
      <c r="B278" s="2">
        <v>45867.359131944453</v>
      </c>
      <c r="C278" t="s">
        <v>27</v>
      </c>
      <c r="D278" t="s">
        <v>16</v>
      </c>
      <c r="E278" t="s">
        <v>17</v>
      </c>
      <c r="F278" t="s">
        <v>12</v>
      </c>
      <c r="G278">
        <v>7.0000000000000007E-2</v>
      </c>
    </row>
    <row r="279" spans="1:7" x14ac:dyDescent="0.3">
      <c r="A279" t="s">
        <v>315</v>
      </c>
      <c r="B279" s="2">
        <v>45855.937222222223</v>
      </c>
      <c r="C279" t="s">
        <v>9</v>
      </c>
      <c r="D279" t="s">
        <v>16</v>
      </c>
      <c r="E279" t="s">
        <v>11</v>
      </c>
      <c r="F279" t="s">
        <v>18</v>
      </c>
      <c r="G279">
        <v>0.05</v>
      </c>
    </row>
    <row r="280" spans="1:7" x14ac:dyDescent="0.3">
      <c r="A280" t="s">
        <v>316</v>
      </c>
      <c r="B280" s="2">
        <v>45847.806562500002</v>
      </c>
      <c r="C280" t="s">
        <v>15</v>
      </c>
      <c r="D280" t="s">
        <v>28</v>
      </c>
      <c r="E280" t="s">
        <v>17</v>
      </c>
      <c r="F280" t="s">
        <v>18</v>
      </c>
      <c r="G280">
        <v>0.06</v>
      </c>
    </row>
    <row r="281" spans="1:7" x14ac:dyDescent="0.3">
      <c r="A281" t="s">
        <v>317</v>
      </c>
      <c r="B281" s="2">
        <v>45896.423726851863</v>
      </c>
      <c r="C281" t="s">
        <v>15</v>
      </c>
      <c r="D281" t="s">
        <v>10</v>
      </c>
      <c r="E281" t="s">
        <v>17</v>
      </c>
      <c r="F281" t="s">
        <v>12</v>
      </c>
      <c r="G281">
        <v>0.08</v>
      </c>
    </row>
    <row r="282" spans="1:7" x14ac:dyDescent="0.3">
      <c r="A282" t="s">
        <v>318</v>
      </c>
      <c r="B282" s="2">
        <v>45869.374664351853</v>
      </c>
      <c r="C282" t="s">
        <v>9</v>
      </c>
      <c r="D282" t="s">
        <v>16</v>
      </c>
      <c r="E282" t="s">
        <v>17</v>
      </c>
      <c r="F282" t="s">
        <v>12</v>
      </c>
      <c r="G282">
        <v>0.03</v>
      </c>
    </row>
    <row r="283" spans="1:7" x14ac:dyDescent="0.3">
      <c r="A283" t="s">
        <v>319</v>
      </c>
      <c r="B283" s="2">
        <v>45855.574062500003</v>
      </c>
      <c r="C283" t="s">
        <v>27</v>
      </c>
      <c r="D283" t="s">
        <v>10</v>
      </c>
      <c r="E283" t="s">
        <v>11</v>
      </c>
      <c r="F283" t="s">
        <v>22</v>
      </c>
      <c r="G283">
        <v>0.14000000000000001</v>
      </c>
    </row>
    <row r="284" spans="1:7" x14ac:dyDescent="0.3">
      <c r="A284" t="s">
        <v>320</v>
      </c>
      <c r="B284" s="2">
        <v>45890.766608796293</v>
      </c>
      <c r="C284" t="s">
        <v>9</v>
      </c>
      <c r="D284" t="s">
        <v>28</v>
      </c>
      <c r="E284" t="s">
        <v>21</v>
      </c>
      <c r="F284" t="s">
        <v>18</v>
      </c>
      <c r="G284">
        <v>0.02</v>
      </c>
    </row>
    <row r="285" spans="1:7" x14ac:dyDescent="0.3">
      <c r="A285" t="s">
        <v>321</v>
      </c>
      <c r="B285" s="2">
        <v>45853.589259259257</v>
      </c>
      <c r="C285" t="s">
        <v>27</v>
      </c>
      <c r="D285" t="s">
        <v>28</v>
      </c>
      <c r="E285" t="s">
        <v>17</v>
      </c>
      <c r="F285" t="s">
        <v>22</v>
      </c>
      <c r="G285">
        <v>0.01</v>
      </c>
    </row>
    <row r="286" spans="1:7" x14ac:dyDescent="0.3">
      <c r="A286" t="s">
        <v>322</v>
      </c>
      <c r="B286" s="2">
        <v>45858.403182870366</v>
      </c>
      <c r="C286" t="s">
        <v>27</v>
      </c>
      <c r="D286" t="s">
        <v>10</v>
      </c>
      <c r="E286" t="s">
        <v>17</v>
      </c>
      <c r="F286" t="s">
        <v>12</v>
      </c>
      <c r="G286">
        <v>0.11</v>
      </c>
    </row>
    <row r="287" spans="1:7" x14ac:dyDescent="0.3">
      <c r="A287" t="s">
        <v>323</v>
      </c>
      <c r="B287" s="2">
        <v>45856.449178240742</v>
      </c>
      <c r="C287" t="s">
        <v>9</v>
      </c>
      <c r="D287" t="s">
        <v>16</v>
      </c>
      <c r="E287" t="s">
        <v>21</v>
      </c>
      <c r="F287" t="s">
        <v>12</v>
      </c>
      <c r="G287">
        <v>0.09</v>
      </c>
    </row>
    <row r="288" spans="1:7" x14ac:dyDescent="0.3">
      <c r="A288" t="s">
        <v>324</v>
      </c>
      <c r="B288" s="2">
        <v>45894.056712962964</v>
      </c>
      <c r="C288" t="s">
        <v>9</v>
      </c>
      <c r="D288" t="s">
        <v>10</v>
      </c>
      <c r="E288" t="s">
        <v>11</v>
      </c>
      <c r="F288" t="s">
        <v>12</v>
      </c>
      <c r="G288">
        <v>0.08</v>
      </c>
    </row>
    <row r="289" spans="1:7" x14ac:dyDescent="0.3">
      <c r="A289" t="s">
        <v>325</v>
      </c>
      <c r="B289" s="2">
        <v>45869.944039351853</v>
      </c>
      <c r="C289" t="s">
        <v>27</v>
      </c>
      <c r="D289" t="s">
        <v>16</v>
      </c>
      <c r="E289" t="s">
        <v>17</v>
      </c>
      <c r="F289" t="s">
        <v>18</v>
      </c>
      <c r="G289">
        <v>0.09</v>
      </c>
    </row>
    <row r="290" spans="1:7" x14ac:dyDescent="0.3">
      <c r="A290" t="s">
        <v>326</v>
      </c>
      <c r="B290" s="2">
        <v>45882.18414351852</v>
      </c>
      <c r="C290" t="s">
        <v>9</v>
      </c>
      <c r="D290" t="s">
        <v>16</v>
      </c>
      <c r="E290" t="s">
        <v>21</v>
      </c>
      <c r="F290" t="s">
        <v>12</v>
      </c>
      <c r="G290">
        <v>0.06</v>
      </c>
    </row>
    <row r="291" spans="1:7" x14ac:dyDescent="0.3">
      <c r="A291" t="s">
        <v>327</v>
      </c>
      <c r="B291" s="2">
        <v>45873.42019675926</v>
      </c>
      <c r="C291" t="s">
        <v>9</v>
      </c>
      <c r="D291" t="s">
        <v>28</v>
      </c>
      <c r="E291" t="s">
        <v>21</v>
      </c>
      <c r="F291" t="s">
        <v>12</v>
      </c>
      <c r="G291">
        <v>0.02</v>
      </c>
    </row>
    <row r="292" spans="1:7" x14ac:dyDescent="0.3">
      <c r="A292" t="s">
        <v>328</v>
      </c>
      <c r="B292" s="2">
        <v>45883.126481481479</v>
      </c>
      <c r="C292" t="s">
        <v>27</v>
      </c>
      <c r="D292" t="s">
        <v>28</v>
      </c>
      <c r="E292" t="s">
        <v>21</v>
      </c>
      <c r="F292" t="s">
        <v>12</v>
      </c>
      <c r="G292">
        <v>0.06</v>
      </c>
    </row>
    <row r="293" spans="1:7" x14ac:dyDescent="0.3">
      <c r="A293" t="s">
        <v>329</v>
      </c>
      <c r="B293" s="2">
        <v>45846.699837962973</v>
      </c>
      <c r="C293" t="s">
        <v>9</v>
      </c>
      <c r="D293" t="s">
        <v>28</v>
      </c>
      <c r="E293" t="s">
        <v>11</v>
      </c>
      <c r="F293" t="s">
        <v>18</v>
      </c>
      <c r="G293">
        <v>0.03</v>
      </c>
    </row>
    <row r="294" spans="1:7" x14ac:dyDescent="0.3">
      <c r="A294" t="s">
        <v>330</v>
      </c>
      <c r="B294" s="2">
        <v>45876.57953703704</v>
      </c>
      <c r="C294" t="s">
        <v>15</v>
      </c>
      <c r="D294" t="s">
        <v>10</v>
      </c>
      <c r="E294" t="s">
        <v>11</v>
      </c>
      <c r="F294" t="s">
        <v>22</v>
      </c>
      <c r="G294">
        <v>0.1</v>
      </c>
    </row>
    <row r="295" spans="1:7" x14ac:dyDescent="0.3">
      <c r="A295" t="s">
        <v>331</v>
      </c>
      <c r="B295" s="2">
        <v>45882.914803240739</v>
      </c>
      <c r="C295" t="s">
        <v>9</v>
      </c>
      <c r="D295" t="s">
        <v>10</v>
      </c>
      <c r="E295" t="s">
        <v>17</v>
      </c>
      <c r="F295" t="s">
        <v>18</v>
      </c>
      <c r="G295">
        <v>0.05</v>
      </c>
    </row>
    <row r="296" spans="1:7" x14ac:dyDescent="0.3">
      <c r="A296" t="s">
        <v>332</v>
      </c>
      <c r="B296" s="2">
        <v>45897.990231481483</v>
      </c>
      <c r="C296" t="s">
        <v>15</v>
      </c>
      <c r="D296" t="s">
        <v>10</v>
      </c>
      <c r="E296" t="s">
        <v>17</v>
      </c>
      <c r="F296" t="s">
        <v>18</v>
      </c>
      <c r="G296">
        <v>0.03</v>
      </c>
    </row>
    <row r="297" spans="1:7" x14ac:dyDescent="0.3">
      <c r="A297" t="s">
        <v>333</v>
      </c>
      <c r="B297" s="2">
        <v>45882.991446759261</v>
      </c>
      <c r="C297" t="s">
        <v>27</v>
      </c>
      <c r="D297" t="s">
        <v>16</v>
      </c>
      <c r="E297" t="s">
        <v>11</v>
      </c>
      <c r="F297" t="s">
        <v>18</v>
      </c>
      <c r="G297">
        <v>0.05</v>
      </c>
    </row>
    <row r="298" spans="1:7" x14ac:dyDescent="0.3">
      <c r="A298" t="s">
        <v>334</v>
      </c>
      <c r="B298" s="2">
        <v>45888.236840277779</v>
      </c>
      <c r="C298" t="s">
        <v>9</v>
      </c>
      <c r="D298" t="s">
        <v>28</v>
      </c>
      <c r="E298" t="s">
        <v>17</v>
      </c>
      <c r="F298" t="s">
        <v>12</v>
      </c>
      <c r="G298">
        <v>0.08</v>
      </c>
    </row>
    <row r="299" spans="1:7" x14ac:dyDescent="0.3">
      <c r="A299" t="s">
        <v>335</v>
      </c>
      <c r="B299" s="2">
        <v>45881.752106481479</v>
      </c>
      <c r="C299" t="s">
        <v>15</v>
      </c>
      <c r="D299" t="s">
        <v>10</v>
      </c>
      <c r="E299" t="s">
        <v>11</v>
      </c>
      <c r="F299" t="s">
        <v>18</v>
      </c>
      <c r="G299">
        <v>0.04</v>
      </c>
    </row>
    <row r="300" spans="1:7" x14ac:dyDescent="0.3">
      <c r="A300" t="s">
        <v>336</v>
      </c>
      <c r="B300" s="2">
        <v>45874.580983796302</v>
      </c>
      <c r="C300" t="s">
        <v>15</v>
      </c>
      <c r="D300" t="s">
        <v>16</v>
      </c>
      <c r="E300" t="s">
        <v>21</v>
      </c>
      <c r="F300" t="s">
        <v>22</v>
      </c>
      <c r="G300">
        <v>0.03</v>
      </c>
    </row>
    <row r="301" spans="1:7" x14ac:dyDescent="0.3">
      <c r="A301" t="s">
        <v>337</v>
      </c>
      <c r="B301" s="2">
        <v>45872.102187500001</v>
      </c>
      <c r="C301" t="s">
        <v>9</v>
      </c>
      <c r="D301" t="s">
        <v>10</v>
      </c>
      <c r="E301" t="s">
        <v>17</v>
      </c>
      <c r="F301" t="s">
        <v>12</v>
      </c>
      <c r="G301">
        <v>7.0000000000000007E-2</v>
      </c>
    </row>
    <row r="302" spans="1:7" x14ac:dyDescent="0.3">
      <c r="A302" t="s">
        <v>338</v>
      </c>
      <c r="B302" s="2">
        <v>45845.649398148147</v>
      </c>
      <c r="C302" t="s">
        <v>15</v>
      </c>
      <c r="D302" t="s">
        <v>28</v>
      </c>
      <c r="E302" t="s">
        <v>11</v>
      </c>
      <c r="F302" t="s">
        <v>22</v>
      </c>
      <c r="G302">
        <v>7.0000000000000007E-2</v>
      </c>
    </row>
    <row r="303" spans="1:7" x14ac:dyDescent="0.3">
      <c r="A303" t="s">
        <v>339</v>
      </c>
      <c r="B303" s="2">
        <v>45866.83792824074</v>
      </c>
      <c r="C303" t="s">
        <v>15</v>
      </c>
      <c r="D303" t="s">
        <v>10</v>
      </c>
      <c r="E303" t="s">
        <v>11</v>
      </c>
      <c r="F303" t="s">
        <v>18</v>
      </c>
      <c r="G303">
        <v>0.04</v>
      </c>
    </row>
    <row r="304" spans="1:7" x14ac:dyDescent="0.3">
      <c r="A304" t="s">
        <v>340</v>
      </c>
      <c r="B304" s="2">
        <v>45871.616238425922</v>
      </c>
      <c r="C304" t="s">
        <v>27</v>
      </c>
      <c r="D304" t="s">
        <v>10</v>
      </c>
      <c r="E304" t="s">
        <v>11</v>
      </c>
      <c r="F304" t="s">
        <v>22</v>
      </c>
      <c r="G304">
        <v>0.04</v>
      </c>
    </row>
    <row r="305" spans="1:7" x14ac:dyDescent="0.3">
      <c r="A305" t="s">
        <v>341</v>
      </c>
      <c r="B305" s="2">
        <v>45873.214224537027</v>
      </c>
      <c r="C305" t="s">
        <v>15</v>
      </c>
      <c r="D305" t="s">
        <v>10</v>
      </c>
      <c r="E305" t="s">
        <v>11</v>
      </c>
      <c r="F305" t="s">
        <v>12</v>
      </c>
      <c r="G305">
        <v>7.0000000000000007E-2</v>
      </c>
    </row>
    <row r="306" spans="1:7" x14ac:dyDescent="0.3">
      <c r="A306" t="s">
        <v>342</v>
      </c>
      <c r="B306" s="2">
        <v>45851.769953703697</v>
      </c>
      <c r="C306" t="s">
        <v>9</v>
      </c>
      <c r="D306" t="s">
        <v>10</v>
      </c>
      <c r="E306" t="s">
        <v>17</v>
      </c>
      <c r="F306" t="s">
        <v>18</v>
      </c>
      <c r="G306">
        <v>0</v>
      </c>
    </row>
    <row r="307" spans="1:7" x14ac:dyDescent="0.3">
      <c r="A307" t="s">
        <v>343</v>
      </c>
      <c r="B307" s="2">
        <v>45893.515949074077</v>
      </c>
      <c r="C307" t="s">
        <v>15</v>
      </c>
      <c r="D307" t="s">
        <v>10</v>
      </c>
      <c r="E307" t="s">
        <v>21</v>
      </c>
      <c r="F307" t="s">
        <v>22</v>
      </c>
      <c r="G307">
        <v>0</v>
      </c>
    </row>
    <row r="308" spans="1:7" x14ac:dyDescent="0.3">
      <c r="A308" t="s">
        <v>344</v>
      </c>
      <c r="B308" s="2">
        <v>45890.357719907413</v>
      </c>
      <c r="C308" t="s">
        <v>27</v>
      </c>
      <c r="D308" t="s">
        <v>10</v>
      </c>
      <c r="E308" t="s">
        <v>11</v>
      </c>
      <c r="F308" t="s">
        <v>12</v>
      </c>
      <c r="G308">
        <v>0.03</v>
      </c>
    </row>
    <row r="309" spans="1:7" x14ac:dyDescent="0.3">
      <c r="A309" t="s">
        <v>345</v>
      </c>
      <c r="B309" s="2">
        <v>45888.619328703702</v>
      </c>
      <c r="C309" t="s">
        <v>15</v>
      </c>
      <c r="D309" t="s">
        <v>28</v>
      </c>
      <c r="E309" t="s">
        <v>21</v>
      </c>
      <c r="F309" t="s">
        <v>22</v>
      </c>
      <c r="G309">
        <v>0.05</v>
      </c>
    </row>
    <row r="310" spans="1:7" x14ac:dyDescent="0.3">
      <c r="A310" t="s">
        <v>346</v>
      </c>
      <c r="B310" s="2">
        <v>45856.751782407409</v>
      </c>
      <c r="C310" t="s">
        <v>27</v>
      </c>
      <c r="D310" t="s">
        <v>16</v>
      </c>
      <c r="E310" t="s">
        <v>21</v>
      </c>
      <c r="F310" t="s">
        <v>18</v>
      </c>
      <c r="G310">
        <v>7.0000000000000007E-2</v>
      </c>
    </row>
    <row r="311" spans="1:7" x14ac:dyDescent="0.3">
      <c r="A311" t="s">
        <v>347</v>
      </c>
      <c r="B311" s="2">
        <v>45861.245138888888</v>
      </c>
      <c r="C311" t="s">
        <v>27</v>
      </c>
      <c r="D311" t="s">
        <v>28</v>
      </c>
      <c r="E311" t="s">
        <v>17</v>
      </c>
      <c r="F311" t="s">
        <v>12</v>
      </c>
      <c r="G311">
        <v>0.12</v>
      </c>
    </row>
    <row r="312" spans="1:7" x14ac:dyDescent="0.3">
      <c r="A312" t="s">
        <v>348</v>
      </c>
      <c r="B312" s="2">
        <v>45849.069791666669</v>
      </c>
      <c r="C312" t="s">
        <v>9</v>
      </c>
      <c r="D312" t="s">
        <v>10</v>
      </c>
      <c r="E312" t="s">
        <v>11</v>
      </c>
      <c r="F312" t="s">
        <v>12</v>
      </c>
      <c r="G312">
        <v>0.09</v>
      </c>
    </row>
    <row r="313" spans="1:7" x14ac:dyDescent="0.3">
      <c r="A313" t="s">
        <v>349</v>
      </c>
      <c r="B313" s="2">
        <v>45842.914907407408</v>
      </c>
      <c r="C313" t="s">
        <v>9</v>
      </c>
      <c r="D313" t="s">
        <v>16</v>
      </c>
      <c r="E313" t="s">
        <v>11</v>
      </c>
      <c r="F313" t="s">
        <v>18</v>
      </c>
      <c r="G313">
        <v>0.05</v>
      </c>
    </row>
    <row r="314" spans="1:7" x14ac:dyDescent="0.3">
      <c r="A314" t="s">
        <v>350</v>
      </c>
      <c r="B314" s="2">
        <v>45897.236875000002</v>
      </c>
      <c r="C314" t="s">
        <v>15</v>
      </c>
      <c r="D314" t="s">
        <v>28</v>
      </c>
      <c r="E314" t="s">
        <v>17</v>
      </c>
      <c r="F314" t="s">
        <v>12</v>
      </c>
      <c r="G314">
        <v>0.06</v>
      </c>
    </row>
    <row r="315" spans="1:7" x14ac:dyDescent="0.3">
      <c r="A315" t="s">
        <v>351</v>
      </c>
      <c r="B315" s="2">
        <v>45855.322256944448</v>
      </c>
      <c r="C315" t="s">
        <v>9</v>
      </c>
      <c r="D315" t="s">
        <v>16</v>
      </c>
      <c r="E315" t="s">
        <v>17</v>
      </c>
      <c r="F315" t="s">
        <v>12</v>
      </c>
      <c r="G315">
        <v>0.02</v>
      </c>
    </row>
    <row r="316" spans="1:7" x14ac:dyDescent="0.3">
      <c r="A316" t="s">
        <v>352</v>
      </c>
      <c r="B316" s="2">
        <v>45874.619953703703</v>
      </c>
      <c r="C316" t="s">
        <v>9</v>
      </c>
      <c r="D316" t="s">
        <v>10</v>
      </c>
      <c r="E316" t="s">
        <v>17</v>
      </c>
      <c r="F316" t="s">
        <v>22</v>
      </c>
      <c r="G316">
        <v>0.06</v>
      </c>
    </row>
    <row r="317" spans="1:7" x14ac:dyDescent="0.3">
      <c r="A317" t="s">
        <v>353</v>
      </c>
      <c r="B317" s="2">
        <v>45898.53292824074</v>
      </c>
      <c r="C317" t="s">
        <v>15</v>
      </c>
      <c r="D317" t="s">
        <v>10</v>
      </c>
      <c r="E317" t="s">
        <v>21</v>
      </c>
      <c r="F317" t="s">
        <v>22</v>
      </c>
      <c r="G317">
        <v>0.05</v>
      </c>
    </row>
    <row r="318" spans="1:7" x14ac:dyDescent="0.3">
      <c r="A318" t="s">
        <v>354</v>
      </c>
      <c r="B318" s="2">
        <v>45891.097337962958</v>
      </c>
      <c r="C318" t="s">
        <v>27</v>
      </c>
      <c r="D318" t="s">
        <v>16</v>
      </c>
      <c r="E318" t="s">
        <v>21</v>
      </c>
      <c r="F318" t="s">
        <v>12</v>
      </c>
      <c r="G318">
        <v>7.0000000000000007E-2</v>
      </c>
    </row>
    <row r="319" spans="1:7" x14ac:dyDescent="0.3">
      <c r="A319" t="s">
        <v>355</v>
      </c>
      <c r="B319" s="2">
        <v>45874.963807870372</v>
      </c>
      <c r="C319" t="s">
        <v>9</v>
      </c>
      <c r="D319" t="s">
        <v>10</v>
      </c>
      <c r="E319" t="s">
        <v>21</v>
      </c>
      <c r="F319" t="s">
        <v>18</v>
      </c>
      <c r="G319">
        <v>0.03</v>
      </c>
    </row>
    <row r="320" spans="1:7" x14ac:dyDescent="0.3">
      <c r="A320" t="s">
        <v>356</v>
      </c>
      <c r="B320" s="2">
        <v>45866.607314814813</v>
      </c>
      <c r="C320" t="s">
        <v>15</v>
      </c>
      <c r="D320" t="s">
        <v>10</v>
      </c>
      <c r="E320" t="s">
        <v>11</v>
      </c>
      <c r="F320" t="s">
        <v>22</v>
      </c>
      <c r="G320">
        <v>0.08</v>
      </c>
    </row>
    <row r="321" spans="1:7" x14ac:dyDescent="0.3">
      <c r="A321" t="s">
        <v>357</v>
      </c>
      <c r="B321" s="2">
        <v>45854.984282407408</v>
      </c>
      <c r="C321" t="s">
        <v>27</v>
      </c>
      <c r="D321" t="s">
        <v>10</v>
      </c>
      <c r="E321" t="s">
        <v>17</v>
      </c>
      <c r="F321" t="s">
        <v>18</v>
      </c>
      <c r="G321">
        <v>0.12</v>
      </c>
    </row>
    <row r="322" spans="1:7" x14ac:dyDescent="0.3">
      <c r="A322" t="s">
        <v>358</v>
      </c>
      <c r="B322" s="2">
        <v>45844.316145833327</v>
      </c>
      <c r="C322" t="s">
        <v>9</v>
      </c>
      <c r="D322" t="s">
        <v>16</v>
      </c>
      <c r="E322" t="s">
        <v>21</v>
      </c>
      <c r="F322" t="s">
        <v>12</v>
      </c>
      <c r="G322">
        <v>0.06</v>
      </c>
    </row>
    <row r="323" spans="1:7" x14ac:dyDescent="0.3">
      <c r="A323" t="s">
        <v>359</v>
      </c>
      <c r="B323" s="2">
        <v>45849.210474537038</v>
      </c>
      <c r="C323" t="s">
        <v>9</v>
      </c>
      <c r="D323" t="s">
        <v>10</v>
      </c>
      <c r="E323" t="s">
        <v>17</v>
      </c>
      <c r="F323" t="s">
        <v>12</v>
      </c>
      <c r="G323">
        <v>0.08</v>
      </c>
    </row>
    <row r="324" spans="1:7" x14ac:dyDescent="0.3">
      <c r="A324" t="s">
        <v>360</v>
      </c>
      <c r="B324" s="2">
        <v>45847.393460648149</v>
      </c>
      <c r="C324" t="s">
        <v>27</v>
      </c>
      <c r="D324" t="s">
        <v>16</v>
      </c>
      <c r="E324" t="s">
        <v>21</v>
      </c>
      <c r="F324" t="s">
        <v>12</v>
      </c>
      <c r="G324">
        <v>0.09</v>
      </c>
    </row>
    <row r="325" spans="1:7" x14ac:dyDescent="0.3">
      <c r="A325" t="s">
        <v>361</v>
      </c>
      <c r="B325" s="2">
        <v>45853.556134259263</v>
      </c>
      <c r="C325" t="s">
        <v>15</v>
      </c>
      <c r="D325" t="s">
        <v>28</v>
      </c>
      <c r="E325" t="s">
        <v>17</v>
      </c>
      <c r="F325" t="s">
        <v>22</v>
      </c>
      <c r="G325">
        <v>0.04</v>
      </c>
    </row>
    <row r="326" spans="1:7" x14ac:dyDescent="0.3">
      <c r="A326" t="s">
        <v>362</v>
      </c>
      <c r="B326" s="2">
        <v>45873.191342592603</v>
      </c>
      <c r="C326" t="s">
        <v>27</v>
      </c>
      <c r="D326" t="s">
        <v>16</v>
      </c>
      <c r="E326" t="s">
        <v>17</v>
      </c>
      <c r="F326" t="s">
        <v>12</v>
      </c>
      <c r="G326">
        <v>7.0000000000000007E-2</v>
      </c>
    </row>
    <row r="327" spans="1:7" x14ac:dyDescent="0.3">
      <c r="A327" t="s">
        <v>363</v>
      </c>
      <c r="B327" s="2">
        <v>45887.990046296298</v>
      </c>
      <c r="C327" t="s">
        <v>15</v>
      </c>
      <c r="D327" t="s">
        <v>28</v>
      </c>
      <c r="E327" t="s">
        <v>21</v>
      </c>
      <c r="F327" t="s">
        <v>18</v>
      </c>
      <c r="G327">
        <v>0.06</v>
      </c>
    </row>
    <row r="328" spans="1:7" x14ac:dyDescent="0.3">
      <c r="A328" t="s">
        <v>364</v>
      </c>
      <c r="B328" s="2">
        <v>45875.650405092587</v>
      </c>
      <c r="C328" t="s">
        <v>27</v>
      </c>
      <c r="D328" t="s">
        <v>28</v>
      </c>
      <c r="E328" t="s">
        <v>21</v>
      </c>
      <c r="F328" t="s">
        <v>22</v>
      </c>
      <c r="G328">
        <v>0.06</v>
      </c>
    </row>
    <row r="329" spans="1:7" x14ac:dyDescent="0.3">
      <c r="A329" t="s">
        <v>365</v>
      </c>
      <c r="B329" s="2">
        <v>45871.803460648152</v>
      </c>
      <c r="C329" t="s">
        <v>27</v>
      </c>
      <c r="D329" t="s">
        <v>28</v>
      </c>
      <c r="E329" t="s">
        <v>17</v>
      </c>
      <c r="F329" t="s">
        <v>18</v>
      </c>
      <c r="G329">
        <v>0.03</v>
      </c>
    </row>
    <row r="330" spans="1:7" x14ac:dyDescent="0.3">
      <c r="A330" t="s">
        <v>366</v>
      </c>
      <c r="B330" s="2">
        <v>45885.120821759258</v>
      </c>
      <c r="C330" t="s">
        <v>9</v>
      </c>
      <c r="D330" t="s">
        <v>28</v>
      </c>
      <c r="E330" t="s">
        <v>11</v>
      </c>
      <c r="F330" t="s">
        <v>12</v>
      </c>
      <c r="G330">
        <v>0.06</v>
      </c>
    </row>
    <row r="331" spans="1:7" x14ac:dyDescent="0.3">
      <c r="A331" t="s">
        <v>367</v>
      </c>
      <c r="B331" s="2">
        <v>45882.804872685178</v>
      </c>
      <c r="C331" t="s">
        <v>9</v>
      </c>
      <c r="D331" t="s">
        <v>28</v>
      </c>
      <c r="E331" t="s">
        <v>17</v>
      </c>
      <c r="F331" t="s">
        <v>18</v>
      </c>
      <c r="G331">
        <v>0.08</v>
      </c>
    </row>
    <row r="332" spans="1:7" x14ac:dyDescent="0.3">
      <c r="A332" t="s">
        <v>368</v>
      </c>
      <c r="B332" s="2">
        <v>45864.097743055558</v>
      </c>
      <c r="C332" t="s">
        <v>27</v>
      </c>
      <c r="D332" t="s">
        <v>28</v>
      </c>
      <c r="E332" t="s">
        <v>11</v>
      </c>
      <c r="F332" t="s">
        <v>12</v>
      </c>
      <c r="G332">
        <v>0.12</v>
      </c>
    </row>
    <row r="333" spans="1:7" x14ac:dyDescent="0.3">
      <c r="A333" t="s">
        <v>369</v>
      </c>
      <c r="B333" s="2">
        <v>45880.343958333331</v>
      </c>
      <c r="C333" t="s">
        <v>27</v>
      </c>
      <c r="D333" t="s">
        <v>16</v>
      </c>
      <c r="E333" t="s">
        <v>17</v>
      </c>
      <c r="F333" t="s">
        <v>12</v>
      </c>
      <c r="G333">
        <v>0.1</v>
      </c>
    </row>
    <row r="334" spans="1:7" x14ac:dyDescent="0.3">
      <c r="A334" t="s">
        <v>370</v>
      </c>
      <c r="B334" s="2">
        <v>45851.080300925933</v>
      </c>
      <c r="C334" t="s">
        <v>27</v>
      </c>
      <c r="D334" t="s">
        <v>28</v>
      </c>
      <c r="E334" t="s">
        <v>21</v>
      </c>
      <c r="F334" t="s">
        <v>12</v>
      </c>
      <c r="G334">
        <v>0.15</v>
      </c>
    </row>
    <row r="335" spans="1:7" x14ac:dyDescent="0.3">
      <c r="A335" t="s">
        <v>371</v>
      </c>
      <c r="B335" s="2">
        <v>45845.347962962973</v>
      </c>
      <c r="C335" t="s">
        <v>27</v>
      </c>
      <c r="D335" t="s">
        <v>16</v>
      </c>
      <c r="E335" t="s">
        <v>11</v>
      </c>
      <c r="F335" t="s">
        <v>12</v>
      </c>
      <c r="G335">
        <v>0.03</v>
      </c>
    </row>
    <row r="336" spans="1:7" x14ac:dyDescent="0.3">
      <c r="A336" t="s">
        <v>372</v>
      </c>
      <c r="B336" s="2">
        <v>45840.845706018517</v>
      </c>
      <c r="C336" t="s">
        <v>9</v>
      </c>
      <c r="D336" t="s">
        <v>10</v>
      </c>
      <c r="E336" t="s">
        <v>11</v>
      </c>
      <c r="F336" t="s">
        <v>18</v>
      </c>
      <c r="G336">
        <v>0.09</v>
      </c>
    </row>
    <row r="337" spans="1:7" x14ac:dyDescent="0.3">
      <c r="A337" t="s">
        <v>373</v>
      </c>
      <c r="B337" s="2">
        <v>45853.189918981479</v>
      </c>
      <c r="C337" t="s">
        <v>15</v>
      </c>
      <c r="D337" t="s">
        <v>16</v>
      </c>
      <c r="E337" t="s">
        <v>17</v>
      </c>
      <c r="F337" t="s">
        <v>12</v>
      </c>
      <c r="G337">
        <v>7.0000000000000007E-2</v>
      </c>
    </row>
    <row r="338" spans="1:7" x14ac:dyDescent="0.3">
      <c r="A338" t="s">
        <v>374</v>
      </c>
      <c r="B338" s="2">
        <v>45862.606469907398</v>
      </c>
      <c r="C338" t="s">
        <v>9</v>
      </c>
      <c r="D338" t="s">
        <v>16</v>
      </c>
      <c r="E338" t="s">
        <v>17</v>
      </c>
      <c r="F338" t="s">
        <v>22</v>
      </c>
      <c r="G338">
        <v>0.15</v>
      </c>
    </row>
    <row r="339" spans="1:7" x14ac:dyDescent="0.3">
      <c r="A339" t="s">
        <v>375</v>
      </c>
      <c r="B339" s="2">
        <v>45890.075300925928</v>
      </c>
      <c r="C339" t="s">
        <v>15</v>
      </c>
      <c r="D339" t="s">
        <v>28</v>
      </c>
      <c r="E339" t="s">
        <v>11</v>
      </c>
      <c r="F339" t="s">
        <v>12</v>
      </c>
      <c r="G339">
        <v>0.03</v>
      </c>
    </row>
    <row r="340" spans="1:7" x14ac:dyDescent="0.3">
      <c r="A340" t="s">
        <v>376</v>
      </c>
      <c r="B340" s="2">
        <v>45888.506631944438</v>
      </c>
      <c r="C340" t="s">
        <v>9</v>
      </c>
      <c r="D340" t="s">
        <v>10</v>
      </c>
      <c r="E340" t="s">
        <v>17</v>
      </c>
      <c r="F340" t="s">
        <v>22</v>
      </c>
      <c r="G340">
        <v>0.03</v>
      </c>
    </row>
    <row r="341" spans="1:7" x14ac:dyDescent="0.3">
      <c r="A341" t="s">
        <v>377</v>
      </c>
      <c r="B341" s="2">
        <v>45884.895578703698</v>
      </c>
      <c r="C341" t="s">
        <v>27</v>
      </c>
      <c r="D341" t="s">
        <v>10</v>
      </c>
      <c r="E341" t="s">
        <v>21</v>
      </c>
      <c r="F341" t="s">
        <v>18</v>
      </c>
      <c r="G341">
        <v>0.04</v>
      </c>
    </row>
    <row r="342" spans="1:7" x14ac:dyDescent="0.3">
      <c r="A342" t="s">
        <v>378</v>
      </c>
      <c r="B342" s="2">
        <v>45863.87699074074</v>
      </c>
      <c r="C342" t="s">
        <v>9</v>
      </c>
      <c r="D342" t="s">
        <v>28</v>
      </c>
      <c r="E342" t="s">
        <v>21</v>
      </c>
      <c r="F342" t="s">
        <v>18</v>
      </c>
      <c r="G342">
        <v>0</v>
      </c>
    </row>
    <row r="343" spans="1:7" x14ac:dyDescent="0.3">
      <c r="A343" t="s">
        <v>379</v>
      </c>
      <c r="B343" s="2">
        <v>45872.726990740739</v>
      </c>
      <c r="C343" t="s">
        <v>27</v>
      </c>
      <c r="D343" t="s">
        <v>10</v>
      </c>
      <c r="E343" t="s">
        <v>11</v>
      </c>
      <c r="F343" t="s">
        <v>18</v>
      </c>
      <c r="G343">
        <v>0.04</v>
      </c>
    </row>
    <row r="344" spans="1:7" x14ac:dyDescent="0.3">
      <c r="A344" t="s">
        <v>380</v>
      </c>
      <c r="B344" s="2">
        <v>45895.747199074067</v>
      </c>
      <c r="C344" t="s">
        <v>9</v>
      </c>
      <c r="D344" t="s">
        <v>16</v>
      </c>
      <c r="E344" t="s">
        <v>17</v>
      </c>
      <c r="F344" t="s">
        <v>18</v>
      </c>
      <c r="G344">
        <v>0.03</v>
      </c>
    </row>
    <row r="345" spans="1:7" x14ac:dyDescent="0.3">
      <c r="A345" t="s">
        <v>381</v>
      </c>
      <c r="B345" s="2">
        <v>45873.454837962963</v>
      </c>
      <c r="C345" t="s">
        <v>9</v>
      </c>
      <c r="D345" t="s">
        <v>16</v>
      </c>
      <c r="E345" t="s">
        <v>11</v>
      </c>
      <c r="F345" t="s">
        <v>12</v>
      </c>
      <c r="G345">
        <v>7.0000000000000007E-2</v>
      </c>
    </row>
    <row r="346" spans="1:7" x14ac:dyDescent="0.3">
      <c r="A346" t="s">
        <v>382</v>
      </c>
      <c r="B346" s="2">
        <v>45884.360405092593</v>
      </c>
      <c r="C346" t="s">
        <v>9</v>
      </c>
      <c r="D346" t="s">
        <v>16</v>
      </c>
      <c r="E346" t="s">
        <v>11</v>
      </c>
      <c r="F346" t="s">
        <v>12</v>
      </c>
      <c r="G346">
        <v>7.0000000000000007E-2</v>
      </c>
    </row>
    <row r="347" spans="1:7" x14ac:dyDescent="0.3">
      <c r="A347" t="s">
        <v>383</v>
      </c>
      <c r="B347" s="2">
        <v>45852.342881944453</v>
      </c>
      <c r="C347" t="s">
        <v>27</v>
      </c>
      <c r="D347" t="s">
        <v>10</v>
      </c>
      <c r="E347" t="s">
        <v>21</v>
      </c>
      <c r="F347" t="s">
        <v>12</v>
      </c>
      <c r="G347">
        <v>0.14000000000000001</v>
      </c>
    </row>
    <row r="348" spans="1:7" x14ac:dyDescent="0.3">
      <c r="A348" t="s">
        <v>384</v>
      </c>
      <c r="B348" s="2">
        <v>45867.740439814806</v>
      </c>
      <c r="C348" t="s">
        <v>27</v>
      </c>
      <c r="D348" t="s">
        <v>28</v>
      </c>
      <c r="E348" t="s">
        <v>17</v>
      </c>
      <c r="F348" t="s">
        <v>18</v>
      </c>
      <c r="G348">
        <v>0.1</v>
      </c>
    </row>
    <row r="349" spans="1:7" x14ac:dyDescent="0.3">
      <c r="A349" t="s">
        <v>385</v>
      </c>
      <c r="B349" s="2">
        <v>45869.89130787037</v>
      </c>
      <c r="C349" t="s">
        <v>15</v>
      </c>
      <c r="D349" t="s">
        <v>10</v>
      </c>
      <c r="E349" t="s">
        <v>21</v>
      </c>
      <c r="F349" t="s">
        <v>18</v>
      </c>
      <c r="G349">
        <v>0.04</v>
      </c>
    </row>
    <row r="350" spans="1:7" x14ac:dyDescent="0.3">
      <c r="A350" t="s">
        <v>386</v>
      </c>
      <c r="B350" s="2">
        <v>45885.212557870371</v>
      </c>
      <c r="C350" t="s">
        <v>15</v>
      </c>
      <c r="D350" t="s">
        <v>28</v>
      </c>
      <c r="E350" t="s">
        <v>11</v>
      </c>
      <c r="F350" t="s">
        <v>12</v>
      </c>
      <c r="G350">
        <v>0.02</v>
      </c>
    </row>
    <row r="351" spans="1:7" x14ac:dyDescent="0.3">
      <c r="A351" t="s">
        <v>387</v>
      </c>
      <c r="B351" s="2">
        <v>45867.028611111113</v>
      </c>
      <c r="C351" t="s">
        <v>15</v>
      </c>
      <c r="D351" t="s">
        <v>28</v>
      </c>
      <c r="E351" t="s">
        <v>11</v>
      </c>
      <c r="F351" t="s">
        <v>12</v>
      </c>
      <c r="G351">
        <v>0.08</v>
      </c>
    </row>
    <row r="352" spans="1:7" x14ac:dyDescent="0.3">
      <c r="A352" t="s">
        <v>388</v>
      </c>
      <c r="B352" s="2">
        <v>45865.776701388888</v>
      </c>
      <c r="C352" t="s">
        <v>27</v>
      </c>
      <c r="D352" t="s">
        <v>16</v>
      </c>
      <c r="E352" t="s">
        <v>21</v>
      </c>
      <c r="F352" t="s">
        <v>18</v>
      </c>
      <c r="G352">
        <v>0.01</v>
      </c>
    </row>
    <row r="353" spans="1:7" x14ac:dyDescent="0.3">
      <c r="A353" t="s">
        <v>389</v>
      </c>
      <c r="B353" s="2">
        <v>45881.944189814807</v>
      </c>
      <c r="C353" t="s">
        <v>15</v>
      </c>
      <c r="D353" t="s">
        <v>16</v>
      </c>
      <c r="E353" t="s">
        <v>17</v>
      </c>
      <c r="F353" t="s">
        <v>18</v>
      </c>
      <c r="G353">
        <v>0.13</v>
      </c>
    </row>
    <row r="354" spans="1:7" x14ac:dyDescent="0.3">
      <c r="A354" t="s">
        <v>390</v>
      </c>
      <c r="B354" s="2">
        <v>45887.554722222223</v>
      </c>
      <c r="C354" t="s">
        <v>15</v>
      </c>
      <c r="D354" t="s">
        <v>10</v>
      </c>
      <c r="E354" t="s">
        <v>21</v>
      </c>
      <c r="F354" t="s">
        <v>22</v>
      </c>
      <c r="G354">
        <v>0.11</v>
      </c>
    </row>
    <row r="355" spans="1:7" x14ac:dyDescent="0.3">
      <c r="A355" t="s">
        <v>391</v>
      </c>
      <c r="B355" s="2">
        <v>45880.464826388888</v>
      </c>
      <c r="C355" t="s">
        <v>27</v>
      </c>
      <c r="D355" t="s">
        <v>16</v>
      </c>
      <c r="E355" t="s">
        <v>11</v>
      </c>
      <c r="F355" t="s">
        <v>22</v>
      </c>
      <c r="G355">
        <v>0.04</v>
      </c>
    </row>
    <row r="356" spans="1:7" x14ac:dyDescent="0.3">
      <c r="A356" t="s">
        <v>392</v>
      </c>
      <c r="B356" s="2">
        <v>45892.210300925923</v>
      </c>
      <c r="C356" t="s">
        <v>15</v>
      </c>
      <c r="D356" t="s">
        <v>16</v>
      </c>
      <c r="E356" t="s">
        <v>17</v>
      </c>
      <c r="F356" t="s">
        <v>12</v>
      </c>
      <c r="G356">
        <v>0</v>
      </c>
    </row>
    <row r="357" spans="1:7" x14ac:dyDescent="0.3">
      <c r="A357" t="s">
        <v>393</v>
      </c>
      <c r="B357" s="2">
        <v>45871.087858796287</v>
      </c>
      <c r="C357" t="s">
        <v>9</v>
      </c>
      <c r="D357" t="s">
        <v>16</v>
      </c>
      <c r="E357" t="s">
        <v>21</v>
      </c>
      <c r="F357" t="s">
        <v>12</v>
      </c>
      <c r="G357">
        <v>0.11</v>
      </c>
    </row>
    <row r="358" spans="1:7" x14ac:dyDescent="0.3">
      <c r="A358" t="s">
        <v>394</v>
      </c>
      <c r="B358" s="2">
        <v>45897.758750000001</v>
      </c>
      <c r="C358" t="s">
        <v>9</v>
      </c>
      <c r="D358" t="s">
        <v>16</v>
      </c>
      <c r="E358" t="s">
        <v>17</v>
      </c>
      <c r="F358" t="s">
        <v>18</v>
      </c>
      <c r="G358">
        <v>0.06</v>
      </c>
    </row>
    <row r="359" spans="1:7" x14ac:dyDescent="0.3">
      <c r="A359" t="s">
        <v>395</v>
      </c>
      <c r="B359" s="2">
        <v>45873.38181712963</v>
      </c>
      <c r="C359" t="s">
        <v>15</v>
      </c>
      <c r="D359" t="s">
        <v>28</v>
      </c>
      <c r="E359" t="s">
        <v>11</v>
      </c>
      <c r="F359" t="s">
        <v>12</v>
      </c>
      <c r="G359">
        <v>0.11</v>
      </c>
    </row>
    <row r="360" spans="1:7" x14ac:dyDescent="0.3">
      <c r="A360" t="s">
        <v>396</v>
      </c>
      <c r="B360" s="2">
        <v>45881.478530092587</v>
      </c>
      <c r="C360" t="s">
        <v>15</v>
      </c>
      <c r="D360" t="s">
        <v>10</v>
      </c>
      <c r="E360" t="s">
        <v>17</v>
      </c>
      <c r="F360" t="s">
        <v>22</v>
      </c>
      <c r="G360">
        <v>0</v>
      </c>
    </row>
    <row r="361" spans="1:7" x14ac:dyDescent="0.3">
      <c r="A361" t="s">
        <v>397</v>
      </c>
      <c r="B361" s="2">
        <v>45878.689097222217</v>
      </c>
      <c r="C361" t="s">
        <v>15</v>
      </c>
      <c r="D361" t="s">
        <v>10</v>
      </c>
      <c r="E361" t="s">
        <v>11</v>
      </c>
      <c r="F361" t="s">
        <v>18</v>
      </c>
      <c r="G361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483B-F151-4913-BEE4-0CA1F5500088}">
  <dimension ref="A1:H925"/>
  <sheetViews>
    <sheetView tabSelected="1" workbookViewId="0">
      <selection activeCell="M7" sqref="M7"/>
    </sheetView>
  </sheetViews>
  <sheetFormatPr defaultRowHeight="14.4" x14ac:dyDescent="0.3"/>
  <cols>
    <col min="1" max="1" width="12" bestFit="1" customWidth="1"/>
    <col min="2" max="2" width="8.88671875" bestFit="1" customWidth="1"/>
    <col min="3" max="3" width="8.44140625" bestFit="1" customWidth="1"/>
    <col min="4" max="4" width="10.88671875" bestFit="1" customWidth="1"/>
    <col min="5" max="5" width="10.44140625" bestFit="1" customWidth="1"/>
    <col min="6" max="6" width="10.77734375" bestFit="1" customWidth="1"/>
    <col min="7" max="7" width="13.44140625" bestFit="1" customWidth="1"/>
    <col min="8" max="8" width="15" bestFit="1" customWidth="1"/>
  </cols>
  <sheetData>
    <row r="1" spans="1:8" x14ac:dyDescent="0.3">
      <c r="A1" s="1" t="s">
        <v>0</v>
      </c>
      <c r="B1" s="1" t="s">
        <v>398</v>
      </c>
      <c r="C1" s="1" t="s">
        <v>399</v>
      </c>
      <c r="D1" s="4" t="s">
        <v>400</v>
      </c>
      <c r="E1" s="4" t="s">
        <v>423</v>
      </c>
      <c r="F1" s="4" t="s">
        <v>421</v>
      </c>
      <c r="G1" s="4" t="s">
        <v>522</v>
      </c>
      <c r="H1" s="4" t="s">
        <v>2</v>
      </c>
    </row>
    <row r="2" spans="1:8" x14ac:dyDescent="0.3">
      <c r="A2" t="s">
        <v>8</v>
      </c>
      <c r="B2" t="s">
        <v>401</v>
      </c>
      <c r="C2">
        <v>3</v>
      </c>
      <c r="D2">
        <f>VLOOKUP(B2, Menu!$A:$F, 6, 0)</f>
        <v>52.45</v>
      </c>
      <c r="E2">
        <f>VLOOKUP(B2, Menu!$A:$F, 5, 0)</f>
        <v>25.8</v>
      </c>
      <c r="F2" t="str">
        <f>VLOOKUP(B2, Menu!$A:$F, 3, 0)</f>
        <v>Snack</v>
      </c>
      <c r="G2" s="5">
        <f>VLOOKUP(A2, Orders!$A:$B, 2, 0)</f>
        <v>45852.096203703702</v>
      </c>
      <c r="H2" t="str">
        <f>VLOOKUP(A2, Orders!$A:$C, 3, 0)</f>
        <v>Head Office Café</v>
      </c>
    </row>
    <row r="3" spans="1:8" x14ac:dyDescent="0.3">
      <c r="A3" t="s">
        <v>14</v>
      </c>
      <c r="B3" t="s">
        <v>402</v>
      </c>
      <c r="C3">
        <v>1</v>
      </c>
      <c r="D3">
        <f>VLOOKUP(B3, Menu!$A:$F, 6, 0)</f>
        <v>30.34</v>
      </c>
      <c r="E3">
        <f>VLOOKUP(B3, Menu!$A:$F, 5, 0)</f>
        <v>14.18</v>
      </c>
      <c r="F3" t="str">
        <f>VLOOKUP(B3, Menu!$A:$F, 3, 0)</f>
        <v>Beverage</v>
      </c>
      <c r="G3" s="5">
        <f>VLOOKUP(A3, Orders!$A:$B, 2, 0)</f>
        <v>45862.842685185176</v>
      </c>
      <c r="H3" t="str">
        <f>VLOOKUP(A3, Orders!$A:$C, 3, 0)</f>
        <v>Plant 2 Canteen</v>
      </c>
    </row>
    <row r="4" spans="1:8" x14ac:dyDescent="0.3">
      <c r="A4" t="s">
        <v>14</v>
      </c>
      <c r="B4" t="s">
        <v>403</v>
      </c>
      <c r="C4">
        <v>1</v>
      </c>
      <c r="D4">
        <f>VLOOKUP(B4, Menu!$A:$F, 6, 0)</f>
        <v>76.55</v>
      </c>
      <c r="E4">
        <f>VLOOKUP(B4, Menu!$A:$F, 5, 0)</f>
        <v>38.229999999999997</v>
      </c>
      <c r="F4" t="str">
        <f>VLOOKUP(B4, Menu!$A:$F, 3, 0)</f>
        <v>Dessert</v>
      </c>
      <c r="G4" s="5">
        <f>VLOOKUP(A4, Orders!$A:$B, 2, 0)</f>
        <v>45862.842685185176</v>
      </c>
      <c r="H4" t="str">
        <f>VLOOKUP(A4, Orders!$A:$C, 3, 0)</f>
        <v>Plant 2 Canteen</v>
      </c>
    </row>
    <row r="5" spans="1:8" x14ac:dyDescent="0.3">
      <c r="A5" t="s">
        <v>20</v>
      </c>
      <c r="B5" t="s">
        <v>404</v>
      </c>
      <c r="C5">
        <v>2</v>
      </c>
      <c r="D5">
        <f>VLOOKUP(B5, Menu!$A:$F, 6, 0)</f>
        <v>32.979999999999997</v>
      </c>
      <c r="E5">
        <f>VLOOKUP(B5, Menu!$A:$F, 5, 0)</f>
        <v>11.84</v>
      </c>
      <c r="F5" t="str">
        <f>VLOOKUP(B5, Menu!$A:$F, 3, 0)</f>
        <v>Beverage</v>
      </c>
      <c r="G5" s="5">
        <f>VLOOKUP(A5, Orders!$A:$B, 2, 0)</f>
        <v>45848.661041666674</v>
      </c>
      <c r="H5" t="str">
        <f>VLOOKUP(A5, Orders!$A:$C, 3, 0)</f>
        <v>Head Office Café</v>
      </c>
    </row>
    <row r="6" spans="1:8" x14ac:dyDescent="0.3">
      <c r="A6" t="s">
        <v>20</v>
      </c>
      <c r="B6" t="s">
        <v>401</v>
      </c>
      <c r="C6">
        <v>1</v>
      </c>
      <c r="D6">
        <f>VLOOKUP(B6, Menu!$A:$F, 6, 0)</f>
        <v>52.45</v>
      </c>
      <c r="E6">
        <f>VLOOKUP(B6, Menu!$A:$F, 5, 0)</f>
        <v>25.8</v>
      </c>
      <c r="F6" t="str">
        <f>VLOOKUP(B6, Menu!$A:$F, 3, 0)</f>
        <v>Snack</v>
      </c>
      <c r="G6" s="5">
        <f>VLOOKUP(A6, Orders!$A:$B, 2, 0)</f>
        <v>45848.661041666674</v>
      </c>
      <c r="H6" t="str">
        <f>VLOOKUP(A6, Orders!$A:$C, 3, 0)</f>
        <v>Head Office Café</v>
      </c>
    </row>
    <row r="7" spans="1:8" x14ac:dyDescent="0.3">
      <c r="A7" t="s">
        <v>20</v>
      </c>
      <c r="B7" t="s">
        <v>405</v>
      </c>
      <c r="C7">
        <v>3</v>
      </c>
      <c r="D7">
        <f>VLOOKUP(B7, Menu!$A:$F, 6, 0)</f>
        <v>170.83</v>
      </c>
      <c r="E7">
        <f>VLOOKUP(B7, Menu!$A:$F, 5, 0)</f>
        <v>74.069999999999993</v>
      </c>
      <c r="F7" t="str">
        <f>VLOOKUP(B7, Menu!$A:$F, 3, 0)</f>
        <v>Hot Meal</v>
      </c>
      <c r="G7" s="5">
        <f>VLOOKUP(A7, Orders!$A:$B, 2, 0)</f>
        <v>45848.661041666674</v>
      </c>
      <c r="H7" t="str">
        <f>VLOOKUP(A7, Orders!$A:$C, 3, 0)</f>
        <v>Head Office Café</v>
      </c>
    </row>
    <row r="8" spans="1:8" x14ac:dyDescent="0.3">
      <c r="A8" t="s">
        <v>20</v>
      </c>
      <c r="B8" t="s">
        <v>406</v>
      </c>
      <c r="C8">
        <v>1</v>
      </c>
      <c r="D8">
        <f>VLOOKUP(B8, Menu!$A:$F, 6, 0)</f>
        <v>38.06</v>
      </c>
      <c r="E8">
        <f>VLOOKUP(B8, Menu!$A:$F, 5, 0)</f>
        <v>19.55</v>
      </c>
      <c r="F8" t="str">
        <f>VLOOKUP(B8, Menu!$A:$F, 3, 0)</f>
        <v>Snack</v>
      </c>
      <c r="G8" s="5">
        <f>VLOOKUP(A8, Orders!$A:$B, 2, 0)</f>
        <v>45848.661041666674</v>
      </c>
      <c r="H8" t="str">
        <f>VLOOKUP(A8, Orders!$A:$C, 3, 0)</f>
        <v>Head Office Café</v>
      </c>
    </row>
    <row r="9" spans="1:8" x14ac:dyDescent="0.3">
      <c r="A9" t="s">
        <v>24</v>
      </c>
      <c r="B9" t="s">
        <v>407</v>
      </c>
      <c r="C9">
        <v>2</v>
      </c>
      <c r="D9">
        <f>VLOOKUP(B9, Menu!$A:$F, 6, 0)</f>
        <v>246.09</v>
      </c>
      <c r="E9">
        <f>VLOOKUP(B9, Menu!$A:$F, 5, 0)</f>
        <v>112.08</v>
      </c>
      <c r="F9" t="str">
        <f>VLOOKUP(B9, Menu!$A:$F, 3, 0)</f>
        <v>Hot Meal</v>
      </c>
      <c r="G9" s="5">
        <f>VLOOKUP(A9, Orders!$A:$B, 2, 0)</f>
        <v>45879.1640625</v>
      </c>
      <c r="H9" t="str">
        <f>VLOOKUP(A9, Orders!$A:$C, 3, 0)</f>
        <v>Plant 2 Canteen</v>
      </c>
    </row>
    <row r="10" spans="1:8" x14ac:dyDescent="0.3">
      <c r="A10" t="s">
        <v>25</v>
      </c>
      <c r="B10" t="s">
        <v>408</v>
      </c>
      <c r="C10">
        <v>1</v>
      </c>
      <c r="D10">
        <f>VLOOKUP(B10, Menu!$A:$F, 6, 0)</f>
        <v>70.540000000000006</v>
      </c>
      <c r="E10">
        <f>VLOOKUP(B10, Menu!$A:$F, 5, 0)</f>
        <v>35.81</v>
      </c>
      <c r="F10" t="str">
        <f>VLOOKUP(B10, Menu!$A:$F, 3, 0)</f>
        <v>Snack</v>
      </c>
      <c r="G10" s="5">
        <f>VLOOKUP(A10, Orders!$A:$B, 2, 0)</f>
        <v>45845.134895833333</v>
      </c>
      <c r="H10" t="str">
        <f>VLOOKUP(A10, Orders!$A:$C, 3, 0)</f>
        <v>Plant 2 Canteen</v>
      </c>
    </row>
    <row r="11" spans="1:8" x14ac:dyDescent="0.3">
      <c r="A11" t="s">
        <v>25</v>
      </c>
      <c r="B11" t="s">
        <v>409</v>
      </c>
      <c r="C11">
        <v>1</v>
      </c>
      <c r="D11">
        <f>VLOOKUP(B11, Menu!$A:$F, 6, 0)</f>
        <v>28.43</v>
      </c>
      <c r="E11">
        <f>VLOOKUP(B11, Menu!$A:$F, 5, 0)</f>
        <v>13.89</v>
      </c>
      <c r="F11" t="str">
        <f>VLOOKUP(B11, Menu!$A:$F, 3, 0)</f>
        <v>Beverage</v>
      </c>
      <c r="G11" s="5">
        <f>VLOOKUP(A11, Orders!$A:$B, 2, 0)</f>
        <v>45845.134895833333</v>
      </c>
      <c r="H11" t="str">
        <f>VLOOKUP(A11, Orders!$A:$C, 3, 0)</f>
        <v>Plant 2 Canteen</v>
      </c>
    </row>
    <row r="12" spans="1:8" x14ac:dyDescent="0.3">
      <c r="A12" t="s">
        <v>26</v>
      </c>
      <c r="B12" t="s">
        <v>410</v>
      </c>
      <c r="C12">
        <v>3</v>
      </c>
      <c r="D12">
        <f>VLOOKUP(B12, Menu!$A:$F, 6, 0)</f>
        <v>20.11</v>
      </c>
      <c r="E12">
        <f>VLOOKUP(B12, Menu!$A:$F, 5, 0)</f>
        <v>8</v>
      </c>
      <c r="F12" t="str">
        <f>VLOOKUP(B12, Menu!$A:$F, 3, 0)</f>
        <v>Beverage</v>
      </c>
      <c r="G12" s="5">
        <f>VLOOKUP(A12, Orders!$A:$B, 2, 0)</f>
        <v>45863.392129629632</v>
      </c>
      <c r="H12" t="str">
        <f>VLOOKUP(A12, Orders!$A:$C, 3, 0)</f>
        <v>Plant 1 Canteen</v>
      </c>
    </row>
    <row r="13" spans="1:8" x14ac:dyDescent="0.3">
      <c r="A13" t="s">
        <v>30</v>
      </c>
      <c r="B13" t="s">
        <v>404</v>
      </c>
      <c r="C13">
        <v>1</v>
      </c>
      <c r="D13">
        <f>VLOOKUP(B13, Menu!$A:$F, 6, 0)</f>
        <v>32.979999999999997</v>
      </c>
      <c r="E13">
        <f>VLOOKUP(B13, Menu!$A:$F, 5, 0)</f>
        <v>11.84</v>
      </c>
      <c r="F13" t="str">
        <f>VLOOKUP(B13, Menu!$A:$F, 3, 0)</f>
        <v>Beverage</v>
      </c>
      <c r="G13" s="5">
        <f>VLOOKUP(A13, Orders!$A:$B, 2, 0)</f>
        <v>45852.860347222217</v>
      </c>
      <c r="H13" t="str">
        <f>VLOOKUP(A13, Orders!$A:$C, 3, 0)</f>
        <v>Plant 2 Canteen</v>
      </c>
    </row>
    <row r="14" spans="1:8" x14ac:dyDescent="0.3">
      <c r="A14" t="s">
        <v>30</v>
      </c>
      <c r="B14" t="s">
        <v>405</v>
      </c>
      <c r="C14">
        <v>2</v>
      </c>
      <c r="D14">
        <f>VLOOKUP(B14, Menu!$A:$F, 6, 0)</f>
        <v>170.83</v>
      </c>
      <c r="E14">
        <f>VLOOKUP(B14, Menu!$A:$F, 5, 0)</f>
        <v>74.069999999999993</v>
      </c>
      <c r="F14" t="str">
        <f>VLOOKUP(B14, Menu!$A:$F, 3, 0)</f>
        <v>Hot Meal</v>
      </c>
      <c r="G14" s="5">
        <f>VLOOKUP(A14, Orders!$A:$B, 2, 0)</f>
        <v>45852.860347222217</v>
      </c>
      <c r="H14" t="str">
        <f>VLOOKUP(A14, Orders!$A:$C, 3, 0)</f>
        <v>Plant 2 Canteen</v>
      </c>
    </row>
    <row r="15" spans="1:8" x14ac:dyDescent="0.3">
      <c r="A15" t="s">
        <v>31</v>
      </c>
      <c r="B15" t="s">
        <v>411</v>
      </c>
      <c r="C15">
        <v>1</v>
      </c>
      <c r="D15">
        <f>VLOOKUP(B15, Menu!$A:$F, 6, 0)</f>
        <v>22.2</v>
      </c>
      <c r="E15">
        <f>VLOOKUP(B15, Menu!$A:$F, 5, 0)</f>
        <v>9.3800000000000008</v>
      </c>
      <c r="F15" t="str">
        <f>VLOOKUP(B15, Menu!$A:$F, 3, 0)</f>
        <v>Beverage</v>
      </c>
      <c r="G15" s="5">
        <f>VLOOKUP(A15, Orders!$A:$B, 2, 0)</f>
        <v>45863.503796296303</v>
      </c>
      <c r="H15" t="str">
        <f>VLOOKUP(A15, Orders!$A:$C, 3, 0)</f>
        <v>Plant 1 Canteen</v>
      </c>
    </row>
    <row r="16" spans="1:8" x14ac:dyDescent="0.3">
      <c r="A16" t="s">
        <v>31</v>
      </c>
      <c r="B16" t="s">
        <v>412</v>
      </c>
      <c r="C16">
        <v>3</v>
      </c>
      <c r="D16">
        <f>VLOOKUP(B16, Menu!$A:$F, 6, 0)</f>
        <v>57.07</v>
      </c>
      <c r="E16">
        <f>VLOOKUP(B16, Menu!$A:$F, 5, 0)</f>
        <v>29.14</v>
      </c>
      <c r="F16" t="str">
        <f>VLOOKUP(B16, Menu!$A:$F, 3, 0)</f>
        <v>Dessert</v>
      </c>
      <c r="G16" s="5">
        <f>VLOOKUP(A16, Orders!$A:$B, 2, 0)</f>
        <v>45863.503796296303</v>
      </c>
      <c r="H16" t="str">
        <f>VLOOKUP(A16, Orders!$A:$C, 3, 0)</f>
        <v>Plant 1 Canteen</v>
      </c>
    </row>
    <row r="17" spans="1:8" x14ac:dyDescent="0.3">
      <c r="A17" t="s">
        <v>31</v>
      </c>
      <c r="B17" t="s">
        <v>402</v>
      </c>
      <c r="C17">
        <v>1</v>
      </c>
      <c r="D17">
        <f>VLOOKUP(B17, Menu!$A:$F, 6, 0)</f>
        <v>30.34</v>
      </c>
      <c r="E17">
        <f>VLOOKUP(B17, Menu!$A:$F, 5, 0)</f>
        <v>14.18</v>
      </c>
      <c r="F17" t="str">
        <f>VLOOKUP(B17, Menu!$A:$F, 3, 0)</f>
        <v>Beverage</v>
      </c>
      <c r="G17" s="5">
        <f>VLOOKUP(A17, Orders!$A:$B, 2, 0)</f>
        <v>45863.503796296303</v>
      </c>
      <c r="H17" t="str">
        <f>VLOOKUP(A17, Orders!$A:$C, 3, 0)</f>
        <v>Plant 1 Canteen</v>
      </c>
    </row>
    <row r="18" spans="1:8" x14ac:dyDescent="0.3">
      <c r="A18" t="s">
        <v>32</v>
      </c>
      <c r="B18" t="s">
        <v>405</v>
      </c>
      <c r="C18">
        <v>2</v>
      </c>
      <c r="D18">
        <f>VLOOKUP(B18, Menu!$A:$F, 6, 0)</f>
        <v>170.83</v>
      </c>
      <c r="E18">
        <f>VLOOKUP(B18, Menu!$A:$F, 5, 0)</f>
        <v>74.069999999999993</v>
      </c>
      <c r="F18" t="str">
        <f>VLOOKUP(B18, Menu!$A:$F, 3, 0)</f>
        <v>Hot Meal</v>
      </c>
      <c r="G18" s="5">
        <f>VLOOKUP(A18, Orders!$A:$B, 2, 0)</f>
        <v>45844.161631944437</v>
      </c>
      <c r="H18" t="str">
        <f>VLOOKUP(A18, Orders!$A:$C, 3, 0)</f>
        <v>Head Office Café</v>
      </c>
    </row>
    <row r="19" spans="1:8" x14ac:dyDescent="0.3">
      <c r="A19" t="s">
        <v>32</v>
      </c>
      <c r="B19" t="s">
        <v>412</v>
      </c>
      <c r="C19">
        <v>2</v>
      </c>
      <c r="D19">
        <f>VLOOKUP(B19, Menu!$A:$F, 6, 0)</f>
        <v>57.07</v>
      </c>
      <c r="E19">
        <f>VLOOKUP(B19, Menu!$A:$F, 5, 0)</f>
        <v>29.14</v>
      </c>
      <c r="F19" t="str">
        <f>VLOOKUP(B19, Menu!$A:$F, 3, 0)</f>
        <v>Dessert</v>
      </c>
      <c r="G19" s="5">
        <f>VLOOKUP(A19, Orders!$A:$B, 2, 0)</f>
        <v>45844.161631944437</v>
      </c>
      <c r="H19" t="str">
        <f>VLOOKUP(A19, Orders!$A:$C, 3, 0)</f>
        <v>Head Office Café</v>
      </c>
    </row>
    <row r="20" spans="1:8" x14ac:dyDescent="0.3">
      <c r="A20" t="s">
        <v>32</v>
      </c>
      <c r="B20" t="s">
        <v>406</v>
      </c>
      <c r="C20">
        <v>1</v>
      </c>
      <c r="D20">
        <f>VLOOKUP(B20, Menu!$A:$F, 6, 0)</f>
        <v>38.06</v>
      </c>
      <c r="E20">
        <f>VLOOKUP(B20, Menu!$A:$F, 5, 0)</f>
        <v>19.55</v>
      </c>
      <c r="F20" t="str">
        <f>VLOOKUP(B20, Menu!$A:$F, 3, 0)</f>
        <v>Snack</v>
      </c>
      <c r="G20" s="5">
        <f>VLOOKUP(A20, Orders!$A:$B, 2, 0)</f>
        <v>45844.161631944437</v>
      </c>
      <c r="H20" t="str">
        <f>VLOOKUP(A20, Orders!$A:$C, 3, 0)</f>
        <v>Head Office Café</v>
      </c>
    </row>
    <row r="21" spans="1:8" x14ac:dyDescent="0.3">
      <c r="A21" t="s">
        <v>34</v>
      </c>
      <c r="B21" t="s">
        <v>411</v>
      </c>
      <c r="C21">
        <v>2</v>
      </c>
      <c r="D21">
        <f>VLOOKUP(B21, Menu!$A:$F, 6, 0)</f>
        <v>22.2</v>
      </c>
      <c r="E21">
        <f>VLOOKUP(B21, Menu!$A:$F, 5, 0)</f>
        <v>9.3800000000000008</v>
      </c>
      <c r="F21" t="str">
        <f>VLOOKUP(B21, Menu!$A:$F, 3, 0)</f>
        <v>Beverage</v>
      </c>
      <c r="G21" s="5">
        <f>VLOOKUP(A21, Orders!$A:$B, 2, 0)</f>
        <v>45862.200162037043</v>
      </c>
      <c r="H21" t="str">
        <f>VLOOKUP(A21, Orders!$A:$C, 3, 0)</f>
        <v>Plant 1 Canteen</v>
      </c>
    </row>
    <row r="22" spans="1:8" x14ac:dyDescent="0.3">
      <c r="A22" t="s">
        <v>34</v>
      </c>
      <c r="B22" t="s">
        <v>407</v>
      </c>
      <c r="C22">
        <v>1</v>
      </c>
      <c r="D22">
        <f>VLOOKUP(B22, Menu!$A:$F, 6, 0)</f>
        <v>246.09</v>
      </c>
      <c r="E22">
        <f>VLOOKUP(B22, Menu!$A:$F, 5, 0)</f>
        <v>112.08</v>
      </c>
      <c r="F22" t="str">
        <f>VLOOKUP(B22, Menu!$A:$F, 3, 0)</f>
        <v>Hot Meal</v>
      </c>
      <c r="G22" s="5">
        <f>VLOOKUP(A22, Orders!$A:$B, 2, 0)</f>
        <v>45862.200162037043</v>
      </c>
      <c r="H22" t="str">
        <f>VLOOKUP(A22, Orders!$A:$C, 3, 0)</f>
        <v>Plant 1 Canteen</v>
      </c>
    </row>
    <row r="23" spans="1:8" x14ac:dyDescent="0.3">
      <c r="A23" t="s">
        <v>34</v>
      </c>
      <c r="B23" t="s">
        <v>408</v>
      </c>
      <c r="C23">
        <v>1</v>
      </c>
      <c r="D23">
        <f>VLOOKUP(B23, Menu!$A:$F, 6, 0)</f>
        <v>70.540000000000006</v>
      </c>
      <c r="E23">
        <f>VLOOKUP(B23, Menu!$A:$F, 5, 0)</f>
        <v>35.81</v>
      </c>
      <c r="F23" t="str">
        <f>VLOOKUP(B23, Menu!$A:$F, 3, 0)</f>
        <v>Snack</v>
      </c>
      <c r="G23" s="5">
        <f>VLOOKUP(A23, Orders!$A:$B, 2, 0)</f>
        <v>45862.200162037043</v>
      </c>
      <c r="H23" t="str">
        <f>VLOOKUP(A23, Orders!$A:$C, 3, 0)</f>
        <v>Plant 1 Canteen</v>
      </c>
    </row>
    <row r="24" spans="1:8" x14ac:dyDescent="0.3">
      <c r="A24" t="s">
        <v>34</v>
      </c>
      <c r="B24" t="s">
        <v>403</v>
      </c>
      <c r="C24">
        <v>1</v>
      </c>
      <c r="D24">
        <f>VLOOKUP(B24, Menu!$A:$F, 6, 0)</f>
        <v>76.55</v>
      </c>
      <c r="E24">
        <f>VLOOKUP(B24, Menu!$A:$F, 5, 0)</f>
        <v>38.229999999999997</v>
      </c>
      <c r="F24" t="str">
        <f>VLOOKUP(B24, Menu!$A:$F, 3, 0)</f>
        <v>Dessert</v>
      </c>
      <c r="G24" s="5">
        <f>VLOOKUP(A24, Orders!$A:$B, 2, 0)</f>
        <v>45862.200162037043</v>
      </c>
      <c r="H24" t="str">
        <f>VLOOKUP(A24, Orders!$A:$C, 3, 0)</f>
        <v>Plant 1 Canteen</v>
      </c>
    </row>
    <row r="25" spans="1:8" x14ac:dyDescent="0.3">
      <c r="A25" t="s">
        <v>35</v>
      </c>
      <c r="B25" t="s">
        <v>409</v>
      </c>
      <c r="C25">
        <v>1</v>
      </c>
      <c r="D25">
        <f>VLOOKUP(B25, Menu!$A:$F, 6, 0)</f>
        <v>28.43</v>
      </c>
      <c r="E25">
        <f>VLOOKUP(B25, Menu!$A:$F, 5, 0)</f>
        <v>13.89</v>
      </c>
      <c r="F25" t="str">
        <f>VLOOKUP(B25, Menu!$A:$F, 3, 0)</f>
        <v>Beverage</v>
      </c>
      <c r="G25" s="5">
        <f>VLOOKUP(A25, Orders!$A:$B, 2, 0)</f>
        <v>45860.002800925933</v>
      </c>
      <c r="H25" t="str">
        <f>VLOOKUP(A25, Orders!$A:$C, 3, 0)</f>
        <v>Plant 2 Canteen</v>
      </c>
    </row>
    <row r="26" spans="1:8" x14ac:dyDescent="0.3">
      <c r="A26" t="s">
        <v>37</v>
      </c>
      <c r="B26" t="s">
        <v>413</v>
      </c>
      <c r="C26">
        <v>1</v>
      </c>
      <c r="D26">
        <f>VLOOKUP(B26, Menu!$A:$F, 6, 0)</f>
        <v>54.2</v>
      </c>
      <c r="E26">
        <f>VLOOKUP(B26, Menu!$A:$F, 5, 0)</f>
        <v>21.95</v>
      </c>
      <c r="F26" t="str">
        <f>VLOOKUP(B26, Menu!$A:$F, 3, 0)</f>
        <v>Dessert</v>
      </c>
      <c r="G26" s="5">
        <f>VLOOKUP(A26, Orders!$A:$B, 2, 0)</f>
        <v>45839.45925925926</v>
      </c>
      <c r="H26" t="str">
        <f>VLOOKUP(A26, Orders!$A:$C, 3, 0)</f>
        <v>Plant 2 Canteen</v>
      </c>
    </row>
    <row r="27" spans="1:8" x14ac:dyDescent="0.3">
      <c r="A27" t="s">
        <v>37</v>
      </c>
      <c r="B27" t="s">
        <v>401</v>
      </c>
      <c r="C27">
        <v>1</v>
      </c>
      <c r="D27">
        <f>VLOOKUP(B27, Menu!$A:$F, 6, 0)</f>
        <v>52.45</v>
      </c>
      <c r="E27">
        <f>VLOOKUP(B27, Menu!$A:$F, 5, 0)</f>
        <v>25.8</v>
      </c>
      <c r="F27" t="str">
        <f>VLOOKUP(B27, Menu!$A:$F, 3, 0)</f>
        <v>Snack</v>
      </c>
      <c r="G27" s="5">
        <f>VLOOKUP(A27, Orders!$A:$B, 2, 0)</f>
        <v>45839.45925925926</v>
      </c>
      <c r="H27" t="str">
        <f>VLOOKUP(A27, Orders!$A:$C, 3, 0)</f>
        <v>Plant 2 Canteen</v>
      </c>
    </row>
    <row r="28" spans="1:8" x14ac:dyDescent="0.3">
      <c r="A28" t="s">
        <v>39</v>
      </c>
      <c r="B28" t="s">
        <v>403</v>
      </c>
      <c r="C28">
        <v>3</v>
      </c>
      <c r="D28">
        <f>VLOOKUP(B28, Menu!$A:$F, 6, 0)</f>
        <v>76.55</v>
      </c>
      <c r="E28">
        <f>VLOOKUP(B28, Menu!$A:$F, 5, 0)</f>
        <v>38.229999999999997</v>
      </c>
      <c r="F28" t="str">
        <f>VLOOKUP(B28, Menu!$A:$F, 3, 0)</f>
        <v>Dessert</v>
      </c>
      <c r="G28" s="5">
        <f>VLOOKUP(A28, Orders!$A:$B, 2, 0)</f>
        <v>45880.31994212963</v>
      </c>
      <c r="H28" t="str">
        <f>VLOOKUP(A28, Orders!$A:$C, 3, 0)</f>
        <v>Head Office Café</v>
      </c>
    </row>
    <row r="29" spans="1:8" x14ac:dyDescent="0.3">
      <c r="A29" t="s">
        <v>39</v>
      </c>
      <c r="B29" t="s">
        <v>402</v>
      </c>
      <c r="C29">
        <v>2</v>
      </c>
      <c r="D29">
        <f>VLOOKUP(B29, Menu!$A:$F, 6, 0)</f>
        <v>30.34</v>
      </c>
      <c r="E29">
        <f>VLOOKUP(B29, Menu!$A:$F, 5, 0)</f>
        <v>14.18</v>
      </c>
      <c r="F29" t="str">
        <f>VLOOKUP(B29, Menu!$A:$F, 3, 0)</f>
        <v>Beverage</v>
      </c>
      <c r="G29" s="5">
        <f>VLOOKUP(A29, Orders!$A:$B, 2, 0)</f>
        <v>45880.31994212963</v>
      </c>
      <c r="H29" t="str">
        <f>VLOOKUP(A29, Orders!$A:$C, 3, 0)</f>
        <v>Head Office Café</v>
      </c>
    </row>
    <row r="30" spans="1:8" x14ac:dyDescent="0.3">
      <c r="A30" t="s">
        <v>39</v>
      </c>
      <c r="B30" t="s">
        <v>414</v>
      </c>
      <c r="C30">
        <v>3</v>
      </c>
      <c r="D30">
        <f>VLOOKUP(B30, Menu!$A:$F, 6, 0)</f>
        <v>116.8</v>
      </c>
      <c r="E30">
        <f>VLOOKUP(B30, Menu!$A:$F, 5, 0)</f>
        <v>48.97</v>
      </c>
      <c r="F30" t="str">
        <f>VLOOKUP(B30, Menu!$A:$F, 3, 0)</f>
        <v>Dessert</v>
      </c>
      <c r="G30" s="5">
        <f>VLOOKUP(A30, Orders!$A:$B, 2, 0)</f>
        <v>45880.31994212963</v>
      </c>
      <c r="H30" t="str">
        <f>VLOOKUP(A30, Orders!$A:$C, 3, 0)</f>
        <v>Head Office Café</v>
      </c>
    </row>
    <row r="31" spans="1:8" x14ac:dyDescent="0.3">
      <c r="A31" t="s">
        <v>39</v>
      </c>
      <c r="B31" t="s">
        <v>415</v>
      </c>
      <c r="C31">
        <v>1</v>
      </c>
      <c r="D31">
        <f>VLOOKUP(B31, Menu!$A:$F, 6, 0)</f>
        <v>256.91000000000003</v>
      </c>
      <c r="E31">
        <f>VLOOKUP(B31, Menu!$A:$F, 5, 0)</f>
        <v>121.24</v>
      </c>
      <c r="F31" t="str">
        <f>VLOOKUP(B31, Menu!$A:$F, 3, 0)</f>
        <v>Hot Meal</v>
      </c>
      <c r="G31" s="5">
        <f>VLOOKUP(A31, Orders!$A:$B, 2, 0)</f>
        <v>45880.31994212963</v>
      </c>
      <c r="H31" t="str">
        <f>VLOOKUP(A31, Orders!$A:$C, 3, 0)</f>
        <v>Head Office Café</v>
      </c>
    </row>
    <row r="32" spans="1:8" x14ac:dyDescent="0.3">
      <c r="A32" t="s">
        <v>40</v>
      </c>
      <c r="B32" t="s">
        <v>409</v>
      </c>
      <c r="C32">
        <v>1</v>
      </c>
      <c r="D32">
        <f>VLOOKUP(B32, Menu!$A:$F, 6, 0)</f>
        <v>28.43</v>
      </c>
      <c r="E32">
        <f>VLOOKUP(B32, Menu!$A:$F, 5, 0)</f>
        <v>13.89</v>
      </c>
      <c r="F32" t="str">
        <f>VLOOKUP(B32, Menu!$A:$F, 3, 0)</f>
        <v>Beverage</v>
      </c>
      <c r="G32" s="5">
        <f>VLOOKUP(A32, Orders!$A:$B, 2, 0)</f>
        <v>45854.279270833344</v>
      </c>
      <c r="H32" t="str">
        <f>VLOOKUP(A32, Orders!$A:$C, 3, 0)</f>
        <v>Plant 1 Canteen</v>
      </c>
    </row>
    <row r="33" spans="1:8" x14ac:dyDescent="0.3">
      <c r="A33" t="s">
        <v>40</v>
      </c>
      <c r="B33" t="s">
        <v>403</v>
      </c>
      <c r="C33">
        <v>2</v>
      </c>
      <c r="D33">
        <f>VLOOKUP(B33, Menu!$A:$F, 6, 0)</f>
        <v>76.55</v>
      </c>
      <c r="E33">
        <f>VLOOKUP(B33, Menu!$A:$F, 5, 0)</f>
        <v>38.229999999999997</v>
      </c>
      <c r="F33" t="str">
        <f>VLOOKUP(B33, Menu!$A:$F, 3, 0)</f>
        <v>Dessert</v>
      </c>
      <c r="G33" s="5">
        <f>VLOOKUP(A33, Orders!$A:$B, 2, 0)</f>
        <v>45854.279270833344</v>
      </c>
      <c r="H33" t="str">
        <f>VLOOKUP(A33, Orders!$A:$C, 3, 0)</f>
        <v>Plant 1 Canteen</v>
      </c>
    </row>
    <row r="34" spans="1:8" x14ac:dyDescent="0.3">
      <c r="A34" t="s">
        <v>40</v>
      </c>
      <c r="B34" t="s">
        <v>410</v>
      </c>
      <c r="C34">
        <v>1</v>
      </c>
      <c r="D34">
        <f>VLOOKUP(B34, Menu!$A:$F, 6, 0)</f>
        <v>20.11</v>
      </c>
      <c r="E34">
        <f>VLOOKUP(B34, Menu!$A:$F, 5, 0)</f>
        <v>8</v>
      </c>
      <c r="F34" t="str">
        <f>VLOOKUP(B34, Menu!$A:$F, 3, 0)</f>
        <v>Beverage</v>
      </c>
      <c r="G34" s="5">
        <f>VLOOKUP(A34, Orders!$A:$B, 2, 0)</f>
        <v>45854.279270833344</v>
      </c>
      <c r="H34" t="str">
        <f>VLOOKUP(A34, Orders!$A:$C, 3, 0)</f>
        <v>Plant 1 Canteen</v>
      </c>
    </row>
    <row r="35" spans="1:8" x14ac:dyDescent="0.3">
      <c r="A35" t="s">
        <v>42</v>
      </c>
      <c r="B35" t="s">
        <v>405</v>
      </c>
      <c r="C35">
        <v>1</v>
      </c>
      <c r="D35">
        <f>VLOOKUP(B35, Menu!$A:$F, 6, 0)</f>
        <v>170.83</v>
      </c>
      <c r="E35">
        <f>VLOOKUP(B35, Menu!$A:$F, 5, 0)</f>
        <v>74.069999999999993</v>
      </c>
      <c r="F35" t="str">
        <f>VLOOKUP(B35, Menu!$A:$F, 3, 0)</f>
        <v>Hot Meal</v>
      </c>
      <c r="G35" s="5">
        <f>VLOOKUP(A35, Orders!$A:$B, 2, 0)</f>
        <v>45895.482824074083</v>
      </c>
      <c r="H35" t="str">
        <f>VLOOKUP(A35, Orders!$A:$C, 3, 0)</f>
        <v>Head Office Café</v>
      </c>
    </row>
    <row r="36" spans="1:8" x14ac:dyDescent="0.3">
      <c r="A36" t="s">
        <v>42</v>
      </c>
      <c r="B36" t="s">
        <v>404</v>
      </c>
      <c r="C36">
        <v>3</v>
      </c>
      <c r="D36">
        <f>VLOOKUP(B36, Menu!$A:$F, 6, 0)</f>
        <v>32.979999999999997</v>
      </c>
      <c r="E36">
        <f>VLOOKUP(B36, Menu!$A:$F, 5, 0)</f>
        <v>11.84</v>
      </c>
      <c r="F36" t="str">
        <f>VLOOKUP(B36, Menu!$A:$F, 3, 0)</f>
        <v>Beverage</v>
      </c>
      <c r="G36" s="5">
        <f>VLOOKUP(A36, Orders!$A:$B, 2, 0)</f>
        <v>45895.482824074083</v>
      </c>
      <c r="H36" t="str">
        <f>VLOOKUP(A36, Orders!$A:$C, 3, 0)</f>
        <v>Head Office Café</v>
      </c>
    </row>
    <row r="37" spans="1:8" x14ac:dyDescent="0.3">
      <c r="A37" t="s">
        <v>42</v>
      </c>
      <c r="B37" t="s">
        <v>403</v>
      </c>
      <c r="C37">
        <v>2</v>
      </c>
      <c r="D37">
        <f>VLOOKUP(B37, Menu!$A:$F, 6, 0)</f>
        <v>76.55</v>
      </c>
      <c r="E37">
        <f>VLOOKUP(B37, Menu!$A:$F, 5, 0)</f>
        <v>38.229999999999997</v>
      </c>
      <c r="F37" t="str">
        <f>VLOOKUP(B37, Menu!$A:$F, 3, 0)</f>
        <v>Dessert</v>
      </c>
      <c r="G37" s="5">
        <f>VLOOKUP(A37, Orders!$A:$B, 2, 0)</f>
        <v>45895.482824074083</v>
      </c>
      <c r="H37" t="str">
        <f>VLOOKUP(A37, Orders!$A:$C, 3, 0)</f>
        <v>Head Office Café</v>
      </c>
    </row>
    <row r="38" spans="1:8" x14ac:dyDescent="0.3">
      <c r="A38" t="s">
        <v>44</v>
      </c>
      <c r="B38" t="s">
        <v>412</v>
      </c>
      <c r="C38">
        <v>1</v>
      </c>
      <c r="D38">
        <f>VLOOKUP(B38, Menu!$A:$F, 6, 0)</f>
        <v>57.07</v>
      </c>
      <c r="E38">
        <f>VLOOKUP(B38, Menu!$A:$F, 5, 0)</f>
        <v>29.14</v>
      </c>
      <c r="F38" t="str">
        <f>VLOOKUP(B38, Menu!$A:$F, 3, 0)</f>
        <v>Dessert</v>
      </c>
      <c r="G38" s="5">
        <f>VLOOKUP(A38, Orders!$A:$B, 2, 0)</f>
        <v>45844.800196759257</v>
      </c>
      <c r="H38" t="str">
        <f>VLOOKUP(A38, Orders!$A:$C, 3, 0)</f>
        <v>Plant 1 Canteen</v>
      </c>
    </row>
    <row r="39" spans="1:8" x14ac:dyDescent="0.3">
      <c r="A39" t="s">
        <v>44</v>
      </c>
      <c r="B39" t="s">
        <v>408</v>
      </c>
      <c r="C39">
        <v>1</v>
      </c>
      <c r="D39">
        <f>VLOOKUP(B39, Menu!$A:$F, 6, 0)</f>
        <v>70.540000000000006</v>
      </c>
      <c r="E39">
        <f>VLOOKUP(B39, Menu!$A:$F, 5, 0)</f>
        <v>35.81</v>
      </c>
      <c r="F39" t="str">
        <f>VLOOKUP(B39, Menu!$A:$F, 3, 0)</f>
        <v>Snack</v>
      </c>
      <c r="G39" s="5">
        <f>VLOOKUP(A39, Orders!$A:$B, 2, 0)</f>
        <v>45844.800196759257</v>
      </c>
      <c r="H39" t="str">
        <f>VLOOKUP(A39, Orders!$A:$C, 3, 0)</f>
        <v>Plant 1 Canteen</v>
      </c>
    </row>
    <row r="40" spans="1:8" x14ac:dyDescent="0.3">
      <c r="A40" t="s">
        <v>44</v>
      </c>
      <c r="B40" t="s">
        <v>401</v>
      </c>
      <c r="C40">
        <v>3</v>
      </c>
      <c r="D40">
        <f>VLOOKUP(B40, Menu!$A:$F, 6, 0)</f>
        <v>52.45</v>
      </c>
      <c r="E40">
        <f>VLOOKUP(B40, Menu!$A:$F, 5, 0)</f>
        <v>25.8</v>
      </c>
      <c r="F40" t="str">
        <f>VLOOKUP(B40, Menu!$A:$F, 3, 0)</f>
        <v>Snack</v>
      </c>
      <c r="G40" s="5">
        <f>VLOOKUP(A40, Orders!$A:$B, 2, 0)</f>
        <v>45844.800196759257</v>
      </c>
      <c r="H40" t="str">
        <f>VLOOKUP(A40, Orders!$A:$C, 3, 0)</f>
        <v>Plant 1 Canteen</v>
      </c>
    </row>
    <row r="41" spans="1:8" x14ac:dyDescent="0.3">
      <c r="A41" t="s">
        <v>44</v>
      </c>
      <c r="B41" t="s">
        <v>416</v>
      </c>
      <c r="C41">
        <v>1</v>
      </c>
      <c r="D41">
        <f>VLOOKUP(B41, Menu!$A:$F, 6, 0)</f>
        <v>227.61</v>
      </c>
      <c r="E41">
        <f>VLOOKUP(B41, Menu!$A:$F, 5, 0)</f>
        <v>96.22</v>
      </c>
      <c r="F41" t="str">
        <f>VLOOKUP(B41, Menu!$A:$F, 3, 0)</f>
        <v>Hot Meal</v>
      </c>
      <c r="G41" s="5">
        <f>VLOOKUP(A41, Orders!$A:$B, 2, 0)</f>
        <v>45844.800196759257</v>
      </c>
      <c r="H41" t="str">
        <f>VLOOKUP(A41, Orders!$A:$C, 3, 0)</f>
        <v>Plant 1 Canteen</v>
      </c>
    </row>
    <row r="42" spans="1:8" x14ac:dyDescent="0.3">
      <c r="A42" t="s">
        <v>46</v>
      </c>
      <c r="B42" t="s">
        <v>404</v>
      </c>
      <c r="C42">
        <v>1</v>
      </c>
      <c r="D42">
        <f>VLOOKUP(B42, Menu!$A:$F, 6, 0)</f>
        <v>32.979999999999997</v>
      </c>
      <c r="E42">
        <f>VLOOKUP(B42, Menu!$A:$F, 5, 0)</f>
        <v>11.84</v>
      </c>
      <c r="F42" t="str">
        <f>VLOOKUP(B42, Menu!$A:$F, 3, 0)</f>
        <v>Beverage</v>
      </c>
      <c r="G42" s="5">
        <f>VLOOKUP(A42, Orders!$A:$B, 2, 0)</f>
        <v>45890.81722222222</v>
      </c>
      <c r="H42" t="str">
        <f>VLOOKUP(A42, Orders!$A:$C, 3, 0)</f>
        <v>Plant 1 Canteen</v>
      </c>
    </row>
    <row r="43" spans="1:8" x14ac:dyDescent="0.3">
      <c r="A43" t="s">
        <v>47</v>
      </c>
      <c r="B43" t="s">
        <v>414</v>
      </c>
      <c r="C43">
        <v>1</v>
      </c>
      <c r="D43">
        <f>VLOOKUP(B43, Menu!$A:$F, 6, 0)</f>
        <v>116.8</v>
      </c>
      <c r="E43">
        <f>VLOOKUP(B43, Menu!$A:$F, 5, 0)</f>
        <v>48.97</v>
      </c>
      <c r="F43" t="str">
        <f>VLOOKUP(B43, Menu!$A:$F, 3, 0)</f>
        <v>Dessert</v>
      </c>
      <c r="G43" s="5">
        <f>VLOOKUP(A43, Orders!$A:$B, 2, 0)</f>
        <v>45857.291805555556</v>
      </c>
      <c r="H43" t="str">
        <f>VLOOKUP(A43, Orders!$A:$C, 3, 0)</f>
        <v>Plant 1 Canteen</v>
      </c>
    </row>
    <row r="44" spans="1:8" x14ac:dyDescent="0.3">
      <c r="A44" t="s">
        <v>47</v>
      </c>
      <c r="B44" t="s">
        <v>404</v>
      </c>
      <c r="C44">
        <v>2</v>
      </c>
      <c r="D44">
        <f>VLOOKUP(B44, Menu!$A:$F, 6, 0)</f>
        <v>32.979999999999997</v>
      </c>
      <c r="E44">
        <f>VLOOKUP(B44, Menu!$A:$F, 5, 0)</f>
        <v>11.84</v>
      </c>
      <c r="F44" t="str">
        <f>VLOOKUP(B44, Menu!$A:$F, 3, 0)</f>
        <v>Beverage</v>
      </c>
      <c r="G44" s="5">
        <f>VLOOKUP(A44, Orders!$A:$B, 2, 0)</f>
        <v>45857.291805555556</v>
      </c>
      <c r="H44" t="str">
        <f>VLOOKUP(A44, Orders!$A:$C, 3, 0)</f>
        <v>Plant 1 Canteen</v>
      </c>
    </row>
    <row r="45" spans="1:8" x14ac:dyDescent="0.3">
      <c r="A45" t="s">
        <v>49</v>
      </c>
      <c r="B45" t="s">
        <v>417</v>
      </c>
      <c r="C45">
        <v>1</v>
      </c>
      <c r="D45">
        <f>VLOOKUP(B45, Menu!$A:$F, 6, 0)</f>
        <v>146.4</v>
      </c>
      <c r="E45">
        <f>VLOOKUP(B45, Menu!$A:$F, 5, 0)</f>
        <v>80.92</v>
      </c>
      <c r="F45" t="str">
        <f>VLOOKUP(B45, Menu!$A:$F, 3, 0)</f>
        <v>Hot Meal</v>
      </c>
      <c r="G45" s="5">
        <f>VLOOKUP(A45, Orders!$A:$B, 2, 0)</f>
        <v>45878.452708333331</v>
      </c>
      <c r="H45" t="str">
        <f>VLOOKUP(A45, Orders!$A:$C, 3, 0)</f>
        <v>Plant 1 Canteen</v>
      </c>
    </row>
    <row r="46" spans="1:8" x14ac:dyDescent="0.3">
      <c r="A46" t="s">
        <v>49</v>
      </c>
      <c r="B46" t="s">
        <v>408</v>
      </c>
      <c r="C46">
        <v>1</v>
      </c>
      <c r="D46">
        <f>VLOOKUP(B46, Menu!$A:$F, 6, 0)</f>
        <v>70.540000000000006</v>
      </c>
      <c r="E46">
        <f>VLOOKUP(B46, Menu!$A:$F, 5, 0)</f>
        <v>35.81</v>
      </c>
      <c r="F46" t="str">
        <f>VLOOKUP(B46, Menu!$A:$F, 3, 0)</f>
        <v>Snack</v>
      </c>
      <c r="G46" s="5">
        <f>VLOOKUP(A46, Orders!$A:$B, 2, 0)</f>
        <v>45878.452708333331</v>
      </c>
      <c r="H46" t="str">
        <f>VLOOKUP(A46, Orders!$A:$C, 3, 0)</f>
        <v>Plant 1 Canteen</v>
      </c>
    </row>
    <row r="47" spans="1:8" x14ac:dyDescent="0.3">
      <c r="A47" t="s">
        <v>49</v>
      </c>
      <c r="B47" t="s">
        <v>415</v>
      </c>
      <c r="C47">
        <v>2</v>
      </c>
      <c r="D47">
        <f>VLOOKUP(B47, Menu!$A:$F, 6, 0)</f>
        <v>256.91000000000003</v>
      </c>
      <c r="E47">
        <f>VLOOKUP(B47, Menu!$A:$F, 5, 0)</f>
        <v>121.24</v>
      </c>
      <c r="F47" t="str">
        <f>VLOOKUP(B47, Menu!$A:$F, 3, 0)</f>
        <v>Hot Meal</v>
      </c>
      <c r="G47" s="5">
        <f>VLOOKUP(A47, Orders!$A:$B, 2, 0)</f>
        <v>45878.452708333331</v>
      </c>
      <c r="H47" t="str">
        <f>VLOOKUP(A47, Orders!$A:$C, 3, 0)</f>
        <v>Plant 1 Canteen</v>
      </c>
    </row>
    <row r="48" spans="1:8" x14ac:dyDescent="0.3">
      <c r="A48" t="s">
        <v>50</v>
      </c>
      <c r="B48" t="s">
        <v>413</v>
      </c>
      <c r="C48">
        <v>3</v>
      </c>
      <c r="D48">
        <f>VLOOKUP(B48, Menu!$A:$F, 6, 0)</f>
        <v>54.2</v>
      </c>
      <c r="E48">
        <f>VLOOKUP(B48, Menu!$A:$F, 5, 0)</f>
        <v>21.95</v>
      </c>
      <c r="F48" t="str">
        <f>VLOOKUP(B48, Menu!$A:$F, 3, 0)</f>
        <v>Dessert</v>
      </c>
      <c r="G48" s="5">
        <f>VLOOKUP(A48, Orders!$A:$B, 2, 0)</f>
        <v>45847.209791666668</v>
      </c>
      <c r="H48" t="str">
        <f>VLOOKUP(A48, Orders!$A:$C, 3, 0)</f>
        <v>Plant 2 Canteen</v>
      </c>
    </row>
    <row r="49" spans="1:8" x14ac:dyDescent="0.3">
      <c r="A49" t="s">
        <v>50</v>
      </c>
      <c r="B49" t="s">
        <v>416</v>
      </c>
      <c r="C49">
        <v>1</v>
      </c>
      <c r="D49">
        <f>VLOOKUP(B49, Menu!$A:$F, 6, 0)</f>
        <v>227.61</v>
      </c>
      <c r="E49">
        <f>VLOOKUP(B49, Menu!$A:$F, 5, 0)</f>
        <v>96.22</v>
      </c>
      <c r="F49" t="str">
        <f>VLOOKUP(B49, Menu!$A:$F, 3, 0)</f>
        <v>Hot Meal</v>
      </c>
      <c r="G49" s="5">
        <f>VLOOKUP(A49, Orders!$A:$B, 2, 0)</f>
        <v>45847.209791666668</v>
      </c>
      <c r="H49" t="str">
        <f>VLOOKUP(A49, Orders!$A:$C, 3, 0)</f>
        <v>Plant 2 Canteen</v>
      </c>
    </row>
    <row r="50" spans="1:8" x14ac:dyDescent="0.3">
      <c r="A50" t="s">
        <v>50</v>
      </c>
      <c r="B50" t="s">
        <v>404</v>
      </c>
      <c r="C50">
        <v>1</v>
      </c>
      <c r="D50">
        <f>VLOOKUP(B50, Menu!$A:$F, 6, 0)</f>
        <v>32.979999999999997</v>
      </c>
      <c r="E50">
        <f>VLOOKUP(B50, Menu!$A:$F, 5, 0)</f>
        <v>11.84</v>
      </c>
      <c r="F50" t="str">
        <f>VLOOKUP(B50, Menu!$A:$F, 3, 0)</f>
        <v>Beverage</v>
      </c>
      <c r="G50" s="5">
        <f>VLOOKUP(A50, Orders!$A:$B, 2, 0)</f>
        <v>45847.209791666668</v>
      </c>
      <c r="H50" t="str">
        <f>VLOOKUP(A50, Orders!$A:$C, 3, 0)</f>
        <v>Plant 2 Canteen</v>
      </c>
    </row>
    <row r="51" spans="1:8" x14ac:dyDescent="0.3">
      <c r="A51" t="s">
        <v>50</v>
      </c>
      <c r="B51" t="s">
        <v>403</v>
      </c>
      <c r="C51">
        <v>1</v>
      </c>
      <c r="D51">
        <f>VLOOKUP(B51, Menu!$A:$F, 6, 0)</f>
        <v>76.55</v>
      </c>
      <c r="E51">
        <f>VLOOKUP(B51, Menu!$A:$F, 5, 0)</f>
        <v>38.229999999999997</v>
      </c>
      <c r="F51" t="str">
        <f>VLOOKUP(B51, Menu!$A:$F, 3, 0)</f>
        <v>Dessert</v>
      </c>
      <c r="G51" s="5">
        <f>VLOOKUP(A51, Orders!$A:$B, 2, 0)</f>
        <v>45847.209791666668</v>
      </c>
      <c r="H51" t="str">
        <f>VLOOKUP(A51, Orders!$A:$C, 3, 0)</f>
        <v>Plant 2 Canteen</v>
      </c>
    </row>
    <row r="52" spans="1:8" x14ac:dyDescent="0.3">
      <c r="A52" t="s">
        <v>51</v>
      </c>
      <c r="B52" t="s">
        <v>401</v>
      </c>
      <c r="C52">
        <v>3</v>
      </c>
      <c r="D52">
        <f>VLOOKUP(B52, Menu!$A:$F, 6, 0)</f>
        <v>52.45</v>
      </c>
      <c r="E52">
        <f>VLOOKUP(B52, Menu!$A:$F, 5, 0)</f>
        <v>25.8</v>
      </c>
      <c r="F52" t="str">
        <f>VLOOKUP(B52, Menu!$A:$F, 3, 0)</f>
        <v>Snack</v>
      </c>
      <c r="G52" s="5">
        <f>VLOOKUP(A52, Orders!$A:$B, 2, 0)</f>
        <v>45869.966458333343</v>
      </c>
      <c r="H52" t="str">
        <f>VLOOKUP(A52, Orders!$A:$C, 3, 0)</f>
        <v>Plant 2 Canteen</v>
      </c>
    </row>
    <row r="53" spans="1:8" x14ac:dyDescent="0.3">
      <c r="A53" t="s">
        <v>51</v>
      </c>
      <c r="B53" t="s">
        <v>418</v>
      </c>
      <c r="C53">
        <v>1</v>
      </c>
      <c r="D53">
        <f>VLOOKUP(B53, Menu!$A:$F, 6, 0)</f>
        <v>39.950000000000003</v>
      </c>
      <c r="E53">
        <f>VLOOKUP(B53, Menu!$A:$F, 5, 0)</f>
        <v>15.51</v>
      </c>
      <c r="F53" t="str">
        <f>VLOOKUP(B53, Menu!$A:$F, 3, 0)</f>
        <v>Snack</v>
      </c>
      <c r="G53" s="5">
        <f>VLOOKUP(A53, Orders!$A:$B, 2, 0)</f>
        <v>45869.966458333343</v>
      </c>
      <c r="H53" t="str">
        <f>VLOOKUP(A53, Orders!$A:$C, 3, 0)</f>
        <v>Plant 2 Canteen</v>
      </c>
    </row>
    <row r="54" spans="1:8" x14ac:dyDescent="0.3">
      <c r="A54" t="s">
        <v>51</v>
      </c>
      <c r="B54" t="s">
        <v>419</v>
      </c>
      <c r="C54">
        <v>2</v>
      </c>
      <c r="D54">
        <f>VLOOKUP(B54, Menu!$A:$F, 6, 0)</f>
        <v>50.19</v>
      </c>
      <c r="E54">
        <f>VLOOKUP(B54, Menu!$A:$F, 5, 0)</f>
        <v>22.61</v>
      </c>
      <c r="F54" t="str">
        <f>VLOOKUP(B54, Menu!$A:$F, 3, 0)</f>
        <v>Snack</v>
      </c>
      <c r="G54" s="5">
        <f>VLOOKUP(A54, Orders!$A:$B, 2, 0)</f>
        <v>45869.966458333343</v>
      </c>
      <c r="H54" t="str">
        <f>VLOOKUP(A54, Orders!$A:$C, 3, 0)</f>
        <v>Plant 2 Canteen</v>
      </c>
    </row>
    <row r="55" spans="1:8" x14ac:dyDescent="0.3">
      <c r="A55" t="s">
        <v>52</v>
      </c>
      <c r="B55" t="s">
        <v>413</v>
      </c>
      <c r="C55">
        <v>1</v>
      </c>
      <c r="D55">
        <f>VLOOKUP(B55, Menu!$A:$F, 6, 0)</f>
        <v>54.2</v>
      </c>
      <c r="E55">
        <f>VLOOKUP(B55, Menu!$A:$F, 5, 0)</f>
        <v>21.95</v>
      </c>
      <c r="F55" t="str">
        <f>VLOOKUP(B55, Menu!$A:$F, 3, 0)</f>
        <v>Dessert</v>
      </c>
      <c r="G55" s="5">
        <f>VLOOKUP(A55, Orders!$A:$B, 2, 0)</f>
        <v>45862.424097222232</v>
      </c>
      <c r="H55" t="str">
        <f>VLOOKUP(A55, Orders!$A:$C, 3, 0)</f>
        <v>Plant 2 Canteen</v>
      </c>
    </row>
    <row r="56" spans="1:8" x14ac:dyDescent="0.3">
      <c r="A56" t="s">
        <v>52</v>
      </c>
      <c r="B56" t="s">
        <v>409</v>
      </c>
      <c r="C56">
        <v>2</v>
      </c>
      <c r="D56">
        <f>VLOOKUP(B56, Menu!$A:$F, 6, 0)</f>
        <v>28.43</v>
      </c>
      <c r="E56">
        <f>VLOOKUP(B56, Menu!$A:$F, 5, 0)</f>
        <v>13.89</v>
      </c>
      <c r="F56" t="str">
        <f>VLOOKUP(B56, Menu!$A:$F, 3, 0)</f>
        <v>Beverage</v>
      </c>
      <c r="G56" s="5">
        <f>VLOOKUP(A56, Orders!$A:$B, 2, 0)</f>
        <v>45862.424097222232</v>
      </c>
      <c r="H56" t="str">
        <f>VLOOKUP(A56, Orders!$A:$C, 3, 0)</f>
        <v>Plant 2 Canteen</v>
      </c>
    </row>
    <row r="57" spans="1:8" x14ac:dyDescent="0.3">
      <c r="A57" t="s">
        <v>52</v>
      </c>
      <c r="B57" t="s">
        <v>415</v>
      </c>
      <c r="C57">
        <v>1</v>
      </c>
      <c r="D57">
        <f>VLOOKUP(B57, Menu!$A:$F, 6, 0)</f>
        <v>256.91000000000003</v>
      </c>
      <c r="E57">
        <f>VLOOKUP(B57, Menu!$A:$F, 5, 0)</f>
        <v>121.24</v>
      </c>
      <c r="F57" t="str">
        <f>VLOOKUP(B57, Menu!$A:$F, 3, 0)</f>
        <v>Hot Meal</v>
      </c>
      <c r="G57" s="5">
        <f>VLOOKUP(A57, Orders!$A:$B, 2, 0)</f>
        <v>45862.424097222232</v>
      </c>
      <c r="H57" t="str">
        <f>VLOOKUP(A57, Orders!$A:$C, 3, 0)</f>
        <v>Plant 2 Canteen</v>
      </c>
    </row>
    <row r="58" spans="1:8" x14ac:dyDescent="0.3">
      <c r="A58" t="s">
        <v>53</v>
      </c>
      <c r="B58" t="s">
        <v>410</v>
      </c>
      <c r="C58">
        <v>1</v>
      </c>
      <c r="D58">
        <f>VLOOKUP(B58, Menu!$A:$F, 6, 0)</f>
        <v>20.11</v>
      </c>
      <c r="E58">
        <f>VLOOKUP(B58, Menu!$A:$F, 5, 0)</f>
        <v>8</v>
      </c>
      <c r="F58" t="str">
        <f>VLOOKUP(B58, Menu!$A:$F, 3, 0)</f>
        <v>Beverage</v>
      </c>
      <c r="G58" s="5">
        <f>VLOOKUP(A58, Orders!$A:$B, 2, 0)</f>
        <v>45883.642094907409</v>
      </c>
      <c r="H58" t="str">
        <f>VLOOKUP(A58, Orders!$A:$C, 3, 0)</f>
        <v>Plant 2 Canteen</v>
      </c>
    </row>
    <row r="59" spans="1:8" x14ac:dyDescent="0.3">
      <c r="A59" t="s">
        <v>53</v>
      </c>
      <c r="B59" t="s">
        <v>407</v>
      </c>
      <c r="C59">
        <v>1</v>
      </c>
      <c r="D59">
        <f>VLOOKUP(B59, Menu!$A:$F, 6, 0)</f>
        <v>246.09</v>
      </c>
      <c r="E59">
        <f>VLOOKUP(B59, Menu!$A:$F, 5, 0)</f>
        <v>112.08</v>
      </c>
      <c r="F59" t="str">
        <f>VLOOKUP(B59, Menu!$A:$F, 3, 0)</f>
        <v>Hot Meal</v>
      </c>
      <c r="G59" s="5">
        <f>VLOOKUP(A59, Orders!$A:$B, 2, 0)</f>
        <v>45883.642094907409</v>
      </c>
      <c r="H59" t="str">
        <f>VLOOKUP(A59, Orders!$A:$C, 3, 0)</f>
        <v>Plant 2 Canteen</v>
      </c>
    </row>
    <row r="60" spans="1:8" x14ac:dyDescent="0.3">
      <c r="A60" t="s">
        <v>54</v>
      </c>
      <c r="B60" t="s">
        <v>417</v>
      </c>
      <c r="C60">
        <v>3</v>
      </c>
      <c r="D60">
        <f>VLOOKUP(B60, Menu!$A:$F, 6, 0)</f>
        <v>146.4</v>
      </c>
      <c r="E60">
        <f>VLOOKUP(B60, Menu!$A:$F, 5, 0)</f>
        <v>80.92</v>
      </c>
      <c r="F60" t="str">
        <f>VLOOKUP(B60, Menu!$A:$F, 3, 0)</f>
        <v>Hot Meal</v>
      </c>
      <c r="G60" s="5">
        <f>VLOOKUP(A60, Orders!$A:$B, 2, 0)</f>
        <v>45893.911249999997</v>
      </c>
      <c r="H60" t="str">
        <f>VLOOKUP(A60, Orders!$A:$C, 3, 0)</f>
        <v>Plant 1 Canteen</v>
      </c>
    </row>
    <row r="61" spans="1:8" x14ac:dyDescent="0.3">
      <c r="A61" t="s">
        <v>56</v>
      </c>
      <c r="B61" t="s">
        <v>419</v>
      </c>
      <c r="C61">
        <v>1</v>
      </c>
      <c r="D61">
        <f>VLOOKUP(B61, Menu!$A:$F, 6, 0)</f>
        <v>50.19</v>
      </c>
      <c r="E61">
        <f>VLOOKUP(B61, Menu!$A:$F, 5, 0)</f>
        <v>22.61</v>
      </c>
      <c r="F61" t="str">
        <f>VLOOKUP(B61, Menu!$A:$F, 3, 0)</f>
        <v>Snack</v>
      </c>
      <c r="G61" s="5">
        <f>VLOOKUP(A61, Orders!$A:$B, 2, 0)</f>
        <v>45888.366527777784</v>
      </c>
      <c r="H61" t="str">
        <f>VLOOKUP(A61, Orders!$A:$C, 3, 0)</f>
        <v>Plant 2 Canteen</v>
      </c>
    </row>
    <row r="62" spans="1:8" x14ac:dyDescent="0.3">
      <c r="A62" t="s">
        <v>57</v>
      </c>
      <c r="B62" t="s">
        <v>401</v>
      </c>
      <c r="C62">
        <v>1</v>
      </c>
      <c r="D62">
        <f>VLOOKUP(B62, Menu!$A:$F, 6, 0)</f>
        <v>52.45</v>
      </c>
      <c r="E62">
        <f>VLOOKUP(B62, Menu!$A:$F, 5, 0)</f>
        <v>25.8</v>
      </c>
      <c r="F62" t="str">
        <f>VLOOKUP(B62, Menu!$A:$F, 3, 0)</f>
        <v>Snack</v>
      </c>
      <c r="G62" s="5">
        <f>VLOOKUP(A62, Orders!$A:$B, 2, 0)</f>
        <v>45862.967662037037</v>
      </c>
      <c r="H62" t="str">
        <f>VLOOKUP(A62, Orders!$A:$C, 3, 0)</f>
        <v>Plant 2 Canteen</v>
      </c>
    </row>
    <row r="63" spans="1:8" x14ac:dyDescent="0.3">
      <c r="A63" t="s">
        <v>57</v>
      </c>
      <c r="B63" t="s">
        <v>406</v>
      </c>
      <c r="C63">
        <v>1</v>
      </c>
      <c r="D63">
        <f>VLOOKUP(B63, Menu!$A:$F, 6, 0)</f>
        <v>38.06</v>
      </c>
      <c r="E63">
        <f>VLOOKUP(B63, Menu!$A:$F, 5, 0)</f>
        <v>19.55</v>
      </c>
      <c r="F63" t="str">
        <f>VLOOKUP(B63, Menu!$A:$F, 3, 0)</f>
        <v>Snack</v>
      </c>
      <c r="G63" s="5">
        <f>VLOOKUP(A63, Orders!$A:$B, 2, 0)</f>
        <v>45862.967662037037</v>
      </c>
      <c r="H63" t="str">
        <f>VLOOKUP(A63, Orders!$A:$C, 3, 0)</f>
        <v>Plant 2 Canteen</v>
      </c>
    </row>
    <row r="64" spans="1:8" x14ac:dyDescent="0.3">
      <c r="A64" t="s">
        <v>58</v>
      </c>
      <c r="B64" t="s">
        <v>405</v>
      </c>
      <c r="C64">
        <v>3</v>
      </c>
      <c r="D64">
        <f>VLOOKUP(B64, Menu!$A:$F, 6, 0)</f>
        <v>170.83</v>
      </c>
      <c r="E64">
        <f>VLOOKUP(B64, Menu!$A:$F, 5, 0)</f>
        <v>74.069999999999993</v>
      </c>
      <c r="F64" t="str">
        <f>VLOOKUP(B64, Menu!$A:$F, 3, 0)</f>
        <v>Hot Meal</v>
      </c>
      <c r="G64" s="5">
        <f>VLOOKUP(A64, Orders!$A:$B, 2, 0)</f>
        <v>45891.991226851853</v>
      </c>
      <c r="H64" t="str">
        <f>VLOOKUP(A64, Orders!$A:$C, 3, 0)</f>
        <v>Head Office Café</v>
      </c>
    </row>
    <row r="65" spans="1:8" x14ac:dyDescent="0.3">
      <c r="A65" t="s">
        <v>58</v>
      </c>
      <c r="B65" t="s">
        <v>402</v>
      </c>
      <c r="C65">
        <v>1</v>
      </c>
      <c r="D65">
        <f>VLOOKUP(B65, Menu!$A:$F, 6, 0)</f>
        <v>30.34</v>
      </c>
      <c r="E65">
        <f>VLOOKUP(B65, Menu!$A:$F, 5, 0)</f>
        <v>14.18</v>
      </c>
      <c r="F65" t="str">
        <f>VLOOKUP(B65, Menu!$A:$F, 3, 0)</f>
        <v>Beverage</v>
      </c>
      <c r="G65" s="5">
        <f>VLOOKUP(A65, Orders!$A:$B, 2, 0)</f>
        <v>45891.991226851853</v>
      </c>
      <c r="H65" t="str">
        <f>VLOOKUP(A65, Orders!$A:$C, 3, 0)</f>
        <v>Head Office Café</v>
      </c>
    </row>
    <row r="66" spans="1:8" x14ac:dyDescent="0.3">
      <c r="A66" t="s">
        <v>58</v>
      </c>
      <c r="B66" t="s">
        <v>412</v>
      </c>
      <c r="C66">
        <v>2</v>
      </c>
      <c r="D66">
        <f>VLOOKUP(B66, Menu!$A:$F, 6, 0)</f>
        <v>57.07</v>
      </c>
      <c r="E66">
        <f>VLOOKUP(B66, Menu!$A:$F, 5, 0)</f>
        <v>29.14</v>
      </c>
      <c r="F66" t="str">
        <f>VLOOKUP(B66, Menu!$A:$F, 3, 0)</f>
        <v>Dessert</v>
      </c>
      <c r="G66" s="5">
        <f>VLOOKUP(A66, Orders!$A:$B, 2, 0)</f>
        <v>45891.991226851853</v>
      </c>
      <c r="H66" t="str">
        <f>VLOOKUP(A66, Orders!$A:$C, 3, 0)</f>
        <v>Head Office Café</v>
      </c>
    </row>
    <row r="67" spans="1:8" x14ac:dyDescent="0.3">
      <c r="A67" t="s">
        <v>58</v>
      </c>
      <c r="B67" t="s">
        <v>407</v>
      </c>
      <c r="C67">
        <v>1</v>
      </c>
      <c r="D67">
        <f>VLOOKUP(B67, Menu!$A:$F, 6, 0)</f>
        <v>246.09</v>
      </c>
      <c r="E67">
        <f>VLOOKUP(B67, Menu!$A:$F, 5, 0)</f>
        <v>112.08</v>
      </c>
      <c r="F67" t="str">
        <f>VLOOKUP(B67, Menu!$A:$F, 3, 0)</f>
        <v>Hot Meal</v>
      </c>
      <c r="G67" s="5">
        <f>VLOOKUP(A67, Orders!$A:$B, 2, 0)</f>
        <v>45891.991226851853</v>
      </c>
      <c r="H67" t="str">
        <f>VLOOKUP(A67, Orders!$A:$C, 3, 0)</f>
        <v>Head Office Café</v>
      </c>
    </row>
    <row r="68" spans="1:8" x14ac:dyDescent="0.3">
      <c r="A68" t="s">
        <v>59</v>
      </c>
      <c r="B68" t="s">
        <v>419</v>
      </c>
      <c r="C68">
        <v>1</v>
      </c>
      <c r="D68">
        <f>VLOOKUP(B68, Menu!$A:$F, 6, 0)</f>
        <v>50.19</v>
      </c>
      <c r="E68">
        <f>VLOOKUP(B68, Menu!$A:$F, 5, 0)</f>
        <v>22.61</v>
      </c>
      <c r="F68" t="str">
        <f>VLOOKUP(B68, Menu!$A:$F, 3, 0)</f>
        <v>Snack</v>
      </c>
      <c r="G68" s="5">
        <f>VLOOKUP(A68, Orders!$A:$B, 2, 0)</f>
        <v>45840.00953703704</v>
      </c>
      <c r="H68" t="str">
        <f>VLOOKUP(A68, Orders!$A:$C, 3, 0)</f>
        <v>Head Office Café</v>
      </c>
    </row>
    <row r="69" spans="1:8" x14ac:dyDescent="0.3">
      <c r="A69" t="s">
        <v>59</v>
      </c>
      <c r="B69" t="s">
        <v>414</v>
      </c>
      <c r="C69">
        <v>2</v>
      </c>
      <c r="D69">
        <f>VLOOKUP(B69, Menu!$A:$F, 6, 0)</f>
        <v>116.8</v>
      </c>
      <c r="E69">
        <f>VLOOKUP(B69, Menu!$A:$F, 5, 0)</f>
        <v>48.97</v>
      </c>
      <c r="F69" t="str">
        <f>VLOOKUP(B69, Menu!$A:$F, 3, 0)</f>
        <v>Dessert</v>
      </c>
      <c r="G69" s="5">
        <f>VLOOKUP(A69, Orders!$A:$B, 2, 0)</f>
        <v>45840.00953703704</v>
      </c>
      <c r="H69" t="str">
        <f>VLOOKUP(A69, Orders!$A:$C, 3, 0)</f>
        <v>Head Office Café</v>
      </c>
    </row>
    <row r="70" spans="1:8" x14ac:dyDescent="0.3">
      <c r="A70" t="s">
        <v>59</v>
      </c>
      <c r="B70" t="s">
        <v>408</v>
      </c>
      <c r="C70">
        <v>1</v>
      </c>
      <c r="D70">
        <f>VLOOKUP(B70, Menu!$A:$F, 6, 0)</f>
        <v>70.540000000000006</v>
      </c>
      <c r="E70">
        <f>VLOOKUP(B70, Menu!$A:$F, 5, 0)</f>
        <v>35.81</v>
      </c>
      <c r="F70" t="str">
        <f>VLOOKUP(B70, Menu!$A:$F, 3, 0)</f>
        <v>Snack</v>
      </c>
      <c r="G70" s="5">
        <f>VLOOKUP(A70, Orders!$A:$B, 2, 0)</f>
        <v>45840.00953703704</v>
      </c>
      <c r="H70" t="str">
        <f>VLOOKUP(A70, Orders!$A:$C, 3, 0)</f>
        <v>Head Office Café</v>
      </c>
    </row>
    <row r="71" spans="1:8" x14ac:dyDescent="0.3">
      <c r="A71" t="s">
        <v>59</v>
      </c>
      <c r="B71" t="s">
        <v>410</v>
      </c>
      <c r="C71">
        <v>2</v>
      </c>
      <c r="D71">
        <f>VLOOKUP(B71, Menu!$A:$F, 6, 0)</f>
        <v>20.11</v>
      </c>
      <c r="E71">
        <f>VLOOKUP(B71, Menu!$A:$F, 5, 0)</f>
        <v>8</v>
      </c>
      <c r="F71" t="str">
        <f>VLOOKUP(B71, Menu!$A:$F, 3, 0)</f>
        <v>Beverage</v>
      </c>
      <c r="G71" s="5">
        <f>VLOOKUP(A71, Orders!$A:$B, 2, 0)</f>
        <v>45840.00953703704</v>
      </c>
      <c r="H71" t="str">
        <f>VLOOKUP(A71, Orders!$A:$C, 3, 0)</f>
        <v>Head Office Café</v>
      </c>
    </row>
    <row r="72" spans="1:8" x14ac:dyDescent="0.3">
      <c r="A72" t="s">
        <v>60</v>
      </c>
      <c r="B72" t="s">
        <v>419</v>
      </c>
      <c r="C72">
        <v>3</v>
      </c>
      <c r="D72">
        <f>VLOOKUP(B72, Menu!$A:$F, 6, 0)</f>
        <v>50.19</v>
      </c>
      <c r="E72">
        <f>VLOOKUP(B72, Menu!$A:$F, 5, 0)</f>
        <v>22.61</v>
      </c>
      <c r="F72" t="str">
        <f>VLOOKUP(B72, Menu!$A:$F, 3, 0)</f>
        <v>Snack</v>
      </c>
      <c r="G72" s="5">
        <f>VLOOKUP(A72, Orders!$A:$B, 2, 0)</f>
        <v>45852.288368055553</v>
      </c>
      <c r="H72" t="str">
        <f>VLOOKUP(A72, Orders!$A:$C, 3, 0)</f>
        <v>Plant 2 Canteen</v>
      </c>
    </row>
    <row r="73" spans="1:8" x14ac:dyDescent="0.3">
      <c r="A73" t="s">
        <v>62</v>
      </c>
      <c r="B73" t="s">
        <v>409</v>
      </c>
      <c r="C73">
        <v>1</v>
      </c>
      <c r="D73">
        <f>VLOOKUP(B73, Menu!$A:$F, 6, 0)</f>
        <v>28.43</v>
      </c>
      <c r="E73">
        <f>VLOOKUP(B73, Menu!$A:$F, 5, 0)</f>
        <v>13.89</v>
      </c>
      <c r="F73" t="str">
        <f>VLOOKUP(B73, Menu!$A:$F, 3, 0)</f>
        <v>Beverage</v>
      </c>
      <c r="G73" s="5">
        <f>VLOOKUP(A73, Orders!$A:$B, 2, 0)</f>
        <v>45854.342488425929</v>
      </c>
      <c r="H73" t="str">
        <f>VLOOKUP(A73, Orders!$A:$C, 3, 0)</f>
        <v>Plant 2 Canteen</v>
      </c>
    </row>
    <row r="74" spans="1:8" x14ac:dyDescent="0.3">
      <c r="A74" t="s">
        <v>62</v>
      </c>
      <c r="B74" t="s">
        <v>407</v>
      </c>
      <c r="C74">
        <v>1</v>
      </c>
      <c r="D74">
        <f>VLOOKUP(B74, Menu!$A:$F, 6, 0)</f>
        <v>246.09</v>
      </c>
      <c r="E74">
        <f>VLOOKUP(B74, Menu!$A:$F, 5, 0)</f>
        <v>112.08</v>
      </c>
      <c r="F74" t="str">
        <f>VLOOKUP(B74, Menu!$A:$F, 3, 0)</f>
        <v>Hot Meal</v>
      </c>
      <c r="G74" s="5">
        <f>VLOOKUP(A74, Orders!$A:$B, 2, 0)</f>
        <v>45854.342488425929</v>
      </c>
      <c r="H74" t="str">
        <f>VLOOKUP(A74, Orders!$A:$C, 3, 0)</f>
        <v>Plant 2 Canteen</v>
      </c>
    </row>
    <row r="75" spans="1:8" x14ac:dyDescent="0.3">
      <c r="A75" t="s">
        <v>62</v>
      </c>
      <c r="B75" t="s">
        <v>408</v>
      </c>
      <c r="C75">
        <v>2</v>
      </c>
      <c r="D75">
        <f>VLOOKUP(B75, Menu!$A:$F, 6, 0)</f>
        <v>70.540000000000006</v>
      </c>
      <c r="E75">
        <f>VLOOKUP(B75, Menu!$A:$F, 5, 0)</f>
        <v>35.81</v>
      </c>
      <c r="F75" t="str">
        <f>VLOOKUP(B75, Menu!$A:$F, 3, 0)</f>
        <v>Snack</v>
      </c>
      <c r="G75" s="5">
        <f>VLOOKUP(A75, Orders!$A:$B, 2, 0)</f>
        <v>45854.342488425929</v>
      </c>
      <c r="H75" t="str">
        <f>VLOOKUP(A75, Orders!$A:$C, 3, 0)</f>
        <v>Plant 2 Canteen</v>
      </c>
    </row>
    <row r="76" spans="1:8" x14ac:dyDescent="0.3">
      <c r="A76" t="s">
        <v>63</v>
      </c>
      <c r="B76" t="s">
        <v>413</v>
      </c>
      <c r="C76">
        <v>1</v>
      </c>
      <c r="D76">
        <f>VLOOKUP(B76, Menu!$A:$F, 6, 0)</f>
        <v>54.2</v>
      </c>
      <c r="E76">
        <f>VLOOKUP(B76, Menu!$A:$F, 5, 0)</f>
        <v>21.95</v>
      </c>
      <c r="F76" t="str">
        <f>VLOOKUP(B76, Menu!$A:$F, 3, 0)</f>
        <v>Dessert</v>
      </c>
      <c r="G76" s="5">
        <f>VLOOKUP(A76, Orders!$A:$B, 2, 0)</f>
        <v>45872.540370370371</v>
      </c>
      <c r="H76" t="str">
        <f>VLOOKUP(A76, Orders!$A:$C, 3, 0)</f>
        <v>Plant 1 Canteen</v>
      </c>
    </row>
    <row r="77" spans="1:8" x14ac:dyDescent="0.3">
      <c r="A77" t="s">
        <v>63</v>
      </c>
      <c r="B77" t="s">
        <v>417</v>
      </c>
      <c r="C77">
        <v>2</v>
      </c>
      <c r="D77">
        <f>VLOOKUP(B77, Menu!$A:$F, 6, 0)</f>
        <v>146.4</v>
      </c>
      <c r="E77">
        <f>VLOOKUP(B77, Menu!$A:$F, 5, 0)</f>
        <v>80.92</v>
      </c>
      <c r="F77" t="str">
        <f>VLOOKUP(B77, Menu!$A:$F, 3, 0)</f>
        <v>Hot Meal</v>
      </c>
      <c r="G77" s="5">
        <f>VLOOKUP(A77, Orders!$A:$B, 2, 0)</f>
        <v>45872.540370370371</v>
      </c>
      <c r="H77" t="str">
        <f>VLOOKUP(A77, Orders!$A:$C, 3, 0)</f>
        <v>Plant 1 Canteen</v>
      </c>
    </row>
    <row r="78" spans="1:8" x14ac:dyDescent="0.3">
      <c r="A78" t="s">
        <v>63</v>
      </c>
      <c r="B78" t="s">
        <v>414</v>
      </c>
      <c r="C78">
        <v>1</v>
      </c>
      <c r="D78">
        <f>VLOOKUP(B78, Menu!$A:$F, 6, 0)</f>
        <v>116.8</v>
      </c>
      <c r="E78">
        <f>VLOOKUP(B78, Menu!$A:$F, 5, 0)</f>
        <v>48.97</v>
      </c>
      <c r="F78" t="str">
        <f>VLOOKUP(B78, Menu!$A:$F, 3, 0)</f>
        <v>Dessert</v>
      </c>
      <c r="G78" s="5">
        <f>VLOOKUP(A78, Orders!$A:$B, 2, 0)</f>
        <v>45872.540370370371</v>
      </c>
      <c r="H78" t="str">
        <f>VLOOKUP(A78, Orders!$A:$C, 3, 0)</f>
        <v>Plant 1 Canteen</v>
      </c>
    </row>
    <row r="79" spans="1:8" x14ac:dyDescent="0.3">
      <c r="A79" t="s">
        <v>65</v>
      </c>
      <c r="B79" t="s">
        <v>413</v>
      </c>
      <c r="C79">
        <v>1</v>
      </c>
      <c r="D79">
        <f>VLOOKUP(B79, Menu!$A:$F, 6, 0)</f>
        <v>54.2</v>
      </c>
      <c r="E79">
        <f>VLOOKUP(B79, Menu!$A:$F, 5, 0)</f>
        <v>21.95</v>
      </c>
      <c r="F79" t="str">
        <f>VLOOKUP(B79, Menu!$A:$F, 3, 0)</f>
        <v>Dessert</v>
      </c>
      <c r="G79" s="5">
        <f>VLOOKUP(A79, Orders!$A:$B, 2, 0)</f>
        <v>45888.320347222223</v>
      </c>
      <c r="H79" t="str">
        <f>VLOOKUP(A79, Orders!$A:$C, 3, 0)</f>
        <v>Plant 2 Canteen</v>
      </c>
    </row>
    <row r="80" spans="1:8" x14ac:dyDescent="0.3">
      <c r="A80" t="s">
        <v>65</v>
      </c>
      <c r="B80" t="s">
        <v>414</v>
      </c>
      <c r="C80">
        <v>1</v>
      </c>
      <c r="D80">
        <f>VLOOKUP(B80, Menu!$A:$F, 6, 0)</f>
        <v>116.8</v>
      </c>
      <c r="E80">
        <f>VLOOKUP(B80, Menu!$A:$F, 5, 0)</f>
        <v>48.97</v>
      </c>
      <c r="F80" t="str">
        <f>VLOOKUP(B80, Menu!$A:$F, 3, 0)</f>
        <v>Dessert</v>
      </c>
      <c r="G80" s="5">
        <f>VLOOKUP(A80, Orders!$A:$B, 2, 0)</f>
        <v>45888.320347222223</v>
      </c>
      <c r="H80" t="str">
        <f>VLOOKUP(A80, Orders!$A:$C, 3, 0)</f>
        <v>Plant 2 Canteen</v>
      </c>
    </row>
    <row r="81" spans="1:8" x14ac:dyDescent="0.3">
      <c r="A81" t="s">
        <v>65</v>
      </c>
      <c r="B81" t="s">
        <v>404</v>
      </c>
      <c r="C81">
        <v>2</v>
      </c>
      <c r="D81">
        <f>VLOOKUP(B81, Menu!$A:$F, 6, 0)</f>
        <v>32.979999999999997</v>
      </c>
      <c r="E81">
        <f>VLOOKUP(B81, Menu!$A:$F, 5, 0)</f>
        <v>11.84</v>
      </c>
      <c r="F81" t="str">
        <f>VLOOKUP(B81, Menu!$A:$F, 3, 0)</f>
        <v>Beverage</v>
      </c>
      <c r="G81" s="5">
        <f>VLOOKUP(A81, Orders!$A:$B, 2, 0)</f>
        <v>45888.320347222223</v>
      </c>
      <c r="H81" t="str">
        <f>VLOOKUP(A81, Orders!$A:$C, 3, 0)</f>
        <v>Plant 2 Canteen</v>
      </c>
    </row>
    <row r="82" spans="1:8" x14ac:dyDescent="0.3">
      <c r="A82" t="s">
        <v>65</v>
      </c>
      <c r="B82" t="s">
        <v>417</v>
      </c>
      <c r="C82">
        <v>2</v>
      </c>
      <c r="D82">
        <f>VLOOKUP(B82, Menu!$A:$F, 6, 0)</f>
        <v>146.4</v>
      </c>
      <c r="E82">
        <f>VLOOKUP(B82, Menu!$A:$F, 5, 0)</f>
        <v>80.92</v>
      </c>
      <c r="F82" t="str">
        <f>VLOOKUP(B82, Menu!$A:$F, 3, 0)</f>
        <v>Hot Meal</v>
      </c>
      <c r="G82" s="5">
        <f>VLOOKUP(A82, Orders!$A:$B, 2, 0)</f>
        <v>45888.320347222223</v>
      </c>
      <c r="H82" t="str">
        <f>VLOOKUP(A82, Orders!$A:$C, 3, 0)</f>
        <v>Plant 2 Canteen</v>
      </c>
    </row>
    <row r="83" spans="1:8" x14ac:dyDescent="0.3">
      <c r="A83" t="s">
        <v>66</v>
      </c>
      <c r="B83" t="s">
        <v>418</v>
      </c>
      <c r="C83">
        <v>1</v>
      </c>
      <c r="D83">
        <f>VLOOKUP(B83, Menu!$A:$F, 6, 0)</f>
        <v>39.950000000000003</v>
      </c>
      <c r="E83">
        <f>VLOOKUP(B83, Menu!$A:$F, 5, 0)</f>
        <v>15.51</v>
      </c>
      <c r="F83" t="str">
        <f>VLOOKUP(B83, Menu!$A:$F, 3, 0)</f>
        <v>Snack</v>
      </c>
      <c r="G83" s="5">
        <f>VLOOKUP(A83, Orders!$A:$B, 2, 0)</f>
        <v>45880.375127314823</v>
      </c>
      <c r="H83" t="str">
        <f>VLOOKUP(A83, Orders!$A:$C, 3, 0)</f>
        <v>Plant 2 Canteen</v>
      </c>
    </row>
    <row r="84" spans="1:8" x14ac:dyDescent="0.3">
      <c r="A84" t="s">
        <v>66</v>
      </c>
      <c r="B84" t="s">
        <v>414</v>
      </c>
      <c r="C84">
        <v>3</v>
      </c>
      <c r="D84">
        <f>VLOOKUP(B84, Menu!$A:$F, 6, 0)</f>
        <v>116.8</v>
      </c>
      <c r="E84">
        <f>VLOOKUP(B84, Menu!$A:$F, 5, 0)</f>
        <v>48.97</v>
      </c>
      <c r="F84" t="str">
        <f>VLOOKUP(B84, Menu!$A:$F, 3, 0)</f>
        <v>Dessert</v>
      </c>
      <c r="G84" s="5">
        <f>VLOOKUP(A84, Orders!$A:$B, 2, 0)</f>
        <v>45880.375127314823</v>
      </c>
      <c r="H84" t="str">
        <f>VLOOKUP(A84, Orders!$A:$C, 3, 0)</f>
        <v>Plant 2 Canteen</v>
      </c>
    </row>
    <row r="85" spans="1:8" x14ac:dyDescent="0.3">
      <c r="A85" t="s">
        <v>67</v>
      </c>
      <c r="B85" t="s">
        <v>404</v>
      </c>
      <c r="C85">
        <v>1</v>
      </c>
      <c r="D85">
        <f>VLOOKUP(B85, Menu!$A:$F, 6, 0)</f>
        <v>32.979999999999997</v>
      </c>
      <c r="E85">
        <f>VLOOKUP(B85, Menu!$A:$F, 5, 0)</f>
        <v>11.84</v>
      </c>
      <c r="F85" t="str">
        <f>VLOOKUP(B85, Menu!$A:$F, 3, 0)</f>
        <v>Beverage</v>
      </c>
      <c r="G85" s="5">
        <f>VLOOKUP(A85, Orders!$A:$B, 2, 0)</f>
        <v>45851.951319444437</v>
      </c>
      <c r="H85" t="str">
        <f>VLOOKUP(A85, Orders!$A:$C, 3, 0)</f>
        <v>Head Office Café</v>
      </c>
    </row>
    <row r="86" spans="1:8" x14ac:dyDescent="0.3">
      <c r="A86" t="s">
        <v>67</v>
      </c>
      <c r="B86" t="s">
        <v>418</v>
      </c>
      <c r="C86">
        <v>1</v>
      </c>
      <c r="D86">
        <f>VLOOKUP(B86, Menu!$A:$F, 6, 0)</f>
        <v>39.950000000000003</v>
      </c>
      <c r="E86">
        <f>VLOOKUP(B86, Menu!$A:$F, 5, 0)</f>
        <v>15.51</v>
      </c>
      <c r="F86" t="str">
        <f>VLOOKUP(B86, Menu!$A:$F, 3, 0)</f>
        <v>Snack</v>
      </c>
      <c r="G86" s="5">
        <f>VLOOKUP(A86, Orders!$A:$B, 2, 0)</f>
        <v>45851.951319444437</v>
      </c>
      <c r="H86" t="str">
        <f>VLOOKUP(A86, Orders!$A:$C, 3, 0)</f>
        <v>Head Office Café</v>
      </c>
    </row>
    <row r="87" spans="1:8" x14ac:dyDescent="0.3">
      <c r="A87" t="s">
        <v>67</v>
      </c>
      <c r="B87" t="s">
        <v>411</v>
      </c>
      <c r="C87">
        <v>1</v>
      </c>
      <c r="D87">
        <f>VLOOKUP(B87, Menu!$A:$F, 6, 0)</f>
        <v>22.2</v>
      </c>
      <c r="E87">
        <f>VLOOKUP(B87, Menu!$A:$F, 5, 0)</f>
        <v>9.3800000000000008</v>
      </c>
      <c r="F87" t="str">
        <f>VLOOKUP(B87, Menu!$A:$F, 3, 0)</f>
        <v>Beverage</v>
      </c>
      <c r="G87" s="5">
        <f>VLOOKUP(A87, Orders!$A:$B, 2, 0)</f>
        <v>45851.951319444437</v>
      </c>
      <c r="H87" t="str">
        <f>VLOOKUP(A87, Orders!$A:$C, 3, 0)</f>
        <v>Head Office Café</v>
      </c>
    </row>
    <row r="88" spans="1:8" x14ac:dyDescent="0.3">
      <c r="A88" t="s">
        <v>68</v>
      </c>
      <c r="B88" t="s">
        <v>414</v>
      </c>
      <c r="C88">
        <v>1</v>
      </c>
      <c r="D88">
        <f>VLOOKUP(B88, Menu!$A:$F, 6, 0)</f>
        <v>116.8</v>
      </c>
      <c r="E88">
        <f>VLOOKUP(B88, Menu!$A:$F, 5, 0)</f>
        <v>48.97</v>
      </c>
      <c r="F88" t="str">
        <f>VLOOKUP(B88, Menu!$A:$F, 3, 0)</f>
        <v>Dessert</v>
      </c>
      <c r="G88" s="5">
        <f>VLOOKUP(A88, Orders!$A:$B, 2, 0)</f>
        <v>45892.812847222223</v>
      </c>
      <c r="H88" t="str">
        <f>VLOOKUP(A88, Orders!$A:$C, 3, 0)</f>
        <v>Head Office Café</v>
      </c>
    </row>
    <row r="89" spans="1:8" x14ac:dyDescent="0.3">
      <c r="A89" t="s">
        <v>68</v>
      </c>
      <c r="B89" t="s">
        <v>416</v>
      </c>
      <c r="C89">
        <v>2</v>
      </c>
      <c r="D89">
        <f>VLOOKUP(B89, Menu!$A:$F, 6, 0)</f>
        <v>227.61</v>
      </c>
      <c r="E89">
        <f>VLOOKUP(B89, Menu!$A:$F, 5, 0)</f>
        <v>96.22</v>
      </c>
      <c r="F89" t="str">
        <f>VLOOKUP(B89, Menu!$A:$F, 3, 0)</f>
        <v>Hot Meal</v>
      </c>
      <c r="G89" s="5">
        <f>VLOOKUP(A89, Orders!$A:$B, 2, 0)</f>
        <v>45892.812847222223</v>
      </c>
      <c r="H89" t="str">
        <f>VLOOKUP(A89, Orders!$A:$C, 3, 0)</f>
        <v>Head Office Café</v>
      </c>
    </row>
    <row r="90" spans="1:8" x14ac:dyDescent="0.3">
      <c r="A90" t="s">
        <v>68</v>
      </c>
      <c r="B90" t="s">
        <v>403</v>
      </c>
      <c r="C90">
        <v>1</v>
      </c>
      <c r="D90">
        <f>VLOOKUP(B90, Menu!$A:$F, 6, 0)</f>
        <v>76.55</v>
      </c>
      <c r="E90">
        <f>VLOOKUP(B90, Menu!$A:$F, 5, 0)</f>
        <v>38.229999999999997</v>
      </c>
      <c r="F90" t="str">
        <f>VLOOKUP(B90, Menu!$A:$F, 3, 0)</f>
        <v>Dessert</v>
      </c>
      <c r="G90" s="5">
        <f>VLOOKUP(A90, Orders!$A:$B, 2, 0)</f>
        <v>45892.812847222223</v>
      </c>
      <c r="H90" t="str">
        <f>VLOOKUP(A90, Orders!$A:$C, 3, 0)</f>
        <v>Head Office Café</v>
      </c>
    </row>
    <row r="91" spans="1:8" x14ac:dyDescent="0.3">
      <c r="A91" t="s">
        <v>68</v>
      </c>
      <c r="B91" t="s">
        <v>409</v>
      </c>
      <c r="C91">
        <v>1</v>
      </c>
      <c r="D91">
        <f>VLOOKUP(B91, Menu!$A:$F, 6, 0)</f>
        <v>28.43</v>
      </c>
      <c r="E91">
        <f>VLOOKUP(B91, Menu!$A:$F, 5, 0)</f>
        <v>13.89</v>
      </c>
      <c r="F91" t="str">
        <f>VLOOKUP(B91, Menu!$A:$F, 3, 0)</f>
        <v>Beverage</v>
      </c>
      <c r="G91" s="5">
        <f>VLOOKUP(A91, Orders!$A:$B, 2, 0)</f>
        <v>45892.812847222223</v>
      </c>
      <c r="H91" t="str">
        <f>VLOOKUP(A91, Orders!$A:$C, 3, 0)</f>
        <v>Head Office Café</v>
      </c>
    </row>
    <row r="92" spans="1:8" x14ac:dyDescent="0.3">
      <c r="A92" t="s">
        <v>70</v>
      </c>
      <c r="B92" t="s">
        <v>419</v>
      </c>
      <c r="C92">
        <v>1</v>
      </c>
      <c r="D92">
        <f>VLOOKUP(B92, Menu!$A:$F, 6, 0)</f>
        <v>50.19</v>
      </c>
      <c r="E92">
        <f>VLOOKUP(B92, Menu!$A:$F, 5, 0)</f>
        <v>22.61</v>
      </c>
      <c r="F92" t="str">
        <f>VLOOKUP(B92, Menu!$A:$F, 3, 0)</f>
        <v>Snack</v>
      </c>
      <c r="G92" s="5">
        <f>VLOOKUP(A92, Orders!$A:$B, 2, 0)</f>
        <v>45850.111875000002</v>
      </c>
      <c r="H92" t="str">
        <f>VLOOKUP(A92, Orders!$A:$C, 3, 0)</f>
        <v>Plant 1 Canteen</v>
      </c>
    </row>
    <row r="93" spans="1:8" x14ac:dyDescent="0.3">
      <c r="A93" t="s">
        <v>70</v>
      </c>
      <c r="B93" t="s">
        <v>405</v>
      </c>
      <c r="C93">
        <v>1</v>
      </c>
      <c r="D93">
        <f>VLOOKUP(B93, Menu!$A:$F, 6, 0)</f>
        <v>170.83</v>
      </c>
      <c r="E93">
        <f>VLOOKUP(B93, Menu!$A:$F, 5, 0)</f>
        <v>74.069999999999993</v>
      </c>
      <c r="F93" t="str">
        <f>VLOOKUP(B93, Menu!$A:$F, 3, 0)</f>
        <v>Hot Meal</v>
      </c>
      <c r="G93" s="5">
        <f>VLOOKUP(A93, Orders!$A:$B, 2, 0)</f>
        <v>45850.111875000002</v>
      </c>
      <c r="H93" t="str">
        <f>VLOOKUP(A93, Orders!$A:$C, 3, 0)</f>
        <v>Plant 1 Canteen</v>
      </c>
    </row>
    <row r="94" spans="1:8" x14ac:dyDescent="0.3">
      <c r="A94" t="s">
        <v>71</v>
      </c>
      <c r="B94" t="s">
        <v>405</v>
      </c>
      <c r="C94">
        <v>2</v>
      </c>
      <c r="D94">
        <f>VLOOKUP(B94, Menu!$A:$F, 6, 0)</f>
        <v>170.83</v>
      </c>
      <c r="E94">
        <f>VLOOKUP(B94, Menu!$A:$F, 5, 0)</f>
        <v>74.069999999999993</v>
      </c>
      <c r="F94" t="str">
        <f>VLOOKUP(B94, Menu!$A:$F, 3, 0)</f>
        <v>Hot Meal</v>
      </c>
      <c r="G94" s="5">
        <f>VLOOKUP(A94, Orders!$A:$B, 2, 0)</f>
        <v>45842.747974537036</v>
      </c>
      <c r="H94" t="str">
        <f>VLOOKUP(A94, Orders!$A:$C, 3, 0)</f>
        <v>Plant 2 Canteen</v>
      </c>
    </row>
    <row r="95" spans="1:8" x14ac:dyDescent="0.3">
      <c r="A95" t="s">
        <v>73</v>
      </c>
      <c r="B95" t="s">
        <v>411</v>
      </c>
      <c r="C95">
        <v>1</v>
      </c>
      <c r="D95">
        <f>VLOOKUP(B95, Menu!$A:$F, 6, 0)</f>
        <v>22.2</v>
      </c>
      <c r="E95">
        <f>VLOOKUP(B95, Menu!$A:$F, 5, 0)</f>
        <v>9.3800000000000008</v>
      </c>
      <c r="F95" t="str">
        <f>VLOOKUP(B95, Menu!$A:$F, 3, 0)</f>
        <v>Beverage</v>
      </c>
      <c r="G95" s="5">
        <f>VLOOKUP(A95, Orders!$A:$B, 2, 0)</f>
        <v>45880.978148148148</v>
      </c>
      <c r="H95" t="str">
        <f>VLOOKUP(A95, Orders!$A:$C, 3, 0)</f>
        <v>Plant 1 Canteen</v>
      </c>
    </row>
    <row r="96" spans="1:8" x14ac:dyDescent="0.3">
      <c r="A96" t="s">
        <v>73</v>
      </c>
      <c r="B96" t="s">
        <v>404</v>
      </c>
      <c r="C96">
        <v>2</v>
      </c>
      <c r="D96">
        <f>VLOOKUP(B96, Menu!$A:$F, 6, 0)</f>
        <v>32.979999999999997</v>
      </c>
      <c r="E96">
        <f>VLOOKUP(B96, Menu!$A:$F, 5, 0)</f>
        <v>11.84</v>
      </c>
      <c r="F96" t="str">
        <f>VLOOKUP(B96, Menu!$A:$F, 3, 0)</f>
        <v>Beverage</v>
      </c>
      <c r="G96" s="5">
        <f>VLOOKUP(A96, Orders!$A:$B, 2, 0)</f>
        <v>45880.978148148148</v>
      </c>
      <c r="H96" t="str">
        <f>VLOOKUP(A96, Orders!$A:$C, 3, 0)</f>
        <v>Plant 1 Canteen</v>
      </c>
    </row>
    <row r="97" spans="1:8" x14ac:dyDescent="0.3">
      <c r="A97" t="s">
        <v>75</v>
      </c>
      <c r="B97" t="s">
        <v>405</v>
      </c>
      <c r="C97">
        <v>3</v>
      </c>
      <c r="D97">
        <f>VLOOKUP(B97, Menu!$A:$F, 6, 0)</f>
        <v>170.83</v>
      </c>
      <c r="E97">
        <f>VLOOKUP(B97, Menu!$A:$F, 5, 0)</f>
        <v>74.069999999999993</v>
      </c>
      <c r="F97" t="str">
        <f>VLOOKUP(B97, Menu!$A:$F, 3, 0)</f>
        <v>Hot Meal</v>
      </c>
      <c r="G97" s="5">
        <f>VLOOKUP(A97, Orders!$A:$B, 2, 0)</f>
        <v>45843.123402777783</v>
      </c>
      <c r="H97" t="str">
        <f>VLOOKUP(A97, Orders!$A:$C, 3, 0)</f>
        <v>Plant 2 Canteen</v>
      </c>
    </row>
    <row r="98" spans="1:8" x14ac:dyDescent="0.3">
      <c r="A98" t="s">
        <v>76</v>
      </c>
      <c r="B98" t="s">
        <v>404</v>
      </c>
      <c r="C98">
        <v>3</v>
      </c>
      <c r="D98">
        <f>VLOOKUP(B98, Menu!$A:$F, 6, 0)</f>
        <v>32.979999999999997</v>
      </c>
      <c r="E98">
        <f>VLOOKUP(B98, Menu!$A:$F, 5, 0)</f>
        <v>11.84</v>
      </c>
      <c r="F98" t="str">
        <f>VLOOKUP(B98, Menu!$A:$F, 3, 0)</f>
        <v>Beverage</v>
      </c>
      <c r="G98" s="5">
        <f>VLOOKUP(A98, Orders!$A:$B, 2, 0)</f>
        <v>45849.230266203696</v>
      </c>
      <c r="H98" t="str">
        <f>VLOOKUP(A98, Orders!$A:$C, 3, 0)</f>
        <v>Plant 2 Canteen</v>
      </c>
    </row>
    <row r="99" spans="1:8" x14ac:dyDescent="0.3">
      <c r="A99" t="s">
        <v>76</v>
      </c>
      <c r="B99" t="s">
        <v>409</v>
      </c>
      <c r="C99">
        <v>1</v>
      </c>
      <c r="D99">
        <f>VLOOKUP(B99, Menu!$A:$F, 6, 0)</f>
        <v>28.43</v>
      </c>
      <c r="E99">
        <f>VLOOKUP(B99, Menu!$A:$F, 5, 0)</f>
        <v>13.89</v>
      </c>
      <c r="F99" t="str">
        <f>VLOOKUP(B99, Menu!$A:$F, 3, 0)</f>
        <v>Beverage</v>
      </c>
      <c r="G99" s="5">
        <f>VLOOKUP(A99, Orders!$A:$B, 2, 0)</f>
        <v>45849.230266203696</v>
      </c>
      <c r="H99" t="str">
        <f>VLOOKUP(A99, Orders!$A:$C, 3, 0)</f>
        <v>Plant 2 Canteen</v>
      </c>
    </row>
    <row r="100" spans="1:8" x14ac:dyDescent="0.3">
      <c r="A100" t="s">
        <v>76</v>
      </c>
      <c r="B100" t="s">
        <v>415</v>
      </c>
      <c r="C100">
        <v>2</v>
      </c>
      <c r="D100">
        <f>VLOOKUP(B100, Menu!$A:$F, 6, 0)</f>
        <v>256.91000000000003</v>
      </c>
      <c r="E100">
        <f>VLOOKUP(B100, Menu!$A:$F, 5, 0)</f>
        <v>121.24</v>
      </c>
      <c r="F100" t="str">
        <f>VLOOKUP(B100, Menu!$A:$F, 3, 0)</f>
        <v>Hot Meal</v>
      </c>
      <c r="G100" s="5">
        <f>VLOOKUP(A100, Orders!$A:$B, 2, 0)</f>
        <v>45849.230266203696</v>
      </c>
      <c r="H100" t="str">
        <f>VLOOKUP(A100, Orders!$A:$C, 3, 0)</f>
        <v>Plant 2 Canteen</v>
      </c>
    </row>
    <row r="101" spans="1:8" x14ac:dyDescent="0.3">
      <c r="A101" t="s">
        <v>76</v>
      </c>
      <c r="B101" t="s">
        <v>402</v>
      </c>
      <c r="C101">
        <v>1</v>
      </c>
      <c r="D101">
        <f>VLOOKUP(B101, Menu!$A:$F, 6, 0)</f>
        <v>30.34</v>
      </c>
      <c r="E101">
        <f>VLOOKUP(B101, Menu!$A:$F, 5, 0)</f>
        <v>14.18</v>
      </c>
      <c r="F101" t="str">
        <f>VLOOKUP(B101, Menu!$A:$F, 3, 0)</f>
        <v>Beverage</v>
      </c>
      <c r="G101" s="5">
        <f>VLOOKUP(A101, Orders!$A:$B, 2, 0)</f>
        <v>45849.230266203696</v>
      </c>
      <c r="H101" t="str">
        <f>VLOOKUP(A101, Orders!$A:$C, 3, 0)</f>
        <v>Plant 2 Canteen</v>
      </c>
    </row>
    <row r="102" spans="1:8" x14ac:dyDescent="0.3">
      <c r="A102" t="s">
        <v>77</v>
      </c>
      <c r="B102" t="s">
        <v>404</v>
      </c>
      <c r="C102">
        <v>3</v>
      </c>
      <c r="D102">
        <f>VLOOKUP(B102, Menu!$A:$F, 6, 0)</f>
        <v>32.979999999999997</v>
      </c>
      <c r="E102">
        <f>VLOOKUP(B102, Menu!$A:$F, 5, 0)</f>
        <v>11.84</v>
      </c>
      <c r="F102" t="str">
        <f>VLOOKUP(B102, Menu!$A:$F, 3, 0)</f>
        <v>Beverage</v>
      </c>
      <c r="G102" s="5">
        <f>VLOOKUP(A102, Orders!$A:$B, 2, 0)</f>
        <v>45862.234907407408</v>
      </c>
      <c r="H102" t="str">
        <f>VLOOKUP(A102, Orders!$A:$C, 3, 0)</f>
        <v>Plant 1 Canteen</v>
      </c>
    </row>
    <row r="103" spans="1:8" x14ac:dyDescent="0.3">
      <c r="A103" t="s">
        <v>77</v>
      </c>
      <c r="B103" t="s">
        <v>408</v>
      </c>
      <c r="C103">
        <v>1</v>
      </c>
      <c r="D103">
        <f>VLOOKUP(B103, Menu!$A:$F, 6, 0)</f>
        <v>70.540000000000006</v>
      </c>
      <c r="E103">
        <f>VLOOKUP(B103, Menu!$A:$F, 5, 0)</f>
        <v>35.81</v>
      </c>
      <c r="F103" t="str">
        <f>VLOOKUP(B103, Menu!$A:$F, 3, 0)</f>
        <v>Snack</v>
      </c>
      <c r="G103" s="5">
        <f>VLOOKUP(A103, Orders!$A:$B, 2, 0)</f>
        <v>45862.234907407408</v>
      </c>
      <c r="H103" t="str">
        <f>VLOOKUP(A103, Orders!$A:$C, 3, 0)</f>
        <v>Plant 1 Canteen</v>
      </c>
    </row>
    <row r="104" spans="1:8" x14ac:dyDescent="0.3">
      <c r="A104" t="s">
        <v>78</v>
      </c>
      <c r="B104" t="s">
        <v>412</v>
      </c>
      <c r="C104">
        <v>1</v>
      </c>
      <c r="D104">
        <f>VLOOKUP(B104, Menu!$A:$F, 6, 0)</f>
        <v>57.07</v>
      </c>
      <c r="E104">
        <f>VLOOKUP(B104, Menu!$A:$F, 5, 0)</f>
        <v>29.14</v>
      </c>
      <c r="F104" t="str">
        <f>VLOOKUP(B104, Menu!$A:$F, 3, 0)</f>
        <v>Dessert</v>
      </c>
      <c r="G104" s="5">
        <f>VLOOKUP(A104, Orders!$A:$B, 2, 0)</f>
        <v>45856.664189814823</v>
      </c>
      <c r="H104" t="str">
        <f>VLOOKUP(A104, Orders!$A:$C, 3, 0)</f>
        <v>Head Office Café</v>
      </c>
    </row>
    <row r="105" spans="1:8" x14ac:dyDescent="0.3">
      <c r="A105" t="s">
        <v>78</v>
      </c>
      <c r="B105" t="s">
        <v>411</v>
      </c>
      <c r="C105">
        <v>1</v>
      </c>
      <c r="D105">
        <f>VLOOKUP(B105, Menu!$A:$F, 6, 0)</f>
        <v>22.2</v>
      </c>
      <c r="E105">
        <f>VLOOKUP(B105, Menu!$A:$F, 5, 0)</f>
        <v>9.3800000000000008</v>
      </c>
      <c r="F105" t="str">
        <f>VLOOKUP(B105, Menu!$A:$F, 3, 0)</f>
        <v>Beverage</v>
      </c>
      <c r="G105" s="5">
        <f>VLOOKUP(A105, Orders!$A:$B, 2, 0)</f>
        <v>45856.664189814823</v>
      </c>
      <c r="H105" t="str">
        <f>VLOOKUP(A105, Orders!$A:$C, 3, 0)</f>
        <v>Head Office Café</v>
      </c>
    </row>
    <row r="106" spans="1:8" x14ac:dyDescent="0.3">
      <c r="A106" t="s">
        <v>78</v>
      </c>
      <c r="B106" t="s">
        <v>416</v>
      </c>
      <c r="C106">
        <v>1</v>
      </c>
      <c r="D106">
        <f>VLOOKUP(B106, Menu!$A:$F, 6, 0)</f>
        <v>227.61</v>
      </c>
      <c r="E106">
        <f>VLOOKUP(B106, Menu!$A:$F, 5, 0)</f>
        <v>96.22</v>
      </c>
      <c r="F106" t="str">
        <f>VLOOKUP(B106, Menu!$A:$F, 3, 0)</f>
        <v>Hot Meal</v>
      </c>
      <c r="G106" s="5">
        <f>VLOOKUP(A106, Orders!$A:$B, 2, 0)</f>
        <v>45856.664189814823</v>
      </c>
      <c r="H106" t="str">
        <f>VLOOKUP(A106, Orders!$A:$C, 3, 0)</f>
        <v>Head Office Café</v>
      </c>
    </row>
    <row r="107" spans="1:8" x14ac:dyDescent="0.3">
      <c r="A107" t="s">
        <v>78</v>
      </c>
      <c r="B107" t="s">
        <v>413</v>
      </c>
      <c r="C107">
        <v>1</v>
      </c>
      <c r="D107">
        <f>VLOOKUP(B107, Menu!$A:$F, 6, 0)</f>
        <v>54.2</v>
      </c>
      <c r="E107">
        <f>VLOOKUP(B107, Menu!$A:$F, 5, 0)</f>
        <v>21.95</v>
      </c>
      <c r="F107" t="str">
        <f>VLOOKUP(B107, Menu!$A:$F, 3, 0)</f>
        <v>Dessert</v>
      </c>
      <c r="G107" s="5">
        <f>VLOOKUP(A107, Orders!$A:$B, 2, 0)</f>
        <v>45856.664189814823</v>
      </c>
      <c r="H107" t="str">
        <f>VLOOKUP(A107, Orders!$A:$C, 3, 0)</f>
        <v>Head Office Café</v>
      </c>
    </row>
    <row r="108" spans="1:8" x14ac:dyDescent="0.3">
      <c r="A108" t="s">
        <v>79</v>
      </c>
      <c r="B108" t="s">
        <v>411</v>
      </c>
      <c r="C108">
        <v>1</v>
      </c>
      <c r="D108">
        <f>VLOOKUP(B108, Menu!$A:$F, 6, 0)</f>
        <v>22.2</v>
      </c>
      <c r="E108">
        <f>VLOOKUP(B108, Menu!$A:$F, 5, 0)</f>
        <v>9.3800000000000008</v>
      </c>
      <c r="F108" t="str">
        <f>VLOOKUP(B108, Menu!$A:$F, 3, 0)</f>
        <v>Beverage</v>
      </c>
      <c r="G108" s="5">
        <f>VLOOKUP(A108, Orders!$A:$B, 2, 0)</f>
        <v>45865.15425925926</v>
      </c>
      <c r="H108" t="str">
        <f>VLOOKUP(A108, Orders!$A:$C, 3, 0)</f>
        <v>Plant 1 Canteen</v>
      </c>
    </row>
    <row r="109" spans="1:8" x14ac:dyDescent="0.3">
      <c r="A109" t="s">
        <v>80</v>
      </c>
      <c r="B109" t="s">
        <v>411</v>
      </c>
      <c r="C109">
        <v>1</v>
      </c>
      <c r="D109">
        <f>VLOOKUP(B109, Menu!$A:$F, 6, 0)</f>
        <v>22.2</v>
      </c>
      <c r="E109">
        <f>VLOOKUP(B109, Menu!$A:$F, 5, 0)</f>
        <v>9.3800000000000008</v>
      </c>
      <c r="F109" t="str">
        <f>VLOOKUP(B109, Menu!$A:$F, 3, 0)</f>
        <v>Beverage</v>
      </c>
      <c r="G109" s="5">
        <f>VLOOKUP(A109, Orders!$A:$B, 2, 0)</f>
        <v>45843.009780092587</v>
      </c>
      <c r="H109" t="str">
        <f>VLOOKUP(A109, Orders!$A:$C, 3, 0)</f>
        <v>Plant 2 Canteen</v>
      </c>
    </row>
    <row r="110" spans="1:8" x14ac:dyDescent="0.3">
      <c r="A110" t="s">
        <v>80</v>
      </c>
      <c r="B110" t="s">
        <v>401</v>
      </c>
      <c r="C110">
        <v>1</v>
      </c>
      <c r="D110">
        <f>VLOOKUP(B110, Menu!$A:$F, 6, 0)</f>
        <v>52.45</v>
      </c>
      <c r="E110">
        <f>VLOOKUP(B110, Menu!$A:$F, 5, 0)</f>
        <v>25.8</v>
      </c>
      <c r="F110" t="str">
        <f>VLOOKUP(B110, Menu!$A:$F, 3, 0)</f>
        <v>Snack</v>
      </c>
      <c r="G110" s="5">
        <f>VLOOKUP(A110, Orders!$A:$B, 2, 0)</f>
        <v>45843.009780092587</v>
      </c>
      <c r="H110" t="str">
        <f>VLOOKUP(A110, Orders!$A:$C, 3, 0)</f>
        <v>Plant 2 Canteen</v>
      </c>
    </row>
    <row r="111" spans="1:8" x14ac:dyDescent="0.3">
      <c r="A111" t="s">
        <v>80</v>
      </c>
      <c r="B111" t="s">
        <v>408</v>
      </c>
      <c r="C111">
        <v>1</v>
      </c>
      <c r="D111">
        <f>VLOOKUP(B111, Menu!$A:$F, 6, 0)</f>
        <v>70.540000000000006</v>
      </c>
      <c r="E111">
        <f>VLOOKUP(B111, Menu!$A:$F, 5, 0)</f>
        <v>35.81</v>
      </c>
      <c r="F111" t="str">
        <f>VLOOKUP(B111, Menu!$A:$F, 3, 0)</f>
        <v>Snack</v>
      </c>
      <c r="G111" s="5">
        <f>VLOOKUP(A111, Orders!$A:$B, 2, 0)</f>
        <v>45843.009780092587</v>
      </c>
      <c r="H111" t="str">
        <f>VLOOKUP(A111, Orders!$A:$C, 3, 0)</f>
        <v>Plant 2 Canteen</v>
      </c>
    </row>
    <row r="112" spans="1:8" x14ac:dyDescent="0.3">
      <c r="A112" t="s">
        <v>81</v>
      </c>
      <c r="B112" t="s">
        <v>410</v>
      </c>
      <c r="C112">
        <v>3</v>
      </c>
      <c r="D112">
        <f>VLOOKUP(B112, Menu!$A:$F, 6, 0)</f>
        <v>20.11</v>
      </c>
      <c r="E112">
        <f>VLOOKUP(B112, Menu!$A:$F, 5, 0)</f>
        <v>8</v>
      </c>
      <c r="F112" t="str">
        <f>VLOOKUP(B112, Menu!$A:$F, 3, 0)</f>
        <v>Beverage</v>
      </c>
      <c r="G112" s="5">
        <f>VLOOKUP(A112, Orders!$A:$B, 2, 0)</f>
        <v>45873.198460648149</v>
      </c>
      <c r="H112" t="str">
        <f>VLOOKUP(A112, Orders!$A:$C, 3, 0)</f>
        <v>Plant 2 Canteen</v>
      </c>
    </row>
    <row r="113" spans="1:8" x14ac:dyDescent="0.3">
      <c r="A113" t="s">
        <v>81</v>
      </c>
      <c r="B113" t="s">
        <v>404</v>
      </c>
      <c r="C113">
        <v>2</v>
      </c>
      <c r="D113">
        <f>VLOOKUP(B113, Menu!$A:$F, 6, 0)</f>
        <v>32.979999999999997</v>
      </c>
      <c r="E113">
        <f>VLOOKUP(B113, Menu!$A:$F, 5, 0)</f>
        <v>11.84</v>
      </c>
      <c r="F113" t="str">
        <f>VLOOKUP(B113, Menu!$A:$F, 3, 0)</f>
        <v>Beverage</v>
      </c>
      <c r="G113" s="5">
        <f>VLOOKUP(A113, Orders!$A:$B, 2, 0)</f>
        <v>45873.198460648149</v>
      </c>
      <c r="H113" t="str">
        <f>VLOOKUP(A113, Orders!$A:$C, 3, 0)</f>
        <v>Plant 2 Canteen</v>
      </c>
    </row>
    <row r="114" spans="1:8" x14ac:dyDescent="0.3">
      <c r="A114" t="s">
        <v>81</v>
      </c>
      <c r="B114" t="s">
        <v>414</v>
      </c>
      <c r="C114">
        <v>2</v>
      </c>
      <c r="D114">
        <f>VLOOKUP(B114, Menu!$A:$F, 6, 0)</f>
        <v>116.8</v>
      </c>
      <c r="E114">
        <f>VLOOKUP(B114, Menu!$A:$F, 5, 0)</f>
        <v>48.97</v>
      </c>
      <c r="F114" t="str">
        <f>VLOOKUP(B114, Menu!$A:$F, 3, 0)</f>
        <v>Dessert</v>
      </c>
      <c r="G114" s="5">
        <f>VLOOKUP(A114, Orders!$A:$B, 2, 0)</f>
        <v>45873.198460648149</v>
      </c>
      <c r="H114" t="str">
        <f>VLOOKUP(A114, Orders!$A:$C, 3, 0)</f>
        <v>Plant 2 Canteen</v>
      </c>
    </row>
    <row r="115" spans="1:8" x14ac:dyDescent="0.3">
      <c r="A115" t="s">
        <v>82</v>
      </c>
      <c r="B115" t="s">
        <v>418</v>
      </c>
      <c r="C115">
        <v>1</v>
      </c>
      <c r="D115">
        <f>VLOOKUP(B115, Menu!$A:$F, 6, 0)</f>
        <v>39.950000000000003</v>
      </c>
      <c r="E115">
        <f>VLOOKUP(B115, Menu!$A:$F, 5, 0)</f>
        <v>15.51</v>
      </c>
      <c r="F115" t="str">
        <f>VLOOKUP(B115, Menu!$A:$F, 3, 0)</f>
        <v>Snack</v>
      </c>
      <c r="G115" s="5">
        <f>VLOOKUP(A115, Orders!$A:$B, 2, 0)</f>
        <v>45858.00104166667</v>
      </c>
      <c r="H115" t="str">
        <f>VLOOKUP(A115, Orders!$A:$C, 3, 0)</f>
        <v>Plant 2 Canteen</v>
      </c>
    </row>
    <row r="116" spans="1:8" x14ac:dyDescent="0.3">
      <c r="A116" t="s">
        <v>83</v>
      </c>
      <c r="B116" t="s">
        <v>415</v>
      </c>
      <c r="C116">
        <v>2</v>
      </c>
      <c r="D116">
        <f>VLOOKUP(B116, Menu!$A:$F, 6, 0)</f>
        <v>256.91000000000003</v>
      </c>
      <c r="E116">
        <f>VLOOKUP(B116, Menu!$A:$F, 5, 0)</f>
        <v>121.24</v>
      </c>
      <c r="F116" t="str">
        <f>VLOOKUP(B116, Menu!$A:$F, 3, 0)</f>
        <v>Hot Meal</v>
      </c>
      <c r="G116" s="5">
        <f>VLOOKUP(A116, Orders!$A:$B, 2, 0)</f>
        <v>45866.350347222222</v>
      </c>
      <c r="H116" t="str">
        <f>VLOOKUP(A116, Orders!$A:$C, 3, 0)</f>
        <v>Plant 2 Canteen</v>
      </c>
    </row>
    <row r="117" spans="1:8" x14ac:dyDescent="0.3">
      <c r="A117" t="s">
        <v>83</v>
      </c>
      <c r="B117" t="s">
        <v>401</v>
      </c>
      <c r="C117">
        <v>1</v>
      </c>
      <c r="D117">
        <f>VLOOKUP(B117, Menu!$A:$F, 6, 0)</f>
        <v>52.45</v>
      </c>
      <c r="E117">
        <f>VLOOKUP(B117, Menu!$A:$F, 5, 0)</f>
        <v>25.8</v>
      </c>
      <c r="F117" t="str">
        <f>VLOOKUP(B117, Menu!$A:$F, 3, 0)</f>
        <v>Snack</v>
      </c>
      <c r="G117" s="5">
        <f>VLOOKUP(A117, Orders!$A:$B, 2, 0)</f>
        <v>45866.350347222222</v>
      </c>
      <c r="H117" t="str">
        <f>VLOOKUP(A117, Orders!$A:$C, 3, 0)</f>
        <v>Plant 2 Canteen</v>
      </c>
    </row>
    <row r="118" spans="1:8" x14ac:dyDescent="0.3">
      <c r="A118" t="s">
        <v>83</v>
      </c>
      <c r="B118" t="s">
        <v>413</v>
      </c>
      <c r="C118">
        <v>1</v>
      </c>
      <c r="D118">
        <f>VLOOKUP(B118, Menu!$A:$F, 6, 0)</f>
        <v>54.2</v>
      </c>
      <c r="E118">
        <f>VLOOKUP(B118, Menu!$A:$F, 5, 0)</f>
        <v>21.95</v>
      </c>
      <c r="F118" t="str">
        <f>VLOOKUP(B118, Menu!$A:$F, 3, 0)</f>
        <v>Dessert</v>
      </c>
      <c r="G118" s="5">
        <f>VLOOKUP(A118, Orders!$A:$B, 2, 0)</f>
        <v>45866.350347222222</v>
      </c>
      <c r="H118" t="str">
        <f>VLOOKUP(A118, Orders!$A:$C, 3, 0)</f>
        <v>Plant 2 Canteen</v>
      </c>
    </row>
    <row r="119" spans="1:8" x14ac:dyDescent="0.3">
      <c r="A119" t="s">
        <v>84</v>
      </c>
      <c r="B119" t="s">
        <v>406</v>
      </c>
      <c r="C119">
        <v>1</v>
      </c>
      <c r="D119">
        <f>VLOOKUP(B119, Menu!$A:$F, 6, 0)</f>
        <v>38.06</v>
      </c>
      <c r="E119">
        <f>VLOOKUP(B119, Menu!$A:$F, 5, 0)</f>
        <v>19.55</v>
      </c>
      <c r="F119" t="str">
        <f>VLOOKUP(B119, Menu!$A:$F, 3, 0)</f>
        <v>Snack</v>
      </c>
      <c r="G119" s="5">
        <f>VLOOKUP(A119, Orders!$A:$B, 2, 0)</f>
        <v>45891.311377314807</v>
      </c>
      <c r="H119" t="str">
        <f>VLOOKUP(A119, Orders!$A:$C, 3, 0)</f>
        <v>Plant 2 Canteen</v>
      </c>
    </row>
    <row r="120" spans="1:8" x14ac:dyDescent="0.3">
      <c r="A120" t="s">
        <v>84</v>
      </c>
      <c r="B120" t="s">
        <v>419</v>
      </c>
      <c r="C120">
        <v>2</v>
      </c>
      <c r="D120">
        <f>VLOOKUP(B120, Menu!$A:$F, 6, 0)</f>
        <v>50.19</v>
      </c>
      <c r="E120">
        <f>VLOOKUP(B120, Menu!$A:$F, 5, 0)</f>
        <v>22.61</v>
      </c>
      <c r="F120" t="str">
        <f>VLOOKUP(B120, Menu!$A:$F, 3, 0)</f>
        <v>Snack</v>
      </c>
      <c r="G120" s="5">
        <f>VLOOKUP(A120, Orders!$A:$B, 2, 0)</f>
        <v>45891.311377314807</v>
      </c>
      <c r="H120" t="str">
        <f>VLOOKUP(A120, Orders!$A:$C, 3, 0)</f>
        <v>Plant 2 Canteen</v>
      </c>
    </row>
    <row r="121" spans="1:8" x14ac:dyDescent="0.3">
      <c r="A121" t="s">
        <v>84</v>
      </c>
      <c r="B121" t="s">
        <v>409</v>
      </c>
      <c r="C121">
        <v>2</v>
      </c>
      <c r="D121">
        <f>VLOOKUP(B121, Menu!$A:$F, 6, 0)</f>
        <v>28.43</v>
      </c>
      <c r="E121">
        <f>VLOOKUP(B121, Menu!$A:$F, 5, 0)</f>
        <v>13.89</v>
      </c>
      <c r="F121" t="str">
        <f>VLOOKUP(B121, Menu!$A:$F, 3, 0)</f>
        <v>Beverage</v>
      </c>
      <c r="G121" s="5">
        <f>VLOOKUP(A121, Orders!$A:$B, 2, 0)</f>
        <v>45891.311377314807</v>
      </c>
      <c r="H121" t="str">
        <f>VLOOKUP(A121, Orders!$A:$C, 3, 0)</f>
        <v>Plant 2 Canteen</v>
      </c>
    </row>
    <row r="122" spans="1:8" x14ac:dyDescent="0.3">
      <c r="A122" t="s">
        <v>85</v>
      </c>
      <c r="B122" t="s">
        <v>416</v>
      </c>
      <c r="C122">
        <v>1</v>
      </c>
      <c r="D122">
        <f>VLOOKUP(B122, Menu!$A:$F, 6, 0)</f>
        <v>227.61</v>
      </c>
      <c r="E122">
        <f>VLOOKUP(B122, Menu!$A:$F, 5, 0)</f>
        <v>96.22</v>
      </c>
      <c r="F122" t="str">
        <f>VLOOKUP(B122, Menu!$A:$F, 3, 0)</f>
        <v>Hot Meal</v>
      </c>
      <c r="G122" s="5">
        <f>VLOOKUP(A122, Orders!$A:$B, 2, 0)</f>
        <v>45856.587210648147</v>
      </c>
      <c r="H122" t="str">
        <f>VLOOKUP(A122, Orders!$A:$C, 3, 0)</f>
        <v>Head Office Café</v>
      </c>
    </row>
    <row r="123" spans="1:8" x14ac:dyDescent="0.3">
      <c r="A123" t="s">
        <v>85</v>
      </c>
      <c r="B123" t="s">
        <v>404</v>
      </c>
      <c r="C123">
        <v>2</v>
      </c>
      <c r="D123">
        <f>VLOOKUP(B123, Menu!$A:$F, 6, 0)</f>
        <v>32.979999999999997</v>
      </c>
      <c r="E123">
        <f>VLOOKUP(B123, Menu!$A:$F, 5, 0)</f>
        <v>11.84</v>
      </c>
      <c r="F123" t="str">
        <f>VLOOKUP(B123, Menu!$A:$F, 3, 0)</f>
        <v>Beverage</v>
      </c>
      <c r="G123" s="5">
        <f>VLOOKUP(A123, Orders!$A:$B, 2, 0)</f>
        <v>45856.587210648147</v>
      </c>
      <c r="H123" t="str">
        <f>VLOOKUP(A123, Orders!$A:$C, 3, 0)</f>
        <v>Head Office Café</v>
      </c>
    </row>
    <row r="124" spans="1:8" x14ac:dyDescent="0.3">
      <c r="A124" t="s">
        <v>86</v>
      </c>
      <c r="B124" t="s">
        <v>403</v>
      </c>
      <c r="C124">
        <v>1</v>
      </c>
      <c r="D124">
        <f>VLOOKUP(B124, Menu!$A:$F, 6, 0)</f>
        <v>76.55</v>
      </c>
      <c r="E124">
        <f>VLOOKUP(B124, Menu!$A:$F, 5, 0)</f>
        <v>38.229999999999997</v>
      </c>
      <c r="F124" t="str">
        <f>VLOOKUP(B124, Menu!$A:$F, 3, 0)</f>
        <v>Dessert</v>
      </c>
      <c r="G124" s="5">
        <f>VLOOKUP(A124, Orders!$A:$B, 2, 0)</f>
        <v>45897.171319444453</v>
      </c>
      <c r="H124" t="str">
        <f>VLOOKUP(A124, Orders!$A:$C, 3, 0)</f>
        <v>Plant 2 Canteen</v>
      </c>
    </row>
    <row r="125" spans="1:8" x14ac:dyDescent="0.3">
      <c r="A125" t="s">
        <v>86</v>
      </c>
      <c r="B125" t="s">
        <v>404</v>
      </c>
      <c r="C125">
        <v>1</v>
      </c>
      <c r="D125">
        <f>VLOOKUP(B125, Menu!$A:$F, 6, 0)</f>
        <v>32.979999999999997</v>
      </c>
      <c r="E125">
        <f>VLOOKUP(B125, Menu!$A:$F, 5, 0)</f>
        <v>11.84</v>
      </c>
      <c r="F125" t="str">
        <f>VLOOKUP(B125, Menu!$A:$F, 3, 0)</f>
        <v>Beverage</v>
      </c>
      <c r="G125" s="5">
        <f>VLOOKUP(A125, Orders!$A:$B, 2, 0)</f>
        <v>45897.171319444453</v>
      </c>
      <c r="H125" t="str">
        <f>VLOOKUP(A125, Orders!$A:$C, 3, 0)</f>
        <v>Plant 2 Canteen</v>
      </c>
    </row>
    <row r="126" spans="1:8" x14ac:dyDescent="0.3">
      <c r="A126" t="s">
        <v>87</v>
      </c>
      <c r="B126" t="s">
        <v>407</v>
      </c>
      <c r="C126">
        <v>1</v>
      </c>
      <c r="D126">
        <f>VLOOKUP(B126, Menu!$A:$F, 6, 0)</f>
        <v>246.09</v>
      </c>
      <c r="E126">
        <f>VLOOKUP(B126, Menu!$A:$F, 5, 0)</f>
        <v>112.08</v>
      </c>
      <c r="F126" t="str">
        <f>VLOOKUP(B126, Menu!$A:$F, 3, 0)</f>
        <v>Hot Meal</v>
      </c>
      <c r="G126" s="5">
        <f>VLOOKUP(A126, Orders!$A:$B, 2, 0)</f>
        <v>45881.619641203702</v>
      </c>
      <c r="H126" t="str">
        <f>VLOOKUP(A126, Orders!$A:$C, 3, 0)</f>
        <v>Head Office Café</v>
      </c>
    </row>
    <row r="127" spans="1:8" x14ac:dyDescent="0.3">
      <c r="A127" t="s">
        <v>87</v>
      </c>
      <c r="B127" t="s">
        <v>414</v>
      </c>
      <c r="C127">
        <v>1</v>
      </c>
      <c r="D127">
        <f>VLOOKUP(B127, Menu!$A:$F, 6, 0)</f>
        <v>116.8</v>
      </c>
      <c r="E127">
        <f>VLOOKUP(B127, Menu!$A:$F, 5, 0)</f>
        <v>48.97</v>
      </c>
      <c r="F127" t="str">
        <f>VLOOKUP(B127, Menu!$A:$F, 3, 0)</f>
        <v>Dessert</v>
      </c>
      <c r="G127" s="5">
        <f>VLOOKUP(A127, Orders!$A:$B, 2, 0)</f>
        <v>45881.619641203702</v>
      </c>
      <c r="H127" t="str">
        <f>VLOOKUP(A127, Orders!$A:$C, 3, 0)</f>
        <v>Head Office Café</v>
      </c>
    </row>
    <row r="128" spans="1:8" x14ac:dyDescent="0.3">
      <c r="A128" t="s">
        <v>87</v>
      </c>
      <c r="B128" t="s">
        <v>403</v>
      </c>
      <c r="C128">
        <v>3</v>
      </c>
      <c r="D128">
        <f>VLOOKUP(B128, Menu!$A:$F, 6, 0)</f>
        <v>76.55</v>
      </c>
      <c r="E128">
        <f>VLOOKUP(B128, Menu!$A:$F, 5, 0)</f>
        <v>38.229999999999997</v>
      </c>
      <c r="F128" t="str">
        <f>VLOOKUP(B128, Menu!$A:$F, 3, 0)</f>
        <v>Dessert</v>
      </c>
      <c r="G128" s="5">
        <f>VLOOKUP(A128, Orders!$A:$B, 2, 0)</f>
        <v>45881.619641203702</v>
      </c>
      <c r="H128" t="str">
        <f>VLOOKUP(A128, Orders!$A:$C, 3, 0)</f>
        <v>Head Office Café</v>
      </c>
    </row>
    <row r="129" spans="1:8" x14ac:dyDescent="0.3">
      <c r="A129" t="s">
        <v>88</v>
      </c>
      <c r="B129" t="s">
        <v>408</v>
      </c>
      <c r="C129">
        <v>2</v>
      </c>
      <c r="D129">
        <f>VLOOKUP(B129, Menu!$A:$F, 6, 0)</f>
        <v>70.540000000000006</v>
      </c>
      <c r="E129">
        <f>VLOOKUP(B129, Menu!$A:$F, 5, 0)</f>
        <v>35.81</v>
      </c>
      <c r="F129" t="str">
        <f>VLOOKUP(B129, Menu!$A:$F, 3, 0)</f>
        <v>Snack</v>
      </c>
      <c r="G129" s="5">
        <f>VLOOKUP(A129, Orders!$A:$B, 2, 0)</f>
        <v>45895.231145833342</v>
      </c>
      <c r="H129" t="str">
        <f>VLOOKUP(A129, Orders!$A:$C, 3, 0)</f>
        <v>Plant 1 Canteen</v>
      </c>
    </row>
    <row r="130" spans="1:8" x14ac:dyDescent="0.3">
      <c r="A130" t="s">
        <v>88</v>
      </c>
      <c r="B130" t="s">
        <v>401</v>
      </c>
      <c r="C130">
        <v>1</v>
      </c>
      <c r="D130">
        <f>VLOOKUP(B130, Menu!$A:$F, 6, 0)</f>
        <v>52.45</v>
      </c>
      <c r="E130">
        <f>VLOOKUP(B130, Menu!$A:$F, 5, 0)</f>
        <v>25.8</v>
      </c>
      <c r="F130" t="str">
        <f>VLOOKUP(B130, Menu!$A:$F, 3, 0)</f>
        <v>Snack</v>
      </c>
      <c r="G130" s="5">
        <f>VLOOKUP(A130, Orders!$A:$B, 2, 0)</f>
        <v>45895.231145833342</v>
      </c>
      <c r="H130" t="str">
        <f>VLOOKUP(A130, Orders!$A:$C, 3, 0)</f>
        <v>Plant 1 Canteen</v>
      </c>
    </row>
    <row r="131" spans="1:8" x14ac:dyDescent="0.3">
      <c r="A131" t="s">
        <v>89</v>
      </c>
      <c r="B131" t="s">
        <v>401</v>
      </c>
      <c r="C131">
        <v>2</v>
      </c>
      <c r="D131">
        <f>VLOOKUP(B131, Menu!$A:$F, 6, 0)</f>
        <v>52.45</v>
      </c>
      <c r="E131">
        <f>VLOOKUP(B131, Menu!$A:$F, 5, 0)</f>
        <v>25.8</v>
      </c>
      <c r="F131" t="str">
        <f>VLOOKUP(B131, Menu!$A:$F, 3, 0)</f>
        <v>Snack</v>
      </c>
      <c r="G131" s="5">
        <f>VLOOKUP(A131, Orders!$A:$B, 2, 0)</f>
        <v>45839.414201388892</v>
      </c>
      <c r="H131" t="str">
        <f>VLOOKUP(A131, Orders!$A:$C, 3, 0)</f>
        <v>Head Office Café</v>
      </c>
    </row>
    <row r="132" spans="1:8" x14ac:dyDescent="0.3">
      <c r="A132" t="s">
        <v>90</v>
      </c>
      <c r="B132" t="s">
        <v>406</v>
      </c>
      <c r="C132">
        <v>1</v>
      </c>
      <c r="D132">
        <f>VLOOKUP(B132, Menu!$A:$F, 6, 0)</f>
        <v>38.06</v>
      </c>
      <c r="E132">
        <f>VLOOKUP(B132, Menu!$A:$F, 5, 0)</f>
        <v>19.55</v>
      </c>
      <c r="F132" t="str">
        <f>VLOOKUP(B132, Menu!$A:$F, 3, 0)</f>
        <v>Snack</v>
      </c>
      <c r="G132" s="5">
        <f>VLOOKUP(A132, Orders!$A:$B, 2, 0)</f>
        <v>45874.612395833326</v>
      </c>
      <c r="H132" t="str">
        <f>VLOOKUP(A132, Orders!$A:$C, 3, 0)</f>
        <v>Plant 2 Canteen</v>
      </c>
    </row>
    <row r="133" spans="1:8" x14ac:dyDescent="0.3">
      <c r="A133" t="s">
        <v>90</v>
      </c>
      <c r="B133" t="s">
        <v>414</v>
      </c>
      <c r="C133">
        <v>2</v>
      </c>
      <c r="D133">
        <f>VLOOKUP(B133, Menu!$A:$F, 6, 0)</f>
        <v>116.8</v>
      </c>
      <c r="E133">
        <f>VLOOKUP(B133, Menu!$A:$F, 5, 0)</f>
        <v>48.97</v>
      </c>
      <c r="F133" t="str">
        <f>VLOOKUP(B133, Menu!$A:$F, 3, 0)</f>
        <v>Dessert</v>
      </c>
      <c r="G133" s="5">
        <f>VLOOKUP(A133, Orders!$A:$B, 2, 0)</f>
        <v>45874.612395833326</v>
      </c>
      <c r="H133" t="str">
        <f>VLOOKUP(A133, Orders!$A:$C, 3, 0)</f>
        <v>Plant 2 Canteen</v>
      </c>
    </row>
    <row r="134" spans="1:8" x14ac:dyDescent="0.3">
      <c r="A134" t="s">
        <v>91</v>
      </c>
      <c r="B134" t="s">
        <v>415</v>
      </c>
      <c r="C134">
        <v>2</v>
      </c>
      <c r="D134">
        <f>VLOOKUP(B134, Menu!$A:$F, 6, 0)</f>
        <v>256.91000000000003</v>
      </c>
      <c r="E134">
        <f>VLOOKUP(B134, Menu!$A:$F, 5, 0)</f>
        <v>121.24</v>
      </c>
      <c r="F134" t="str">
        <f>VLOOKUP(B134, Menu!$A:$F, 3, 0)</f>
        <v>Hot Meal</v>
      </c>
      <c r="G134" s="5">
        <f>VLOOKUP(A134, Orders!$A:$B, 2, 0)</f>
        <v>45869.728182870371</v>
      </c>
      <c r="H134" t="str">
        <f>VLOOKUP(A134, Orders!$A:$C, 3, 0)</f>
        <v>Head Office Café</v>
      </c>
    </row>
    <row r="135" spans="1:8" x14ac:dyDescent="0.3">
      <c r="A135" t="s">
        <v>91</v>
      </c>
      <c r="B135" t="s">
        <v>407</v>
      </c>
      <c r="C135">
        <v>1</v>
      </c>
      <c r="D135">
        <f>VLOOKUP(B135, Menu!$A:$F, 6, 0)</f>
        <v>246.09</v>
      </c>
      <c r="E135">
        <f>VLOOKUP(B135, Menu!$A:$F, 5, 0)</f>
        <v>112.08</v>
      </c>
      <c r="F135" t="str">
        <f>VLOOKUP(B135, Menu!$A:$F, 3, 0)</f>
        <v>Hot Meal</v>
      </c>
      <c r="G135" s="5">
        <f>VLOOKUP(A135, Orders!$A:$B, 2, 0)</f>
        <v>45869.728182870371</v>
      </c>
      <c r="H135" t="str">
        <f>VLOOKUP(A135, Orders!$A:$C, 3, 0)</f>
        <v>Head Office Café</v>
      </c>
    </row>
    <row r="136" spans="1:8" x14ac:dyDescent="0.3">
      <c r="A136" t="s">
        <v>92</v>
      </c>
      <c r="B136" t="s">
        <v>414</v>
      </c>
      <c r="C136">
        <v>3</v>
      </c>
      <c r="D136">
        <f>VLOOKUP(B136, Menu!$A:$F, 6, 0)</f>
        <v>116.8</v>
      </c>
      <c r="E136">
        <f>VLOOKUP(B136, Menu!$A:$F, 5, 0)</f>
        <v>48.97</v>
      </c>
      <c r="F136" t="str">
        <f>VLOOKUP(B136, Menu!$A:$F, 3, 0)</f>
        <v>Dessert</v>
      </c>
      <c r="G136" s="5">
        <f>VLOOKUP(A136, Orders!$A:$B, 2, 0)</f>
        <v>45888.486701388887</v>
      </c>
      <c r="H136" t="str">
        <f>VLOOKUP(A136, Orders!$A:$C, 3, 0)</f>
        <v>Plant 2 Canteen</v>
      </c>
    </row>
    <row r="137" spans="1:8" x14ac:dyDescent="0.3">
      <c r="A137" t="s">
        <v>92</v>
      </c>
      <c r="B137" t="s">
        <v>417</v>
      </c>
      <c r="C137">
        <v>1</v>
      </c>
      <c r="D137">
        <f>VLOOKUP(B137, Menu!$A:$F, 6, 0)</f>
        <v>146.4</v>
      </c>
      <c r="E137">
        <f>VLOOKUP(B137, Menu!$A:$F, 5, 0)</f>
        <v>80.92</v>
      </c>
      <c r="F137" t="str">
        <f>VLOOKUP(B137, Menu!$A:$F, 3, 0)</f>
        <v>Hot Meal</v>
      </c>
      <c r="G137" s="5">
        <f>VLOOKUP(A137, Orders!$A:$B, 2, 0)</f>
        <v>45888.486701388887</v>
      </c>
      <c r="H137" t="str">
        <f>VLOOKUP(A137, Orders!$A:$C, 3, 0)</f>
        <v>Plant 2 Canteen</v>
      </c>
    </row>
    <row r="138" spans="1:8" x14ac:dyDescent="0.3">
      <c r="A138" t="s">
        <v>93</v>
      </c>
      <c r="B138" t="s">
        <v>419</v>
      </c>
      <c r="C138">
        <v>1</v>
      </c>
      <c r="D138">
        <f>VLOOKUP(B138, Menu!$A:$F, 6, 0)</f>
        <v>50.19</v>
      </c>
      <c r="E138">
        <f>VLOOKUP(B138, Menu!$A:$F, 5, 0)</f>
        <v>22.61</v>
      </c>
      <c r="F138" t="str">
        <f>VLOOKUP(B138, Menu!$A:$F, 3, 0)</f>
        <v>Snack</v>
      </c>
      <c r="G138" s="5">
        <f>VLOOKUP(A138, Orders!$A:$B, 2, 0)</f>
        <v>45878.319201388891</v>
      </c>
      <c r="H138" t="str">
        <f>VLOOKUP(A138, Orders!$A:$C, 3, 0)</f>
        <v>Head Office Café</v>
      </c>
    </row>
    <row r="139" spans="1:8" x14ac:dyDescent="0.3">
      <c r="A139" t="s">
        <v>93</v>
      </c>
      <c r="B139" t="s">
        <v>402</v>
      </c>
      <c r="C139">
        <v>3</v>
      </c>
      <c r="D139">
        <f>VLOOKUP(B139, Menu!$A:$F, 6, 0)</f>
        <v>30.34</v>
      </c>
      <c r="E139">
        <f>VLOOKUP(B139, Menu!$A:$F, 5, 0)</f>
        <v>14.18</v>
      </c>
      <c r="F139" t="str">
        <f>VLOOKUP(B139, Menu!$A:$F, 3, 0)</f>
        <v>Beverage</v>
      </c>
      <c r="G139" s="5">
        <f>VLOOKUP(A139, Orders!$A:$B, 2, 0)</f>
        <v>45878.319201388891</v>
      </c>
      <c r="H139" t="str">
        <f>VLOOKUP(A139, Orders!$A:$C, 3, 0)</f>
        <v>Head Office Café</v>
      </c>
    </row>
    <row r="140" spans="1:8" x14ac:dyDescent="0.3">
      <c r="A140" t="s">
        <v>93</v>
      </c>
      <c r="B140" t="s">
        <v>406</v>
      </c>
      <c r="C140">
        <v>1</v>
      </c>
      <c r="D140">
        <f>VLOOKUP(B140, Menu!$A:$F, 6, 0)</f>
        <v>38.06</v>
      </c>
      <c r="E140">
        <f>VLOOKUP(B140, Menu!$A:$F, 5, 0)</f>
        <v>19.55</v>
      </c>
      <c r="F140" t="str">
        <f>VLOOKUP(B140, Menu!$A:$F, 3, 0)</f>
        <v>Snack</v>
      </c>
      <c r="G140" s="5">
        <f>VLOOKUP(A140, Orders!$A:$B, 2, 0)</f>
        <v>45878.319201388891</v>
      </c>
      <c r="H140" t="str">
        <f>VLOOKUP(A140, Orders!$A:$C, 3, 0)</f>
        <v>Head Office Café</v>
      </c>
    </row>
    <row r="141" spans="1:8" x14ac:dyDescent="0.3">
      <c r="A141" t="s">
        <v>93</v>
      </c>
      <c r="B141" t="s">
        <v>403</v>
      </c>
      <c r="C141">
        <v>1</v>
      </c>
      <c r="D141">
        <f>VLOOKUP(B141, Menu!$A:$F, 6, 0)</f>
        <v>76.55</v>
      </c>
      <c r="E141">
        <f>VLOOKUP(B141, Menu!$A:$F, 5, 0)</f>
        <v>38.229999999999997</v>
      </c>
      <c r="F141" t="str">
        <f>VLOOKUP(B141, Menu!$A:$F, 3, 0)</f>
        <v>Dessert</v>
      </c>
      <c r="G141" s="5">
        <f>VLOOKUP(A141, Orders!$A:$B, 2, 0)</f>
        <v>45878.319201388891</v>
      </c>
      <c r="H141" t="str">
        <f>VLOOKUP(A141, Orders!$A:$C, 3, 0)</f>
        <v>Head Office Café</v>
      </c>
    </row>
    <row r="142" spans="1:8" x14ac:dyDescent="0.3">
      <c r="A142" t="s">
        <v>94</v>
      </c>
      <c r="B142" t="s">
        <v>407</v>
      </c>
      <c r="C142">
        <v>1</v>
      </c>
      <c r="D142">
        <f>VLOOKUP(B142, Menu!$A:$F, 6, 0)</f>
        <v>246.09</v>
      </c>
      <c r="E142">
        <f>VLOOKUP(B142, Menu!$A:$F, 5, 0)</f>
        <v>112.08</v>
      </c>
      <c r="F142" t="str">
        <f>VLOOKUP(B142, Menu!$A:$F, 3, 0)</f>
        <v>Hot Meal</v>
      </c>
      <c r="G142" s="5">
        <f>VLOOKUP(A142, Orders!$A:$B, 2, 0)</f>
        <v>45857.875821759262</v>
      </c>
      <c r="H142" t="str">
        <f>VLOOKUP(A142, Orders!$A:$C, 3, 0)</f>
        <v>Plant 2 Canteen</v>
      </c>
    </row>
    <row r="143" spans="1:8" x14ac:dyDescent="0.3">
      <c r="A143" t="s">
        <v>96</v>
      </c>
      <c r="B143" t="s">
        <v>403</v>
      </c>
      <c r="C143">
        <v>2</v>
      </c>
      <c r="D143">
        <f>VLOOKUP(B143, Menu!$A:$F, 6, 0)</f>
        <v>76.55</v>
      </c>
      <c r="E143">
        <f>VLOOKUP(B143, Menu!$A:$F, 5, 0)</f>
        <v>38.229999999999997</v>
      </c>
      <c r="F143" t="str">
        <f>VLOOKUP(B143, Menu!$A:$F, 3, 0)</f>
        <v>Dessert</v>
      </c>
      <c r="G143" s="5">
        <f>VLOOKUP(A143, Orders!$A:$B, 2, 0)</f>
        <v>45894.504629629628</v>
      </c>
      <c r="H143" t="str">
        <f>VLOOKUP(A143, Orders!$A:$C, 3, 0)</f>
        <v>Plant 2 Canteen</v>
      </c>
    </row>
    <row r="144" spans="1:8" x14ac:dyDescent="0.3">
      <c r="A144" t="s">
        <v>96</v>
      </c>
      <c r="B144" t="s">
        <v>413</v>
      </c>
      <c r="C144">
        <v>1</v>
      </c>
      <c r="D144">
        <f>VLOOKUP(B144, Menu!$A:$F, 6, 0)</f>
        <v>54.2</v>
      </c>
      <c r="E144">
        <f>VLOOKUP(B144, Menu!$A:$F, 5, 0)</f>
        <v>21.95</v>
      </c>
      <c r="F144" t="str">
        <f>VLOOKUP(B144, Menu!$A:$F, 3, 0)</f>
        <v>Dessert</v>
      </c>
      <c r="G144" s="5">
        <f>VLOOKUP(A144, Orders!$A:$B, 2, 0)</f>
        <v>45894.504629629628</v>
      </c>
      <c r="H144" t="str">
        <f>VLOOKUP(A144, Orders!$A:$C, 3, 0)</f>
        <v>Plant 2 Canteen</v>
      </c>
    </row>
    <row r="145" spans="1:8" x14ac:dyDescent="0.3">
      <c r="A145" t="s">
        <v>96</v>
      </c>
      <c r="B145" t="s">
        <v>416</v>
      </c>
      <c r="C145">
        <v>2</v>
      </c>
      <c r="D145">
        <f>VLOOKUP(B145, Menu!$A:$F, 6, 0)</f>
        <v>227.61</v>
      </c>
      <c r="E145">
        <f>VLOOKUP(B145, Menu!$A:$F, 5, 0)</f>
        <v>96.22</v>
      </c>
      <c r="F145" t="str">
        <f>VLOOKUP(B145, Menu!$A:$F, 3, 0)</f>
        <v>Hot Meal</v>
      </c>
      <c r="G145" s="5">
        <f>VLOOKUP(A145, Orders!$A:$B, 2, 0)</f>
        <v>45894.504629629628</v>
      </c>
      <c r="H145" t="str">
        <f>VLOOKUP(A145, Orders!$A:$C, 3, 0)</f>
        <v>Plant 2 Canteen</v>
      </c>
    </row>
    <row r="146" spans="1:8" x14ac:dyDescent="0.3">
      <c r="A146" t="s">
        <v>97</v>
      </c>
      <c r="B146" t="s">
        <v>405</v>
      </c>
      <c r="C146">
        <v>2</v>
      </c>
      <c r="D146">
        <f>VLOOKUP(B146, Menu!$A:$F, 6, 0)</f>
        <v>170.83</v>
      </c>
      <c r="E146">
        <f>VLOOKUP(B146, Menu!$A:$F, 5, 0)</f>
        <v>74.069999999999993</v>
      </c>
      <c r="F146" t="str">
        <f>VLOOKUP(B146, Menu!$A:$F, 3, 0)</f>
        <v>Hot Meal</v>
      </c>
      <c r="G146" s="5">
        <f>VLOOKUP(A146, Orders!$A:$B, 2, 0)</f>
        <v>45868.753321759257</v>
      </c>
      <c r="H146" t="str">
        <f>VLOOKUP(A146, Orders!$A:$C, 3, 0)</f>
        <v>Plant 2 Canteen</v>
      </c>
    </row>
    <row r="147" spans="1:8" x14ac:dyDescent="0.3">
      <c r="A147" t="s">
        <v>97</v>
      </c>
      <c r="B147" t="s">
        <v>415</v>
      </c>
      <c r="C147">
        <v>1</v>
      </c>
      <c r="D147">
        <f>VLOOKUP(B147, Menu!$A:$F, 6, 0)</f>
        <v>256.91000000000003</v>
      </c>
      <c r="E147">
        <f>VLOOKUP(B147, Menu!$A:$F, 5, 0)</f>
        <v>121.24</v>
      </c>
      <c r="F147" t="str">
        <f>VLOOKUP(B147, Menu!$A:$F, 3, 0)</f>
        <v>Hot Meal</v>
      </c>
      <c r="G147" s="5">
        <f>VLOOKUP(A147, Orders!$A:$B, 2, 0)</f>
        <v>45868.753321759257</v>
      </c>
      <c r="H147" t="str">
        <f>VLOOKUP(A147, Orders!$A:$C, 3, 0)</f>
        <v>Plant 2 Canteen</v>
      </c>
    </row>
    <row r="148" spans="1:8" x14ac:dyDescent="0.3">
      <c r="A148" t="s">
        <v>97</v>
      </c>
      <c r="B148" t="s">
        <v>408</v>
      </c>
      <c r="C148">
        <v>2</v>
      </c>
      <c r="D148">
        <f>VLOOKUP(B148, Menu!$A:$F, 6, 0)</f>
        <v>70.540000000000006</v>
      </c>
      <c r="E148">
        <f>VLOOKUP(B148, Menu!$A:$F, 5, 0)</f>
        <v>35.81</v>
      </c>
      <c r="F148" t="str">
        <f>VLOOKUP(B148, Menu!$A:$F, 3, 0)</f>
        <v>Snack</v>
      </c>
      <c r="G148" s="5">
        <f>VLOOKUP(A148, Orders!$A:$B, 2, 0)</f>
        <v>45868.753321759257</v>
      </c>
      <c r="H148" t="str">
        <f>VLOOKUP(A148, Orders!$A:$C, 3, 0)</f>
        <v>Plant 2 Canteen</v>
      </c>
    </row>
    <row r="149" spans="1:8" x14ac:dyDescent="0.3">
      <c r="A149" t="s">
        <v>98</v>
      </c>
      <c r="B149" t="s">
        <v>401</v>
      </c>
      <c r="C149">
        <v>1</v>
      </c>
      <c r="D149">
        <f>VLOOKUP(B149, Menu!$A:$F, 6, 0)</f>
        <v>52.45</v>
      </c>
      <c r="E149">
        <f>VLOOKUP(B149, Menu!$A:$F, 5, 0)</f>
        <v>25.8</v>
      </c>
      <c r="F149" t="str">
        <f>VLOOKUP(B149, Menu!$A:$F, 3, 0)</f>
        <v>Snack</v>
      </c>
      <c r="G149" s="5">
        <f>VLOOKUP(A149, Orders!$A:$B, 2, 0)</f>
        <v>45884.395868055559</v>
      </c>
      <c r="H149" t="str">
        <f>VLOOKUP(A149, Orders!$A:$C, 3, 0)</f>
        <v>Plant 2 Canteen</v>
      </c>
    </row>
    <row r="150" spans="1:8" x14ac:dyDescent="0.3">
      <c r="A150" t="s">
        <v>98</v>
      </c>
      <c r="B150" t="s">
        <v>402</v>
      </c>
      <c r="C150">
        <v>2</v>
      </c>
      <c r="D150">
        <f>VLOOKUP(B150, Menu!$A:$F, 6, 0)</f>
        <v>30.34</v>
      </c>
      <c r="E150">
        <f>VLOOKUP(B150, Menu!$A:$F, 5, 0)</f>
        <v>14.18</v>
      </c>
      <c r="F150" t="str">
        <f>VLOOKUP(B150, Menu!$A:$F, 3, 0)</f>
        <v>Beverage</v>
      </c>
      <c r="G150" s="5">
        <f>VLOOKUP(A150, Orders!$A:$B, 2, 0)</f>
        <v>45884.395868055559</v>
      </c>
      <c r="H150" t="str">
        <f>VLOOKUP(A150, Orders!$A:$C, 3, 0)</f>
        <v>Plant 2 Canteen</v>
      </c>
    </row>
    <row r="151" spans="1:8" x14ac:dyDescent="0.3">
      <c r="A151" t="s">
        <v>98</v>
      </c>
      <c r="B151" t="s">
        <v>418</v>
      </c>
      <c r="C151">
        <v>3</v>
      </c>
      <c r="D151">
        <f>VLOOKUP(B151, Menu!$A:$F, 6, 0)</f>
        <v>39.950000000000003</v>
      </c>
      <c r="E151">
        <f>VLOOKUP(B151, Menu!$A:$F, 5, 0)</f>
        <v>15.51</v>
      </c>
      <c r="F151" t="str">
        <f>VLOOKUP(B151, Menu!$A:$F, 3, 0)</f>
        <v>Snack</v>
      </c>
      <c r="G151" s="5">
        <f>VLOOKUP(A151, Orders!$A:$B, 2, 0)</f>
        <v>45884.395868055559</v>
      </c>
      <c r="H151" t="str">
        <f>VLOOKUP(A151, Orders!$A:$C, 3, 0)</f>
        <v>Plant 2 Canteen</v>
      </c>
    </row>
    <row r="152" spans="1:8" x14ac:dyDescent="0.3">
      <c r="A152" t="s">
        <v>98</v>
      </c>
      <c r="B152" t="s">
        <v>404</v>
      </c>
      <c r="C152">
        <v>1</v>
      </c>
      <c r="D152">
        <f>VLOOKUP(B152, Menu!$A:$F, 6, 0)</f>
        <v>32.979999999999997</v>
      </c>
      <c r="E152">
        <f>VLOOKUP(B152, Menu!$A:$F, 5, 0)</f>
        <v>11.84</v>
      </c>
      <c r="F152" t="str">
        <f>VLOOKUP(B152, Menu!$A:$F, 3, 0)</f>
        <v>Beverage</v>
      </c>
      <c r="G152" s="5">
        <f>VLOOKUP(A152, Orders!$A:$B, 2, 0)</f>
        <v>45884.395868055559</v>
      </c>
      <c r="H152" t="str">
        <f>VLOOKUP(A152, Orders!$A:$C, 3, 0)</f>
        <v>Plant 2 Canteen</v>
      </c>
    </row>
    <row r="153" spans="1:8" x14ac:dyDescent="0.3">
      <c r="A153" t="s">
        <v>99</v>
      </c>
      <c r="B153" t="s">
        <v>414</v>
      </c>
      <c r="C153">
        <v>2</v>
      </c>
      <c r="D153">
        <f>VLOOKUP(B153, Menu!$A:$F, 6, 0)</f>
        <v>116.8</v>
      </c>
      <c r="E153">
        <f>VLOOKUP(B153, Menu!$A:$F, 5, 0)</f>
        <v>48.97</v>
      </c>
      <c r="F153" t="str">
        <f>VLOOKUP(B153, Menu!$A:$F, 3, 0)</f>
        <v>Dessert</v>
      </c>
      <c r="G153" s="5">
        <f>VLOOKUP(A153, Orders!$A:$B, 2, 0)</f>
        <v>45888.880069444444</v>
      </c>
      <c r="H153" t="str">
        <f>VLOOKUP(A153, Orders!$A:$C, 3, 0)</f>
        <v>Plant 2 Canteen</v>
      </c>
    </row>
    <row r="154" spans="1:8" x14ac:dyDescent="0.3">
      <c r="A154" t="s">
        <v>99</v>
      </c>
      <c r="B154" t="s">
        <v>402</v>
      </c>
      <c r="C154">
        <v>2</v>
      </c>
      <c r="D154">
        <f>VLOOKUP(B154, Menu!$A:$F, 6, 0)</f>
        <v>30.34</v>
      </c>
      <c r="E154">
        <f>VLOOKUP(B154, Menu!$A:$F, 5, 0)</f>
        <v>14.18</v>
      </c>
      <c r="F154" t="str">
        <f>VLOOKUP(B154, Menu!$A:$F, 3, 0)</f>
        <v>Beverage</v>
      </c>
      <c r="G154" s="5">
        <f>VLOOKUP(A154, Orders!$A:$B, 2, 0)</f>
        <v>45888.880069444444</v>
      </c>
      <c r="H154" t="str">
        <f>VLOOKUP(A154, Orders!$A:$C, 3, 0)</f>
        <v>Plant 2 Canteen</v>
      </c>
    </row>
    <row r="155" spans="1:8" x14ac:dyDescent="0.3">
      <c r="A155" t="s">
        <v>100</v>
      </c>
      <c r="B155" t="s">
        <v>403</v>
      </c>
      <c r="C155">
        <v>2</v>
      </c>
      <c r="D155">
        <f>VLOOKUP(B155, Menu!$A:$F, 6, 0)</f>
        <v>76.55</v>
      </c>
      <c r="E155">
        <f>VLOOKUP(B155, Menu!$A:$F, 5, 0)</f>
        <v>38.229999999999997</v>
      </c>
      <c r="F155" t="str">
        <f>VLOOKUP(B155, Menu!$A:$F, 3, 0)</f>
        <v>Dessert</v>
      </c>
      <c r="G155" s="5">
        <f>VLOOKUP(A155, Orders!$A:$B, 2, 0)</f>
        <v>45866.802916666667</v>
      </c>
      <c r="H155" t="str">
        <f>VLOOKUP(A155, Orders!$A:$C, 3, 0)</f>
        <v>Head Office Café</v>
      </c>
    </row>
    <row r="156" spans="1:8" x14ac:dyDescent="0.3">
      <c r="A156" t="s">
        <v>101</v>
      </c>
      <c r="B156" t="s">
        <v>410</v>
      </c>
      <c r="C156">
        <v>1</v>
      </c>
      <c r="D156">
        <f>VLOOKUP(B156, Menu!$A:$F, 6, 0)</f>
        <v>20.11</v>
      </c>
      <c r="E156">
        <f>VLOOKUP(B156, Menu!$A:$F, 5, 0)</f>
        <v>8</v>
      </c>
      <c r="F156" t="str">
        <f>VLOOKUP(B156, Menu!$A:$F, 3, 0)</f>
        <v>Beverage</v>
      </c>
      <c r="G156" s="5">
        <f>VLOOKUP(A156, Orders!$A:$B, 2, 0)</f>
        <v>45848.316990740743</v>
      </c>
      <c r="H156" t="str">
        <f>VLOOKUP(A156, Orders!$A:$C, 3, 0)</f>
        <v>Plant 1 Canteen</v>
      </c>
    </row>
    <row r="157" spans="1:8" x14ac:dyDescent="0.3">
      <c r="A157" t="s">
        <v>102</v>
      </c>
      <c r="B157" t="s">
        <v>415</v>
      </c>
      <c r="C157">
        <v>2</v>
      </c>
      <c r="D157">
        <f>VLOOKUP(B157, Menu!$A:$F, 6, 0)</f>
        <v>256.91000000000003</v>
      </c>
      <c r="E157">
        <f>VLOOKUP(B157, Menu!$A:$F, 5, 0)</f>
        <v>121.24</v>
      </c>
      <c r="F157" t="str">
        <f>VLOOKUP(B157, Menu!$A:$F, 3, 0)</f>
        <v>Hot Meal</v>
      </c>
      <c r="G157" s="5">
        <f>VLOOKUP(A157, Orders!$A:$B, 2, 0)</f>
        <v>45858.583587962959</v>
      </c>
      <c r="H157" t="str">
        <f>VLOOKUP(A157, Orders!$A:$C, 3, 0)</f>
        <v>Plant 1 Canteen</v>
      </c>
    </row>
    <row r="158" spans="1:8" x14ac:dyDescent="0.3">
      <c r="A158" t="s">
        <v>102</v>
      </c>
      <c r="B158" t="s">
        <v>408</v>
      </c>
      <c r="C158">
        <v>2</v>
      </c>
      <c r="D158">
        <f>VLOOKUP(B158, Menu!$A:$F, 6, 0)</f>
        <v>70.540000000000006</v>
      </c>
      <c r="E158">
        <f>VLOOKUP(B158, Menu!$A:$F, 5, 0)</f>
        <v>35.81</v>
      </c>
      <c r="F158" t="str">
        <f>VLOOKUP(B158, Menu!$A:$F, 3, 0)</f>
        <v>Snack</v>
      </c>
      <c r="G158" s="5">
        <f>VLOOKUP(A158, Orders!$A:$B, 2, 0)</f>
        <v>45858.583587962959</v>
      </c>
      <c r="H158" t="str">
        <f>VLOOKUP(A158, Orders!$A:$C, 3, 0)</f>
        <v>Plant 1 Canteen</v>
      </c>
    </row>
    <row r="159" spans="1:8" x14ac:dyDescent="0.3">
      <c r="A159" t="s">
        <v>102</v>
      </c>
      <c r="B159" t="s">
        <v>409</v>
      </c>
      <c r="C159">
        <v>1</v>
      </c>
      <c r="D159">
        <f>VLOOKUP(B159, Menu!$A:$F, 6, 0)</f>
        <v>28.43</v>
      </c>
      <c r="E159">
        <f>VLOOKUP(B159, Menu!$A:$F, 5, 0)</f>
        <v>13.89</v>
      </c>
      <c r="F159" t="str">
        <f>VLOOKUP(B159, Menu!$A:$F, 3, 0)</f>
        <v>Beverage</v>
      </c>
      <c r="G159" s="5">
        <f>VLOOKUP(A159, Orders!$A:$B, 2, 0)</f>
        <v>45858.583587962959</v>
      </c>
      <c r="H159" t="str">
        <f>VLOOKUP(A159, Orders!$A:$C, 3, 0)</f>
        <v>Plant 1 Canteen</v>
      </c>
    </row>
    <row r="160" spans="1:8" x14ac:dyDescent="0.3">
      <c r="A160" t="s">
        <v>103</v>
      </c>
      <c r="B160" t="s">
        <v>406</v>
      </c>
      <c r="C160">
        <v>1</v>
      </c>
      <c r="D160">
        <f>VLOOKUP(B160, Menu!$A:$F, 6, 0)</f>
        <v>38.06</v>
      </c>
      <c r="E160">
        <f>VLOOKUP(B160, Menu!$A:$F, 5, 0)</f>
        <v>19.55</v>
      </c>
      <c r="F160" t="str">
        <f>VLOOKUP(B160, Menu!$A:$F, 3, 0)</f>
        <v>Snack</v>
      </c>
      <c r="G160" s="5">
        <f>VLOOKUP(A160, Orders!$A:$B, 2, 0)</f>
        <v>45885.381157407413</v>
      </c>
      <c r="H160" t="str">
        <f>VLOOKUP(A160, Orders!$A:$C, 3, 0)</f>
        <v>Head Office Café</v>
      </c>
    </row>
    <row r="161" spans="1:8" x14ac:dyDescent="0.3">
      <c r="A161" t="s">
        <v>103</v>
      </c>
      <c r="B161" t="s">
        <v>417</v>
      </c>
      <c r="C161">
        <v>3</v>
      </c>
      <c r="D161">
        <f>VLOOKUP(B161, Menu!$A:$F, 6, 0)</f>
        <v>146.4</v>
      </c>
      <c r="E161">
        <f>VLOOKUP(B161, Menu!$A:$F, 5, 0)</f>
        <v>80.92</v>
      </c>
      <c r="F161" t="str">
        <f>VLOOKUP(B161, Menu!$A:$F, 3, 0)</f>
        <v>Hot Meal</v>
      </c>
      <c r="G161" s="5">
        <f>VLOOKUP(A161, Orders!$A:$B, 2, 0)</f>
        <v>45885.381157407413</v>
      </c>
      <c r="H161" t="str">
        <f>VLOOKUP(A161, Orders!$A:$C, 3, 0)</f>
        <v>Head Office Café</v>
      </c>
    </row>
    <row r="162" spans="1:8" x14ac:dyDescent="0.3">
      <c r="A162" t="s">
        <v>103</v>
      </c>
      <c r="B162" t="s">
        <v>403</v>
      </c>
      <c r="C162">
        <v>2</v>
      </c>
      <c r="D162">
        <f>VLOOKUP(B162, Menu!$A:$F, 6, 0)</f>
        <v>76.55</v>
      </c>
      <c r="E162">
        <f>VLOOKUP(B162, Menu!$A:$F, 5, 0)</f>
        <v>38.229999999999997</v>
      </c>
      <c r="F162" t="str">
        <f>VLOOKUP(B162, Menu!$A:$F, 3, 0)</f>
        <v>Dessert</v>
      </c>
      <c r="G162" s="5">
        <f>VLOOKUP(A162, Orders!$A:$B, 2, 0)</f>
        <v>45885.381157407413</v>
      </c>
      <c r="H162" t="str">
        <f>VLOOKUP(A162, Orders!$A:$C, 3, 0)</f>
        <v>Head Office Café</v>
      </c>
    </row>
    <row r="163" spans="1:8" x14ac:dyDescent="0.3">
      <c r="A163" t="s">
        <v>103</v>
      </c>
      <c r="B163" t="s">
        <v>416</v>
      </c>
      <c r="C163">
        <v>2</v>
      </c>
      <c r="D163">
        <f>VLOOKUP(B163, Menu!$A:$F, 6, 0)</f>
        <v>227.61</v>
      </c>
      <c r="E163">
        <f>VLOOKUP(B163, Menu!$A:$F, 5, 0)</f>
        <v>96.22</v>
      </c>
      <c r="F163" t="str">
        <f>VLOOKUP(B163, Menu!$A:$F, 3, 0)</f>
        <v>Hot Meal</v>
      </c>
      <c r="G163" s="5">
        <f>VLOOKUP(A163, Orders!$A:$B, 2, 0)</f>
        <v>45885.381157407413</v>
      </c>
      <c r="H163" t="str">
        <f>VLOOKUP(A163, Orders!$A:$C, 3, 0)</f>
        <v>Head Office Café</v>
      </c>
    </row>
    <row r="164" spans="1:8" x14ac:dyDescent="0.3">
      <c r="A164" t="s">
        <v>104</v>
      </c>
      <c r="B164" t="s">
        <v>408</v>
      </c>
      <c r="C164">
        <v>1</v>
      </c>
      <c r="D164">
        <f>VLOOKUP(B164, Menu!$A:$F, 6, 0)</f>
        <v>70.540000000000006</v>
      </c>
      <c r="E164">
        <f>VLOOKUP(B164, Menu!$A:$F, 5, 0)</f>
        <v>35.81</v>
      </c>
      <c r="F164" t="str">
        <f>VLOOKUP(B164, Menu!$A:$F, 3, 0)</f>
        <v>Snack</v>
      </c>
      <c r="G164" s="5">
        <f>VLOOKUP(A164, Orders!$A:$B, 2, 0)</f>
        <v>45895.142094907409</v>
      </c>
      <c r="H164" t="str">
        <f>VLOOKUP(A164, Orders!$A:$C, 3, 0)</f>
        <v>Plant 1 Canteen</v>
      </c>
    </row>
    <row r="165" spans="1:8" x14ac:dyDescent="0.3">
      <c r="A165" t="s">
        <v>104</v>
      </c>
      <c r="B165" t="s">
        <v>409</v>
      </c>
      <c r="C165">
        <v>1</v>
      </c>
      <c r="D165">
        <f>VLOOKUP(B165, Menu!$A:$F, 6, 0)</f>
        <v>28.43</v>
      </c>
      <c r="E165">
        <f>VLOOKUP(B165, Menu!$A:$F, 5, 0)</f>
        <v>13.89</v>
      </c>
      <c r="F165" t="str">
        <f>VLOOKUP(B165, Menu!$A:$F, 3, 0)</f>
        <v>Beverage</v>
      </c>
      <c r="G165" s="5">
        <f>VLOOKUP(A165, Orders!$A:$B, 2, 0)</f>
        <v>45895.142094907409</v>
      </c>
      <c r="H165" t="str">
        <f>VLOOKUP(A165, Orders!$A:$C, 3, 0)</f>
        <v>Plant 1 Canteen</v>
      </c>
    </row>
    <row r="166" spans="1:8" x14ac:dyDescent="0.3">
      <c r="A166" t="s">
        <v>104</v>
      </c>
      <c r="B166" t="s">
        <v>402</v>
      </c>
      <c r="C166">
        <v>1</v>
      </c>
      <c r="D166">
        <f>VLOOKUP(B166, Menu!$A:$F, 6, 0)</f>
        <v>30.34</v>
      </c>
      <c r="E166">
        <f>VLOOKUP(B166, Menu!$A:$F, 5, 0)</f>
        <v>14.18</v>
      </c>
      <c r="F166" t="str">
        <f>VLOOKUP(B166, Menu!$A:$F, 3, 0)</f>
        <v>Beverage</v>
      </c>
      <c r="G166" s="5">
        <f>VLOOKUP(A166, Orders!$A:$B, 2, 0)</f>
        <v>45895.142094907409</v>
      </c>
      <c r="H166" t="str">
        <f>VLOOKUP(A166, Orders!$A:$C, 3, 0)</f>
        <v>Plant 1 Canteen</v>
      </c>
    </row>
    <row r="167" spans="1:8" x14ac:dyDescent="0.3">
      <c r="A167" t="s">
        <v>104</v>
      </c>
      <c r="B167" t="s">
        <v>414</v>
      </c>
      <c r="C167">
        <v>2</v>
      </c>
      <c r="D167">
        <f>VLOOKUP(B167, Menu!$A:$F, 6, 0)</f>
        <v>116.8</v>
      </c>
      <c r="E167">
        <f>VLOOKUP(B167, Menu!$A:$F, 5, 0)</f>
        <v>48.97</v>
      </c>
      <c r="F167" t="str">
        <f>VLOOKUP(B167, Menu!$A:$F, 3, 0)</f>
        <v>Dessert</v>
      </c>
      <c r="G167" s="5">
        <f>VLOOKUP(A167, Orders!$A:$B, 2, 0)</f>
        <v>45895.142094907409</v>
      </c>
      <c r="H167" t="str">
        <f>VLOOKUP(A167, Orders!$A:$C, 3, 0)</f>
        <v>Plant 1 Canteen</v>
      </c>
    </row>
    <row r="168" spans="1:8" x14ac:dyDescent="0.3">
      <c r="A168" t="s">
        <v>105</v>
      </c>
      <c r="B168" t="s">
        <v>405</v>
      </c>
      <c r="C168">
        <v>1</v>
      </c>
      <c r="D168">
        <f>VLOOKUP(B168, Menu!$A:$F, 6, 0)</f>
        <v>170.83</v>
      </c>
      <c r="E168">
        <f>VLOOKUP(B168, Menu!$A:$F, 5, 0)</f>
        <v>74.069999999999993</v>
      </c>
      <c r="F168" t="str">
        <f>VLOOKUP(B168, Menu!$A:$F, 3, 0)</f>
        <v>Hot Meal</v>
      </c>
      <c r="G168" s="5">
        <f>VLOOKUP(A168, Orders!$A:$B, 2, 0)</f>
        <v>45887.249259259261</v>
      </c>
      <c r="H168" t="str">
        <f>VLOOKUP(A168, Orders!$A:$C, 3, 0)</f>
        <v>Plant 2 Canteen</v>
      </c>
    </row>
    <row r="169" spans="1:8" x14ac:dyDescent="0.3">
      <c r="A169" t="s">
        <v>105</v>
      </c>
      <c r="B169" t="s">
        <v>419</v>
      </c>
      <c r="C169">
        <v>1</v>
      </c>
      <c r="D169">
        <f>VLOOKUP(B169, Menu!$A:$F, 6, 0)</f>
        <v>50.19</v>
      </c>
      <c r="E169">
        <f>VLOOKUP(B169, Menu!$A:$F, 5, 0)</f>
        <v>22.61</v>
      </c>
      <c r="F169" t="str">
        <f>VLOOKUP(B169, Menu!$A:$F, 3, 0)</f>
        <v>Snack</v>
      </c>
      <c r="G169" s="5">
        <f>VLOOKUP(A169, Orders!$A:$B, 2, 0)</f>
        <v>45887.249259259261</v>
      </c>
      <c r="H169" t="str">
        <f>VLOOKUP(A169, Orders!$A:$C, 3, 0)</f>
        <v>Plant 2 Canteen</v>
      </c>
    </row>
    <row r="170" spans="1:8" x14ac:dyDescent="0.3">
      <c r="A170" t="s">
        <v>105</v>
      </c>
      <c r="B170" t="s">
        <v>402</v>
      </c>
      <c r="C170">
        <v>1</v>
      </c>
      <c r="D170">
        <f>VLOOKUP(B170, Menu!$A:$F, 6, 0)</f>
        <v>30.34</v>
      </c>
      <c r="E170">
        <f>VLOOKUP(B170, Menu!$A:$F, 5, 0)</f>
        <v>14.18</v>
      </c>
      <c r="F170" t="str">
        <f>VLOOKUP(B170, Menu!$A:$F, 3, 0)</f>
        <v>Beverage</v>
      </c>
      <c r="G170" s="5">
        <f>VLOOKUP(A170, Orders!$A:$B, 2, 0)</f>
        <v>45887.249259259261</v>
      </c>
      <c r="H170" t="str">
        <f>VLOOKUP(A170, Orders!$A:$C, 3, 0)</f>
        <v>Plant 2 Canteen</v>
      </c>
    </row>
    <row r="171" spans="1:8" x14ac:dyDescent="0.3">
      <c r="A171" t="s">
        <v>105</v>
      </c>
      <c r="B171" t="s">
        <v>417</v>
      </c>
      <c r="C171">
        <v>1</v>
      </c>
      <c r="D171">
        <f>VLOOKUP(B171, Menu!$A:$F, 6, 0)</f>
        <v>146.4</v>
      </c>
      <c r="E171">
        <f>VLOOKUP(B171, Menu!$A:$F, 5, 0)</f>
        <v>80.92</v>
      </c>
      <c r="F171" t="str">
        <f>VLOOKUP(B171, Menu!$A:$F, 3, 0)</f>
        <v>Hot Meal</v>
      </c>
      <c r="G171" s="5">
        <f>VLOOKUP(A171, Orders!$A:$B, 2, 0)</f>
        <v>45887.249259259261</v>
      </c>
      <c r="H171" t="str">
        <f>VLOOKUP(A171, Orders!$A:$C, 3, 0)</f>
        <v>Plant 2 Canteen</v>
      </c>
    </row>
    <row r="172" spans="1:8" x14ac:dyDescent="0.3">
      <c r="A172" t="s">
        <v>106</v>
      </c>
      <c r="B172" t="s">
        <v>407</v>
      </c>
      <c r="C172">
        <v>3</v>
      </c>
      <c r="D172">
        <f>VLOOKUP(B172, Menu!$A:$F, 6, 0)</f>
        <v>246.09</v>
      </c>
      <c r="E172">
        <f>VLOOKUP(B172, Menu!$A:$F, 5, 0)</f>
        <v>112.08</v>
      </c>
      <c r="F172" t="str">
        <f>VLOOKUP(B172, Menu!$A:$F, 3, 0)</f>
        <v>Hot Meal</v>
      </c>
      <c r="G172" s="5">
        <f>VLOOKUP(A172, Orders!$A:$B, 2, 0)</f>
        <v>45849.598599537043</v>
      </c>
      <c r="H172" t="str">
        <f>VLOOKUP(A172, Orders!$A:$C, 3, 0)</f>
        <v>Plant 2 Canteen</v>
      </c>
    </row>
    <row r="173" spans="1:8" x14ac:dyDescent="0.3">
      <c r="A173" t="s">
        <v>106</v>
      </c>
      <c r="B173" t="s">
        <v>415</v>
      </c>
      <c r="C173">
        <v>2</v>
      </c>
      <c r="D173">
        <f>VLOOKUP(B173, Menu!$A:$F, 6, 0)</f>
        <v>256.91000000000003</v>
      </c>
      <c r="E173">
        <f>VLOOKUP(B173, Menu!$A:$F, 5, 0)</f>
        <v>121.24</v>
      </c>
      <c r="F173" t="str">
        <f>VLOOKUP(B173, Menu!$A:$F, 3, 0)</f>
        <v>Hot Meal</v>
      </c>
      <c r="G173" s="5">
        <f>VLOOKUP(A173, Orders!$A:$B, 2, 0)</f>
        <v>45849.598599537043</v>
      </c>
      <c r="H173" t="str">
        <f>VLOOKUP(A173, Orders!$A:$C, 3, 0)</f>
        <v>Plant 2 Canteen</v>
      </c>
    </row>
    <row r="174" spans="1:8" x14ac:dyDescent="0.3">
      <c r="A174" t="s">
        <v>106</v>
      </c>
      <c r="B174" t="s">
        <v>408</v>
      </c>
      <c r="C174">
        <v>2</v>
      </c>
      <c r="D174">
        <f>VLOOKUP(B174, Menu!$A:$F, 6, 0)</f>
        <v>70.540000000000006</v>
      </c>
      <c r="E174">
        <f>VLOOKUP(B174, Menu!$A:$F, 5, 0)</f>
        <v>35.81</v>
      </c>
      <c r="F174" t="str">
        <f>VLOOKUP(B174, Menu!$A:$F, 3, 0)</f>
        <v>Snack</v>
      </c>
      <c r="G174" s="5">
        <f>VLOOKUP(A174, Orders!$A:$B, 2, 0)</f>
        <v>45849.598599537043</v>
      </c>
      <c r="H174" t="str">
        <f>VLOOKUP(A174, Orders!$A:$C, 3, 0)</f>
        <v>Plant 2 Canteen</v>
      </c>
    </row>
    <row r="175" spans="1:8" x14ac:dyDescent="0.3">
      <c r="A175" t="s">
        <v>106</v>
      </c>
      <c r="B175" t="s">
        <v>417</v>
      </c>
      <c r="C175">
        <v>1</v>
      </c>
      <c r="D175">
        <f>VLOOKUP(B175, Menu!$A:$F, 6, 0)</f>
        <v>146.4</v>
      </c>
      <c r="E175">
        <f>VLOOKUP(B175, Menu!$A:$F, 5, 0)</f>
        <v>80.92</v>
      </c>
      <c r="F175" t="str">
        <f>VLOOKUP(B175, Menu!$A:$F, 3, 0)</f>
        <v>Hot Meal</v>
      </c>
      <c r="G175" s="5">
        <f>VLOOKUP(A175, Orders!$A:$B, 2, 0)</f>
        <v>45849.598599537043</v>
      </c>
      <c r="H175" t="str">
        <f>VLOOKUP(A175, Orders!$A:$C, 3, 0)</f>
        <v>Plant 2 Canteen</v>
      </c>
    </row>
    <row r="176" spans="1:8" x14ac:dyDescent="0.3">
      <c r="A176" t="s">
        <v>107</v>
      </c>
      <c r="B176" t="s">
        <v>410</v>
      </c>
      <c r="C176">
        <v>3</v>
      </c>
      <c r="D176">
        <f>VLOOKUP(B176, Menu!$A:$F, 6, 0)</f>
        <v>20.11</v>
      </c>
      <c r="E176">
        <f>VLOOKUP(B176, Menu!$A:$F, 5, 0)</f>
        <v>8</v>
      </c>
      <c r="F176" t="str">
        <f>VLOOKUP(B176, Menu!$A:$F, 3, 0)</f>
        <v>Beverage</v>
      </c>
      <c r="G176" s="5">
        <f>VLOOKUP(A176, Orders!$A:$B, 2, 0)</f>
        <v>45884.353310185194</v>
      </c>
      <c r="H176" t="str">
        <f>VLOOKUP(A176, Orders!$A:$C, 3, 0)</f>
        <v>Plant 1 Canteen</v>
      </c>
    </row>
    <row r="177" spans="1:8" x14ac:dyDescent="0.3">
      <c r="A177" t="s">
        <v>108</v>
      </c>
      <c r="B177" t="s">
        <v>405</v>
      </c>
      <c r="C177">
        <v>1</v>
      </c>
      <c r="D177">
        <f>VLOOKUP(B177, Menu!$A:$F, 6, 0)</f>
        <v>170.83</v>
      </c>
      <c r="E177">
        <f>VLOOKUP(B177, Menu!$A:$F, 5, 0)</f>
        <v>74.069999999999993</v>
      </c>
      <c r="F177" t="str">
        <f>VLOOKUP(B177, Menu!$A:$F, 3, 0)</f>
        <v>Hot Meal</v>
      </c>
      <c r="G177" s="5">
        <f>VLOOKUP(A177, Orders!$A:$B, 2, 0)</f>
        <v>45883.568043981482</v>
      </c>
      <c r="H177" t="str">
        <f>VLOOKUP(A177, Orders!$A:$C, 3, 0)</f>
        <v>Plant 1 Canteen</v>
      </c>
    </row>
    <row r="178" spans="1:8" x14ac:dyDescent="0.3">
      <c r="A178" t="s">
        <v>108</v>
      </c>
      <c r="B178" t="s">
        <v>403</v>
      </c>
      <c r="C178">
        <v>2</v>
      </c>
      <c r="D178">
        <f>VLOOKUP(B178, Menu!$A:$F, 6, 0)</f>
        <v>76.55</v>
      </c>
      <c r="E178">
        <f>VLOOKUP(B178, Menu!$A:$F, 5, 0)</f>
        <v>38.229999999999997</v>
      </c>
      <c r="F178" t="str">
        <f>VLOOKUP(B178, Menu!$A:$F, 3, 0)</f>
        <v>Dessert</v>
      </c>
      <c r="G178" s="5">
        <f>VLOOKUP(A178, Orders!$A:$B, 2, 0)</f>
        <v>45883.568043981482</v>
      </c>
      <c r="H178" t="str">
        <f>VLOOKUP(A178, Orders!$A:$C, 3, 0)</f>
        <v>Plant 1 Canteen</v>
      </c>
    </row>
    <row r="179" spans="1:8" x14ac:dyDescent="0.3">
      <c r="A179" t="s">
        <v>109</v>
      </c>
      <c r="B179" t="s">
        <v>405</v>
      </c>
      <c r="C179">
        <v>2</v>
      </c>
      <c r="D179">
        <f>VLOOKUP(B179, Menu!$A:$F, 6, 0)</f>
        <v>170.83</v>
      </c>
      <c r="E179">
        <f>VLOOKUP(B179, Menu!$A:$F, 5, 0)</f>
        <v>74.069999999999993</v>
      </c>
      <c r="F179" t="str">
        <f>VLOOKUP(B179, Menu!$A:$F, 3, 0)</f>
        <v>Hot Meal</v>
      </c>
      <c r="G179" s="5">
        <f>VLOOKUP(A179, Orders!$A:$B, 2, 0)</f>
        <v>45893.516261574077</v>
      </c>
      <c r="H179" t="str">
        <f>VLOOKUP(A179, Orders!$A:$C, 3, 0)</f>
        <v>Head Office Café</v>
      </c>
    </row>
    <row r="180" spans="1:8" x14ac:dyDescent="0.3">
      <c r="A180" t="s">
        <v>109</v>
      </c>
      <c r="B180" t="s">
        <v>402</v>
      </c>
      <c r="C180">
        <v>1</v>
      </c>
      <c r="D180">
        <f>VLOOKUP(B180, Menu!$A:$F, 6, 0)</f>
        <v>30.34</v>
      </c>
      <c r="E180">
        <f>VLOOKUP(B180, Menu!$A:$F, 5, 0)</f>
        <v>14.18</v>
      </c>
      <c r="F180" t="str">
        <f>VLOOKUP(B180, Menu!$A:$F, 3, 0)</f>
        <v>Beverage</v>
      </c>
      <c r="G180" s="5">
        <f>VLOOKUP(A180, Orders!$A:$B, 2, 0)</f>
        <v>45893.516261574077</v>
      </c>
      <c r="H180" t="str">
        <f>VLOOKUP(A180, Orders!$A:$C, 3, 0)</f>
        <v>Head Office Café</v>
      </c>
    </row>
    <row r="181" spans="1:8" x14ac:dyDescent="0.3">
      <c r="A181" t="s">
        <v>109</v>
      </c>
      <c r="B181" t="s">
        <v>409</v>
      </c>
      <c r="C181">
        <v>1</v>
      </c>
      <c r="D181">
        <f>VLOOKUP(B181, Menu!$A:$F, 6, 0)</f>
        <v>28.43</v>
      </c>
      <c r="E181">
        <f>VLOOKUP(B181, Menu!$A:$F, 5, 0)</f>
        <v>13.89</v>
      </c>
      <c r="F181" t="str">
        <f>VLOOKUP(B181, Menu!$A:$F, 3, 0)</f>
        <v>Beverage</v>
      </c>
      <c r="G181" s="5">
        <f>VLOOKUP(A181, Orders!$A:$B, 2, 0)</f>
        <v>45893.516261574077</v>
      </c>
      <c r="H181" t="str">
        <f>VLOOKUP(A181, Orders!$A:$C, 3, 0)</f>
        <v>Head Office Café</v>
      </c>
    </row>
    <row r="182" spans="1:8" x14ac:dyDescent="0.3">
      <c r="A182" t="s">
        <v>110</v>
      </c>
      <c r="B182" t="s">
        <v>419</v>
      </c>
      <c r="C182">
        <v>2</v>
      </c>
      <c r="D182">
        <f>VLOOKUP(B182, Menu!$A:$F, 6, 0)</f>
        <v>50.19</v>
      </c>
      <c r="E182">
        <f>VLOOKUP(B182, Menu!$A:$F, 5, 0)</f>
        <v>22.61</v>
      </c>
      <c r="F182" t="str">
        <f>VLOOKUP(B182, Menu!$A:$F, 3, 0)</f>
        <v>Snack</v>
      </c>
      <c r="G182" s="5">
        <f>VLOOKUP(A182, Orders!$A:$B, 2, 0)</f>
        <v>45880.68240740741</v>
      </c>
      <c r="H182" t="str">
        <f>VLOOKUP(A182, Orders!$A:$C, 3, 0)</f>
        <v>Head Office Café</v>
      </c>
    </row>
    <row r="183" spans="1:8" x14ac:dyDescent="0.3">
      <c r="A183" t="s">
        <v>111</v>
      </c>
      <c r="B183" t="s">
        <v>411</v>
      </c>
      <c r="C183">
        <v>1</v>
      </c>
      <c r="D183">
        <f>VLOOKUP(B183, Menu!$A:$F, 6, 0)</f>
        <v>22.2</v>
      </c>
      <c r="E183">
        <f>VLOOKUP(B183, Menu!$A:$F, 5, 0)</f>
        <v>9.3800000000000008</v>
      </c>
      <c r="F183" t="str">
        <f>VLOOKUP(B183, Menu!$A:$F, 3, 0)</f>
        <v>Beverage</v>
      </c>
      <c r="G183" s="5">
        <f>VLOOKUP(A183, Orders!$A:$B, 2, 0)</f>
        <v>45882.947430555563</v>
      </c>
      <c r="H183" t="str">
        <f>VLOOKUP(A183, Orders!$A:$C, 3, 0)</f>
        <v>Plant 2 Canteen</v>
      </c>
    </row>
    <row r="184" spans="1:8" x14ac:dyDescent="0.3">
      <c r="A184" t="s">
        <v>111</v>
      </c>
      <c r="B184" t="s">
        <v>401</v>
      </c>
      <c r="C184">
        <v>1</v>
      </c>
      <c r="D184">
        <f>VLOOKUP(B184, Menu!$A:$F, 6, 0)</f>
        <v>52.45</v>
      </c>
      <c r="E184">
        <f>VLOOKUP(B184, Menu!$A:$F, 5, 0)</f>
        <v>25.8</v>
      </c>
      <c r="F184" t="str">
        <f>VLOOKUP(B184, Menu!$A:$F, 3, 0)</f>
        <v>Snack</v>
      </c>
      <c r="G184" s="5">
        <f>VLOOKUP(A184, Orders!$A:$B, 2, 0)</f>
        <v>45882.947430555563</v>
      </c>
      <c r="H184" t="str">
        <f>VLOOKUP(A184, Orders!$A:$C, 3, 0)</f>
        <v>Plant 2 Canteen</v>
      </c>
    </row>
    <row r="185" spans="1:8" x14ac:dyDescent="0.3">
      <c r="A185" t="s">
        <v>111</v>
      </c>
      <c r="B185" t="s">
        <v>408</v>
      </c>
      <c r="C185">
        <v>2</v>
      </c>
      <c r="D185">
        <f>VLOOKUP(B185, Menu!$A:$F, 6, 0)</f>
        <v>70.540000000000006</v>
      </c>
      <c r="E185">
        <f>VLOOKUP(B185, Menu!$A:$F, 5, 0)</f>
        <v>35.81</v>
      </c>
      <c r="F185" t="str">
        <f>VLOOKUP(B185, Menu!$A:$F, 3, 0)</f>
        <v>Snack</v>
      </c>
      <c r="G185" s="5">
        <f>VLOOKUP(A185, Orders!$A:$B, 2, 0)</f>
        <v>45882.947430555563</v>
      </c>
      <c r="H185" t="str">
        <f>VLOOKUP(A185, Orders!$A:$C, 3, 0)</f>
        <v>Plant 2 Canteen</v>
      </c>
    </row>
    <row r="186" spans="1:8" x14ac:dyDescent="0.3">
      <c r="A186" t="s">
        <v>111</v>
      </c>
      <c r="B186" t="s">
        <v>416</v>
      </c>
      <c r="C186">
        <v>3</v>
      </c>
      <c r="D186">
        <f>VLOOKUP(B186, Menu!$A:$F, 6, 0)</f>
        <v>227.61</v>
      </c>
      <c r="E186">
        <f>VLOOKUP(B186, Menu!$A:$F, 5, 0)</f>
        <v>96.22</v>
      </c>
      <c r="F186" t="str">
        <f>VLOOKUP(B186, Menu!$A:$F, 3, 0)</f>
        <v>Hot Meal</v>
      </c>
      <c r="G186" s="5">
        <f>VLOOKUP(A186, Orders!$A:$B, 2, 0)</f>
        <v>45882.947430555563</v>
      </c>
      <c r="H186" t="str">
        <f>VLOOKUP(A186, Orders!$A:$C, 3, 0)</f>
        <v>Plant 2 Canteen</v>
      </c>
    </row>
    <row r="187" spans="1:8" x14ac:dyDescent="0.3">
      <c r="A187" t="s">
        <v>112</v>
      </c>
      <c r="B187" t="s">
        <v>409</v>
      </c>
      <c r="C187">
        <v>2</v>
      </c>
      <c r="D187">
        <f>VLOOKUP(B187, Menu!$A:$F, 6, 0)</f>
        <v>28.43</v>
      </c>
      <c r="E187">
        <f>VLOOKUP(B187, Menu!$A:$F, 5, 0)</f>
        <v>13.89</v>
      </c>
      <c r="F187" t="str">
        <f>VLOOKUP(B187, Menu!$A:$F, 3, 0)</f>
        <v>Beverage</v>
      </c>
      <c r="G187" s="5">
        <f>VLOOKUP(A187, Orders!$A:$B, 2, 0)</f>
        <v>45889.863182870373</v>
      </c>
      <c r="H187" t="str">
        <f>VLOOKUP(A187, Orders!$A:$C, 3, 0)</f>
        <v>Plant 2 Canteen</v>
      </c>
    </row>
    <row r="188" spans="1:8" x14ac:dyDescent="0.3">
      <c r="A188" t="s">
        <v>112</v>
      </c>
      <c r="B188" t="s">
        <v>417</v>
      </c>
      <c r="C188">
        <v>2</v>
      </c>
      <c r="D188">
        <f>VLOOKUP(B188, Menu!$A:$F, 6, 0)</f>
        <v>146.4</v>
      </c>
      <c r="E188">
        <f>VLOOKUP(B188, Menu!$A:$F, 5, 0)</f>
        <v>80.92</v>
      </c>
      <c r="F188" t="str">
        <f>VLOOKUP(B188, Menu!$A:$F, 3, 0)</f>
        <v>Hot Meal</v>
      </c>
      <c r="G188" s="5">
        <f>VLOOKUP(A188, Orders!$A:$B, 2, 0)</f>
        <v>45889.863182870373</v>
      </c>
      <c r="H188" t="str">
        <f>VLOOKUP(A188, Orders!$A:$C, 3, 0)</f>
        <v>Plant 2 Canteen</v>
      </c>
    </row>
    <row r="189" spans="1:8" x14ac:dyDescent="0.3">
      <c r="A189" t="s">
        <v>112</v>
      </c>
      <c r="B189" t="s">
        <v>406</v>
      </c>
      <c r="C189">
        <v>2</v>
      </c>
      <c r="D189">
        <f>VLOOKUP(B189, Menu!$A:$F, 6, 0)</f>
        <v>38.06</v>
      </c>
      <c r="E189">
        <f>VLOOKUP(B189, Menu!$A:$F, 5, 0)</f>
        <v>19.55</v>
      </c>
      <c r="F189" t="str">
        <f>VLOOKUP(B189, Menu!$A:$F, 3, 0)</f>
        <v>Snack</v>
      </c>
      <c r="G189" s="5">
        <f>VLOOKUP(A189, Orders!$A:$B, 2, 0)</f>
        <v>45889.863182870373</v>
      </c>
      <c r="H189" t="str">
        <f>VLOOKUP(A189, Orders!$A:$C, 3, 0)</f>
        <v>Plant 2 Canteen</v>
      </c>
    </row>
    <row r="190" spans="1:8" x14ac:dyDescent="0.3">
      <c r="A190" t="s">
        <v>112</v>
      </c>
      <c r="B190" t="s">
        <v>418</v>
      </c>
      <c r="C190">
        <v>3</v>
      </c>
      <c r="D190">
        <f>VLOOKUP(B190, Menu!$A:$F, 6, 0)</f>
        <v>39.950000000000003</v>
      </c>
      <c r="E190">
        <f>VLOOKUP(B190, Menu!$A:$F, 5, 0)</f>
        <v>15.51</v>
      </c>
      <c r="F190" t="str">
        <f>VLOOKUP(B190, Menu!$A:$F, 3, 0)</f>
        <v>Snack</v>
      </c>
      <c r="G190" s="5">
        <f>VLOOKUP(A190, Orders!$A:$B, 2, 0)</f>
        <v>45889.863182870373</v>
      </c>
      <c r="H190" t="str">
        <f>VLOOKUP(A190, Orders!$A:$C, 3, 0)</f>
        <v>Plant 2 Canteen</v>
      </c>
    </row>
    <row r="191" spans="1:8" x14ac:dyDescent="0.3">
      <c r="A191" t="s">
        <v>113</v>
      </c>
      <c r="B191" t="s">
        <v>413</v>
      </c>
      <c r="C191">
        <v>1</v>
      </c>
      <c r="D191">
        <f>VLOOKUP(B191, Menu!$A:$F, 6, 0)</f>
        <v>54.2</v>
      </c>
      <c r="E191">
        <f>VLOOKUP(B191, Menu!$A:$F, 5, 0)</f>
        <v>21.95</v>
      </c>
      <c r="F191" t="str">
        <f>VLOOKUP(B191, Menu!$A:$F, 3, 0)</f>
        <v>Dessert</v>
      </c>
      <c r="G191" s="5">
        <f>VLOOKUP(A191, Orders!$A:$B, 2, 0)</f>
        <v>45881.957384259258</v>
      </c>
      <c r="H191" t="str">
        <f>VLOOKUP(A191, Orders!$A:$C, 3, 0)</f>
        <v>Plant 1 Canteen</v>
      </c>
    </row>
    <row r="192" spans="1:8" x14ac:dyDescent="0.3">
      <c r="A192" t="s">
        <v>113</v>
      </c>
      <c r="B192" t="s">
        <v>419</v>
      </c>
      <c r="C192">
        <v>1</v>
      </c>
      <c r="D192">
        <f>VLOOKUP(B192, Menu!$A:$F, 6, 0)</f>
        <v>50.19</v>
      </c>
      <c r="E192">
        <f>VLOOKUP(B192, Menu!$A:$F, 5, 0)</f>
        <v>22.61</v>
      </c>
      <c r="F192" t="str">
        <f>VLOOKUP(B192, Menu!$A:$F, 3, 0)</f>
        <v>Snack</v>
      </c>
      <c r="G192" s="5">
        <f>VLOOKUP(A192, Orders!$A:$B, 2, 0)</f>
        <v>45881.957384259258</v>
      </c>
      <c r="H192" t="str">
        <f>VLOOKUP(A192, Orders!$A:$C, 3, 0)</f>
        <v>Plant 1 Canteen</v>
      </c>
    </row>
    <row r="193" spans="1:8" x14ac:dyDescent="0.3">
      <c r="A193" t="s">
        <v>113</v>
      </c>
      <c r="B193" t="s">
        <v>417</v>
      </c>
      <c r="C193">
        <v>2</v>
      </c>
      <c r="D193">
        <f>VLOOKUP(B193, Menu!$A:$F, 6, 0)</f>
        <v>146.4</v>
      </c>
      <c r="E193">
        <f>VLOOKUP(B193, Menu!$A:$F, 5, 0)</f>
        <v>80.92</v>
      </c>
      <c r="F193" t="str">
        <f>VLOOKUP(B193, Menu!$A:$F, 3, 0)</f>
        <v>Hot Meal</v>
      </c>
      <c r="G193" s="5">
        <f>VLOOKUP(A193, Orders!$A:$B, 2, 0)</f>
        <v>45881.957384259258</v>
      </c>
      <c r="H193" t="str">
        <f>VLOOKUP(A193, Orders!$A:$C, 3, 0)</f>
        <v>Plant 1 Canteen</v>
      </c>
    </row>
    <row r="194" spans="1:8" x14ac:dyDescent="0.3">
      <c r="A194" t="s">
        <v>114</v>
      </c>
      <c r="B194" t="s">
        <v>404</v>
      </c>
      <c r="C194">
        <v>1</v>
      </c>
      <c r="D194">
        <f>VLOOKUP(B194, Menu!$A:$F, 6, 0)</f>
        <v>32.979999999999997</v>
      </c>
      <c r="E194">
        <f>VLOOKUP(B194, Menu!$A:$F, 5, 0)</f>
        <v>11.84</v>
      </c>
      <c r="F194" t="str">
        <f>VLOOKUP(B194, Menu!$A:$F, 3, 0)</f>
        <v>Beverage</v>
      </c>
      <c r="G194" s="5">
        <f>VLOOKUP(A194, Orders!$A:$B, 2, 0)</f>
        <v>45865.630914351852</v>
      </c>
      <c r="H194" t="str">
        <f>VLOOKUP(A194, Orders!$A:$C, 3, 0)</f>
        <v>Plant 2 Canteen</v>
      </c>
    </row>
    <row r="195" spans="1:8" x14ac:dyDescent="0.3">
      <c r="A195" t="s">
        <v>114</v>
      </c>
      <c r="B195" t="s">
        <v>408</v>
      </c>
      <c r="C195">
        <v>1</v>
      </c>
      <c r="D195">
        <f>VLOOKUP(B195, Menu!$A:$F, 6, 0)</f>
        <v>70.540000000000006</v>
      </c>
      <c r="E195">
        <f>VLOOKUP(B195, Menu!$A:$F, 5, 0)</f>
        <v>35.81</v>
      </c>
      <c r="F195" t="str">
        <f>VLOOKUP(B195, Menu!$A:$F, 3, 0)</f>
        <v>Snack</v>
      </c>
      <c r="G195" s="5">
        <f>VLOOKUP(A195, Orders!$A:$B, 2, 0)</f>
        <v>45865.630914351852</v>
      </c>
      <c r="H195" t="str">
        <f>VLOOKUP(A195, Orders!$A:$C, 3, 0)</f>
        <v>Plant 2 Canteen</v>
      </c>
    </row>
    <row r="196" spans="1:8" x14ac:dyDescent="0.3">
      <c r="A196" t="s">
        <v>115</v>
      </c>
      <c r="B196" t="s">
        <v>419</v>
      </c>
      <c r="C196">
        <v>1</v>
      </c>
      <c r="D196">
        <f>VLOOKUP(B196, Menu!$A:$F, 6, 0)</f>
        <v>50.19</v>
      </c>
      <c r="E196">
        <f>VLOOKUP(B196, Menu!$A:$F, 5, 0)</f>
        <v>22.61</v>
      </c>
      <c r="F196" t="str">
        <f>VLOOKUP(B196, Menu!$A:$F, 3, 0)</f>
        <v>Snack</v>
      </c>
      <c r="G196" s="5">
        <f>VLOOKUP(A196, Orders!$A:$B, 2, 0)</f>
        <v>45852.68478009259</v>
      </c>
      <c r="H196" t="str">
        <f>VLOOKUP(A196, Orders!$A:$C, 3, 0)</f>
        <v>Plant 1 Canteen</v>
      </c>
    </row>
    <row r="197" spans="1:8" x14ac:dyDescent="0.3">
      <c r="A197" t="s">
        <v>115</v>
      </c>
      <c r="B197" t="s">
        <v>404</v>
      </c>
      <c r="C197">
        <v>3</v>
      </c>
      <c r="D197">
        <f>VLOOKUP(B197, Menu!$A:$F, 6, 0)</f>
        <v>32.979999999999997</v>
      </c>
      <c r="E197">
        <f>VLOOKUP(B197, Menu!$A:$F, 5, 0)</f>
        <v>11.84</v>
      </c>
      <c r="F197" t="str">
        <f>VLOOKUP(B197, Menu!$A:$F, 3, 0)</f>
        <v>Beverage</v>
      </c>
      <c r="G197" s="5">
        <f>VLOOKUP(A197, Orders!$A:$B, 2, 0)</f>
        <v>45852.68478009259</v>
      </c>
      <c r="H197" t="str">
        <f>VLOOKUP(A197, Orders!$A:$C, 3, 0)</f>
        <v>Plant 1 Canteen</v>
      </c>
    </row>
    <row r="198" spans="1:8" x14ac:dyDescent="0.3">
      <c r="A198" t="s">
        <v>116</v>
      </c>
      <c r="B198" t="s">
        <v>406</v>
      </c>
      <c r="C198">
        <v>1</v>
      </c>
      <c r="D198">
        <f>VLOOKUP(B198, Menu!$A:$F, 6, 0)</f>
        <v>38.06</v>
      </c>
      <c r="E198">
        <f>VLOOKUP(B198, Menu!$A:$F, 5, 0)</f>
        <v>19.55</v>
      </c>
      <c r="F198" t="str">
        <f>VLOOKUP(B198, Menu!$A:$F, 3, 0)</f>
        <v>Snack</v>
      </c>
      <c r="G198" s="5">
        <f>VLOOKUP(A198, Orders!$A:$B, 2, 0)</f>
        <v>45860.02275462963</v>
      </c>
      <c r="H198" t="str">
        <f>VLOOKUP(A198, Orders!$A:$C, 3, 0)</f>
        <v>Plant 1 Canteen</v>
      </c>
    </row>
    <row r="199" spans="1:8" x14ac:dyDescent="0.3">
      <c r="A199" t="s">
        <v>116</v>
      </c>
      <c r="B199" t="s">
        <v>409</v>
      </c>
      <c r="C199">
        <v>2</v>
      </c>
      <c r="D199">
        <f>VLOOKUP(B199, Menu!$A:$F, 6, 0)</f>
        <v>28.43</v>
      </c>
      <c r="E199">
        <f>VLOOKUP(B199, Menu!$A:$F, 5, 0)</f>
        <v>13.89</v>
      </c>
      <c r="F199" t="str">
        <f>VLOOKUP(B199, Menu!$A:$F, 3, 0)</f>
        <v>Beverage</v>
      </c>
      <c r="G199" s="5">
        <f>VLOOKUP(A199, Orders!$A:$B, 2, 0)</f>
        <v>45860.02275462963</v>
      </c>
      <c r="H199" t="str">
        <f>VLOOKUP(A199, Orders!$A:$C, 3, 0)</f>
        <v>Plant 1 Canteen</v>
      </c>
    </row>
    <row r="200" spans="1:8" x14ac:dyDescent="0.3">
      <c r="A200" t="s">
        <v>117</v>
      </c>
      <c r="B200" t="s">
        <v>411</v>
      </c>
      <c r="C200">
        <v>2</v>
      </c>
      <c r="D200">
        <f>VLOOKUP(B200, Menu!$A:$F, 6, 0)</f>
        <v>22.2</v>
      </c>
      <c r="E200">
        <f>VLOOKUP(B200, Menu!$A:$F, 5, 0)</f>
        <v>9.3800000000000008</v>
      </c>
      <c r="F200" t="str">
        <f>VLOOKUP(B200, Menu!$A:$F, 3, 0)</f>
        <v>Beverage</v>
      </c>
      <c r="G200" s="5">
        <f>VLOOKUP(A200, Orders!$A:$B, 2, 0)</f>
        <v>45891.932314814818</v>
      </c>
      <c r="H200" t="str">
        <f>VLOOKUP(A200, Orders!$A:$C, 3, 0)</f>
        <v>Plant 2 Canteen</v>
      </c>
    </row>
    <row r="201" spans="1:8" x14ac:dyDescent="0.3">
      <c r="A201" t="s">
        <v>117</v>
      </c>
      <c r="B201" t="s">
        <v>404</v>
      </c>
      <c r="C201">
        <v>2</v>
      </c>
      <c r="D201">
        <f>VLOOKUP(B201, Menu!$A:$F, 6, 0)</f>
        <v>32.979999999999997</v>
      </c>
      <c r="E201">
        <f>VLOOKUP(B201, Menu!$A:$F, 5, 0)</f>
        <v>11.84</v>
      </c>
      <c r="F201" t="str">
        <f>VLOOKUP(B201, Menu!$A:$F, 3, 0)</f>
        <v>Beverage</v>
      </c>
      <c r="G201" s="5">
        <f>VLOOKUP(A201, Orders!$A:$B, 2, 0)</f>
        <v>45891.932314814818</v>
      </c>
      <c r="H201" t="str">
        <f>VLOOKUP(A201, Orders!$A:$C, 3, 0)</f>
        <v>Plant 2 Canteen</v>
      </c>
    </row>
    <row r="202" spans="1:8" x14ac:dyDescent="0.3">
      <c r="A202" t="s">
        <v>117</v>
      </c>
      <c r="B202" t="s">
        <v>415</v>
      </c>
      <c r="C202">
        <v>1</v>
      </c>
      <c r="D202">
        <f>VLOOKUP(B202, Menu!$A:$F, 6, 0)</f>
        <v>256.91000000000003</v>
      </c>
      <c r="E202">
        <f>VLOOKUP(B202, Menu!$A:$F, 5, 0)</f>
        <v>121.24</v>
      </c>
      <c r="F202" t="str">
        <f>VLOOKUP(B202, Menu!$A:$F, 3, 0)</f>
        <v>Hot Meal</v>
      </c>
      <c r="G202" s="5">
        <f>VLOOKUP(A202, Orders!$A:$B, 2, 0)</f>
        <v>45891.932314814818</v>
      </c>
      <c r="H202" t="str">
        <f>VLOOKUP(A202, Orders!$A:$C, 3, 0)</f>
        <v>Plant 2 Canteen</v>
      </c>
    </row>
    <row r="203" spans="1:8" x14ac:dyDescent="0.3">
      <c r="A203" t="s">
        <v>117</v>
      </c>
      <c r="B203" t="s">
        <v>402</v>
      </c>
      <c r="C203">
        <v>2</v>
      </c>
      <c r="D203">
        <f>VLOOKUP(B203, Menu!$A:$F, 6, 0)</f>
        <v>30.34</v>
      </c>
      <c r="E203">
        <f>VLOOKUP(B203, Menu!$A:$F, 5, 0)</f>
        <v>14.18</v>
      </c>
      <c r="F203" t="str">
        <f>VLOOKUP(B203, Menu!$A:$F, 3, 0)</f>
        <v>Beverage</v>
      </c>
      <c r="G203" s="5">
        <f>VLOOKUP(A203, Orders!$A:$B, 2, 0)</f>
        <v>45891.932314814818</v>
      </c>
      <c r="H203" t="str">
        <f>VLOOKUP(A203, Orders!$A:$C, 3, 0)</f>
        <v>Plant 2 Canteen</v>
      </c>
    </row>
    <row r="204" spans="1:8" x14ac:dyDescent="0.3">
      <c r="A204" t="s">
        <v>118</v>
      </c>
      <c r="B204" t="s">
        <v>419</v>
      </c>
      <c r="C204">
        <v>1</v>
      </c>
      <c r="D204">
        <f>VLOOKUP(B204, Menu!$A:$F, 6, 0)</f>
        <v>50.19</v>
      </c>
      <c r="E204">
        <f>VLOOKUP(B204, Menu!$A:$F, 5, 0)</f>
        <v>22.61</v>
      </c>
      <c r="F204" t="str">
        <f>VLOOKUP(B204, Menu!$A:$F, 3, 0)</f>
        <v>Snack</v>
      </c>
      <c r="G204" s="5">
        <f>VLOOKUP(A204, Orders!$A:$B, 2, 0)</f>
        <v>45880.041886574072</v>
      </c>
      <c r="H204" t="str">
        <f>VLOOKUP(A204, Orders!$A:$C, 3, 0)</f>
        <v>Plant 2 Canteen</v>
      </c>
    </row>
    <row r="205" spans="1:8" x14ac:dyDescent="0.3">
      <c r="A205" t="s">
        <v>119</v>
      </c>
      <c r="B205" t="s">
        <v>418</v>
      </c>
      <c r="C205">
        <v>3</v>
      </c>
      <c r="D205">
        <f>VLOOKUP(B205, Menu!$A:$F, 6, 0)</f>
        <v>39.950000000000003</v>
      </c>
      <c r="E205">
        <f>VLOOKUP(B205, Menu!$A:$F, 5, 0)</f>
        <v>15.51</v>
      </c>
      <c r="F205" t="str">
        <f>VLOOKUP(B205, Menu!$A:$F, 3, 0)</f>
        <v>Snack</v>
      </c>
      <c r="G205" s="5">
        <f>VLOOKUP(A205, Orders!$A:$B, 2, 0)</f>
        <v>45895.14398148148</v>
      </c>
      <c r="H205" t="str">
        <f>VLOOKUP(A205, Orders!$A:$C, 3, 0)</f>
        <v>Plant 2 Canteen</v>
      </c>
    </row>
    <row r="206" spans="1:8" x14ac:dyDescent="0.3">
      <c r="A206" t="s">
        <v>120</v>
      </c>
      <c r="B206" t="s">
        <v>402</v>
      </c>
      <c r="C206">
        <v>1</v>
      </c>
      <c r="D206">
        <f>VLOOKUP(B206, Menu!$A:$F, 6, 0)</f>
        <v>30.34</v>
      </c>
      <c r="E206">
        <f>VLOOKUP(B206, Menu!$A:$F, 5, 0)</f>
        <v>14.18</v>
      </c>
      <c r="F206" t="str">
        <f>VLOOKUP(B206, Menu!$A:$F, 3, 0)</f>
        <v>Beverage</v>
      </c>
      <c r="G206" s="5">
        <f>VLOOKUP(A206, Orders!$A:$B, 2, 0)</f>
        <v>45868.242407407408</v>
      </c>
      <c r="H206" t="str">
        <f>VLOOKUP(A206, Orders!$A:$C, 3, 0)</f>
        <v>Plant 2 Canteen</v>
      </c>
    </row>
    <row r="207" spans="1:8" x14ac:dyDescent="0.3">
      <c r="A207" t="s">
        <v>120</v>
      </c>
      <c r="B207" t="s">
        <v>417</v>
      </c>
      <c r="C207">
        <v>2</v>
      </c>
      <c r="D207">
        <f>VLOOKUP(B207, Menu!$A:$F, 6, 0)</f>
        <v>146.4</v>
      </c>
      <c r="E207">
        <f>VLOOKUP(B207, Menu!$A:$F, 5, 0)</f>
        <v>80.92</v>
      </c>
      <c r="F207" t="str">
        <f>VLOOKUP(B207, Menu!$A:$F, 3, 0)</f>
        <v>Hot Meal</v>
      </c>
      <c r="G207" s="5">
        <f>VLOOKUP(A207, Orders!$A:$B, 2, 0)</f>
        <v>45868.242407407408</v>
      </c>
      <c r="H207" t="str">
        <f>VLOOKUP(A207, Orders!$A:$C, 3, 0)</f>
        <v>Plant 2 Canteen</v>
      </c>
    </row>
    <row r="208" spans="1:8" x14ac:dyDescent="0.3">
      <c r="A208" t="s">
        <v>121</v>
      </c>
      <c r="B208" t="s">
        <v>402</v>
      </c>
      <c r="C208">
        <v>1</v>
      </c>
      <c r="D208">
        <f>VLOOKUP(B208, Menu!$A:$F, 6, 0)</f>
        <v>30.34</v>
      </c>
      <c r="E208">
        <f>VLOOKUP(B208, Menu!$A:$F, 5, 0)</f>
        <v>14.18</v>
      </c>
      <c r="F208" t="str">
        <f>VLOOKUP(B208, Menu!$A:$F, 3, 0)</f>
        <v>Beverage</v>
      </c>
      <c r="G208" s="5">
        <f>VLOOKUP(A208, Orders!$A:$B, 2, 0)</f>
        <v>45897.820011574076</v>
      </c>
      <c r="H208" t="str">
        <f>VLOOKUP(A208, Orders!$A:$C, 3, 0)</f>
        <v>Plant 1 Canteen</v>
      </c>
    </row>
    <row r="209" spans="1:8" x14ac:dyDescent="0.3">
      <c r="A209" t="s">
        <v>121</v>
      </c>
      <c r="B209" t="s">
        <v>403</v>
      </c>
      <c r="C209">
        <v>2</v>
      </c>
      <c r="D209">
        <f>VLOOKUP(B209, Menu!$A:$F, 6, 0)</f>
        <v>76.55</v>
      </c>
      <c r="E209">
        <f>VLOOKUP(B209, Menu!$A:$F, 5, 0)</f>
        <v>38.229999999999997</v>
      </c>
      <c r="F209" t="str">
        <f>VLOOKUP(B209, Menu!$A:$F, 3, 0)</f>
        <v>Dessert</v>
      </c>
      <c r="G209" s="5">
        <f>VLOOKUP(A209, Orders!$A:$B, 2, 0)</f>
        <v>45897.820011574076</v>
      </c>
      <c r="H209" t="str">
        <f>VLOOKUP(A209, Orders!$A:$C, 3, 0)</f>
        <v>Plant 1 Canteen</v>
      </c>
    </row>
    <row r="210" spans="1:8" x14ac:dyDescent="0.3">
      <c r="A210" t="s">
        <v>121</v>
      </c>
      <c r="B210" t="s">
        <v>401</v>
      </c>
      <c r="C210">
        <v>1</v>
      </c>
      <c r="D210">
        <f>VLOOKUP(B210, Menu!$A:$F, 6, 0)</f>
        <v>52.45</v>
      </c>
      <c r="E210">
        <f>VLOOKUP(B210, Menu!$A:$F, 5, 0)</f>
        <v>25.8</v>
      </c>
      <c r="F210" t="str">
        <f>VLOOKUP(B210, Menu!$A:$F, 3, 0)</f>
        <v>Snack</v>
      </c>
      <c r="G210" s="5">
        <f>VLOOKUP(A210, Orders!$A:$B, 2, 0)</f>
        <v>45897.820011574076</v>
      </c>
      <c r="H210" t="str">
        <f>VLOOKUP(A210, Orders!$A:$C, 3, 0)</f>
        <v>Plant 1 Canteen</v>
      </c>
    </row>
    <row r="211" spans="1:8" x14ac:dyDescent="0.3">
      <c r="A211" t="s">
        <v>122</v>
      </c>
      <c r="B211" t="s">
        <v>413</v>
      </c>
      <c r="C211">
        <v>1</v>
      </c>
      <c r="D211">
        <f>VLOOKUP(B211, Menu!$A:$F, 6, 0)</f>
        <v>54.2</v>
      </c>
      <c r="E211">
        <f>VLOOKUP(B211, Menu!$A:$F, 5, 0)</f>
        <v>21.95</v>
      </c>
      <c r="F211" t="str">
        <f>VLOOKUP(B211, Menu!$A:$F, 3, 0)</f>
        <v>Dessert</v>
      </c>
      <c r="G211" s="5">
        <f>VLOOKUP(A211, Orders!$A:$B, 2, 0)</f>
        <v>45881.565474537027</v>
      </c>
      <c r="H211" t="str">
        <f>VLOOKUP(A211, Orders!$A:$C, 3, 0)</f>
        <v>Plant 2 Canteen</v>
      </c>
    </row>
    <row r="212" spans="1:8" x14ac:dyDescent="0.3">
      <c r="A212" t="s">
        <v>122</v>
      </c>
      <c r="B212" t="s">
        <v>419</v>
      </c>
      <c r="C212">
        <v>2</v>
      </c>
      <c r="D212">
        <f>VLOOKUP(B212, Menu!$A:$F, 6, 0)</f>
        <v>50.19</v>
      </c>
      <c r="E212">
        <f>VLOOKUP(B212, Menu!$A:$F, 5, 0)</f>
        <v>22.61</v>
      </c>
      <c r="F212" t="str">
        <f>VLOOKUP(B212, Menu!$A:$F, 3, 0)</f>
        <v>Snack</v>
      </c>
      <c r="G212" s="5">
        <f>VLOOKUP(A212, Orders!$A:$B, 2, 0)</f>
        <v>45881.565474537027</v>
      </c>
      <c r="H212" t="str">
        <f>VLOOKUP(A212, Orders!$A:$C, 3, 0)</f>
        <v>Plant 2 Canteen</v>
      </c>
    </row>
    <row r="213" spans="1:8" x14ac:dyDescent="0.3">
      <c r="A213" t="s">
        <v>123</v>
      </c>
      <c r="B213" t="s">
        <v>404</v>
      </c>
      <c r="C213">
        <v>1</v>
      </c>
      <c r="D213">
        <f>VLOOKUP(B213, Menu!$A:$F, 6, 0)</f>
        <v>32.979999999999997</v>
      </c>
      <c r="E213">
        <f>VLOOKUP(B213, Menu!$A:$F, 5, 0)</f>
        <v>11.84</v>
      </c>
      <c r="F213" t="str">
        <f>VLOOKUP(B213, Menu!$A:$F, 3, 0)</f>
        <v>Beverage</v>
      </c>
      <c r="G213" s="5">
        <f>VLOOKUP(A213, Orders!$A:$B, 2, 0)</f>
        <v>45878.505254629628</v>
      </c>
      <c r="H213" t="str">
        <f>VLOOKUP(A213, Orders!$A:$C, 3, 0)</f>
        <v>Head Office Café</v>
      </c>
    </row>
    <row r="214" spans="1:8" x14ac:dyDescent="0.3">
      <c r="A214" t="s">
        <v>123</v>
      </c>
      <c r="B214" t="s">
        <v>403</v>
      </c>
      <c r="C214">
        <v>2</v>
      </c>
      <c r="D214">
        <f>VLOOKUP(B214, Menu!$A:$F, 6, 0)</f>
        <v>76.55</v>
      </c>
      <c r="E214">
        <f>VLOOKUP(B214, Menu!$A:$F, 5, 0)</f>
        <v>38.229999999999997</v>
      </c>
      <c r="F214" t="str">
        <f>VLOOKUP(B214, Menu!$A:$F, 3, 0)</f>
        <v>Dessert</v>
      </c>
      <c r="G214" s="5">
        <f>VLOOKUP(A214, Orders!$A:$B, 2, 0)</f>
        <v>45878.505254629628</v>
      </c>
      <c r="H214" t="str">
        <f>VLOOKUP(A214, Orders!$A:$C, 3, 0)</f>
        <v>Head Office Café</v>
      </c>
    </row>
    <row r="215" spans="1:8" x14ac:dyDescent="0.3">
      <c r="A215" t="s">
        <v>124</v>
      </c>
      <c r="B215" t="s">
        <v>401</v>
      </c>
      <c r="C215">
        <v>2</v>
      </c>
      <c r="D215">
        <f>VLOOKUP(B215, Menu!$A:$F, 6, 0)</f>
        <v>52.45</v>
      </c>
      <c r="E215">
        <f>VLOOKUP(B215, Menu!$A:$F, 5, 0)</f>
        <v>25.8</v>
      </c>
      <c r="F215" t="str">
        <f>VLOOKUP(B215, Menu!$A:$F, 3, 0)</f>
        <v>Snack</v>
      </c>
      <c r="G215" s="5">
        <f>VLOOKUP(A215, Orders!$A:$B, 2, 0)</f>
        <v>45891.108252314807</v>
      </c>
      <c r="H215" t="str">
        <f>VLOOKUP(A215, Orders!$A:$C, 3, 0)</f>
        <v>Plant 1 Canteen</v>
      </c>
    </row>
    <row r="216" spans="1:8" x14ac:dyDescent="0.3">
      <c r="A216" t="s">
        <v>124</v>
      </c>
      <c r="B216" t="s">
        <v>411</v>
      </c>
      <c r="C216">
        <v>1</v>
      </c>
      <c r="D216">
        <f>VLOOKUP(B216, Menu!$A:$F, 6, 0)</f>
        <v>22.2</v>
      </c>
      <c r="E216">
        <f>VLOOKUP(B216, Menu!$A:$F, 5, 0)</f>
        <v>9.3800000000000008</v>
      </c>
      <c r="F216" t="str">
        <f>VLOOKUP(B216, Menu!$A:$F, 3, 0)</f>
        <v>Beverage</v>
      </c>
      <c r="G216" s="5">
        <f>VLOOKUP(A216, Orders!$A:$B, 2, 0)</f>
        <v>45891.108252314807</v>
      </c>
      <c r="H216" t="str">
        <f>VLOOKUP(A216, Orders!$A:$C, 3, 0)</f>
        <v>Plant 1 Canteen</v>
      </c>
    </row>
    <row r="217" spans="1:8" x14ac:dyDescent="0.3">
      <c r="A217" t="s">
        <v>124</v>
      </c>
      <c r="B217" t="s">
        <v>408</v>
      </c>
      <c r="C217">
        <v>2</v>
      </c>
      <c r="D217">
        <f>VLOOKUP(B217, Menu!$A:$F, 6, 0)</f>
        <v>70.540000000000006</v>
      </c>
      <c r="E217">
        <f>VLOOKUP(B217, Menu!$A:$F, 5, 0)</f>
        <v>35.81</v>
      </c>
      <c r="F217" t="str">
        <f>VLOOKUP(B217, Menu!$A:$F, 3, 0)</f>
        <v>Snack</v>
      </c>
      <c r="G217" s="5">
        <f>VLOOKUP(A217, Orders!$A:$B, 2, 0)</f>
        <v>45891.108252314807</v>
      </c>
      <c r="H217" t="str">
        <f>VLOOKUP(A217, Orders!$A:$C, 3, 0)</f>
        <v>Plant 1 Canteen</v>
      </c>
    </row>
    <row r="218" spans="1:8" x14ac:dyDescent="0.3">
      <c r="A218" t="s">
        <v>125</v>
      </c>
      <c r="B218" t="s">
        <v>416</v>
      </c>
      <c r="C218">
        <v>1</v>
      </c>
      <c r="D218">
        <f>VLOOKUP(B218, Menu!$A:$F, 6, 0)</f>
        <v>227.61</v>
      </c>
      <c r="E218">
        <f>VLOOKUP(B218, Menu!$A:$F, 5, 0)</f>
        <v>96.22</v>
      </c>
      <c r="F218" t="str">
        <f>VLOOKUP(B218, Menu!$A:$F, 3, 0)</f>
        <v>Hot Meal</v>
      </c>
      <c r="G218" s="5">
        <f>VLOOKUP(A218, Orders!$A:$B, 2, 0)</f>
        <v>45847.40048611111</v>
      </c>
      <c r="H218" t="str">
        <f>VLOOKUP(A218, Orders!$A:$C, 3, 0)</f>
        <v>Head Office Café</v>
      </c>
    </row>
    <row r="219" spans="1:8" x14ac:dyDescent="0.3">
      <c r="A219" t="s">
        <v>125</v>
      </c>
      <c r="B219" t="s">
        <v>403</v>
      </c>
      <c r="C219">
        <v>1</v>
      </c>
      <c r="D219">
        <f>VLOOKUP(B219, Menu!$A:$F, 6, 0)</f>
        <v>76.55</v>
      </c>
      <c r="E219">
        <f>VLOOKUP(B219, Menu!$A:$F, 5, 0)</f>
        <v>38.229999999999997</v>
      </c>
      <c r="F219" t="str">
        <f>VLOOKUP(B219, Menu!$A:$F, 3, 0)</f>
        <v>Dessert</v>
      </c>
      <c r="G219" s="5">
        <f>VLOOKUP(A219, Orders!$A:$B, 2, 0)</f>
        <v>45847.40048611111</v>
      </c>
      <c r="H219" t="str">
        <f>VLOOKUP(A219, Orders!$A:$C, 3, 0)</f>
        <v>Head Office Café</v>
      </c>
    </row>
    <row r="220" spans="1:8" x14ac:dyDescent="0.3">
      <c r="A220" t="s">
        <v>126</v>
      </c>
      <c r="B220" t="s">
        <v>418</v>
      </c>
      <c r="C220">
        <v>1</v>
      </c>
      <c r="D220">
        <f>VLOOKUP(B220, Menu!$A:$F, 6, 0)</f>
        <v>39.950000000000003</v>
      </c>
      <c r="E220">
        <f>VLOOKUP(B220, Menu!$A:$F, 5, 0)</f>
        <v>15.51</v>
      </c>
      <c r="F220" t="str">
        <f>VLOOKUP(B220, Menu!$A:$F, 3, 0)</f>
        <v>Snack</v>
      </c>
      <c r="G220" s="5">
        <f>VLOOKUP(A220, Orders!$A:$B, 2, 0)</f>
        <v>45856.894131944442</v>
      </c>
      <c r="H220" t="str">
        <f>VLOOKUP(A220, Orders!$A:$C, 3, 0)</f>
        <v>Plant 1 Canteen</v>
      </c>
    </row>
    <row r="221" spans="1:8" x14ac:dyDescent="0.3">
      <c r="A221" t="s">
        <v>126</v>
      </c>
      <c r="B221" t="s">
        <v>415</v>
      </c>
      <c r="C221">
        <v>2</v>
      </c>
      <c r="D221">
        <f>VLOOKUP(B221, Menu!$A:$F, 6, 0)</f>
        <v>256.91000000000003</v>
      </c>
      <c r="E221">
        <f>VLOOKUP(B221, Menu!$A:$F, 5, 0)</f>
        <v>121.24</v>
      </c>
      <c r="F221" t="str">
        <f>VLOOKUP(B221, Menu!$A:$F, 3, 0)</f>
        <v>Hot Meal</v>
      </c>
      <c r="G221" s="5">
        <f>VLOOKUP(A221, Orders!$A:$B, 2, 0)</f>
        <v>45856.894131944442</v>
      </c>
      <c r="H221" t="str">
        <f>VLOOKUP(A221, Orders!$A:$C, 3, 0)</f>
        <v>Plant 1 Canteen</v>
      </c>
    </row>
    <row r="222" spans="1:8" x14ac:dyDescent="0.3">
      <c r="A222" t="s">
        <v>126</v>
      </c>
      <c r="B222" t="s">
        <v>401</v>
      </c>
      <c r="C222">
        <v>2</v>
      </c>
      <c r="D222">
        <f>VLOOKUP(B222, Menu!$A:$F, 6, 0)</f>
        <v>52.45</v>
      </c>
      <c r="E222">
        <f>VLOOKUP(B222, Menu!$A:$F, 5, 0)</f>
        <v>25.8</v>
      </c>
      <c r="F222" t="str">
        <f>VLOOKUP(B222, Menu!$A:$F, 3, 0)</f>
        <v>Snack</v>
      </c>
      <c r="G222" s="5">
        <f>VLOOKUP(A222, Orders!$A:$B, 2, 0)</f>
        <v>45856.894131944442</v>
      </c>
      <c r="H222" t="str">
        <f>VLOOKUP(A222, Orders!$A:$C, 3, 0)</f>
        <v>Plant 1 Canteen</v>
      </c>
    </row>
    <row r="223" spans="1:8" x14ac:dyDescent="0.3">
      <c r="A223" t="s">
        <v>127</v>
      </c>
      <c r="B223" t="s">
        <v>416</v>
      </c>
      <c r="C223">
        <v>3</v>
      </c>
      <c r="D223">
        <f>VLOOKUP(B223, Menu!$A:$F, 6, 0)</f>
        <v>227.61</v>
      </c>
      <c r="E223">
        <f>VLOOKUP(B223, Menu!$A:$F, 5, 0)</f>
        <v>96.22</v>
      </c>
      <c r="F223" t="str">
        <f>VLOOKUP(B223, Menu!$A:$F, 3, 0)</f>
        <v>Hot Meal</v>
      </c>
      <c r="G223" s="5">
        <f>VLOOKUP(A223, Orders!$A:$B, 2, 0)</f>
        <v>45859.800173611111</v>
      </c>
      <c r="H223" t="str">
        <f>VLOOKUP(A223, Orders!$A:$C, 3, 0)</f>
        <v>Plant 2 Canteen</v>
      </c>
    </row>
    <row r="224" spans="1:8" x14ac:dyDescent="0.3">
      <c r="A224" t="s">
        <v>127</v>
      </c>
      <c r="B224" t="s">
        <v>404</v>
      </c>
      <c r="C224">
        <v>1</v>
      </c>
      <c r="D224">
        <f>VLOOKUP(B224, Menu!$A:$F, 6, 0)</f>
        <v>32.979999999999997</v>
      </c>
      <c r="E224">
        <f>VLOOKUP(B224, Menu!$A:$F, 5, 0)</f>
        <v>11.84</v>
      </c>
      <c r="F224" t="str">
        <f>VLOOKUP(B224, Menu!$A:$F, 3, 0)</f>
        <v>Beverage</v>
      </c>
      <c r="G224" s="5">
        <f>VLOOKUP(A224, Orders!$A:$B, 2, 0)</f>
        <v>45859.800173611111</v>
      </c>
      <c r="H224" t="str">
        <f>VLOOKUP(A224, Orders!$A:$C, 3, 0)</f>
        <v>Plant 2 Canteen</v>
      </c>
    </row>
    <row r="225" spans="1:8" x14ac:dyDescent="0.3">
      <c r="A225" t="s">
        <v>127</v>
      </c>
      <c r="B225" t="s">
        <v>411</v>
      </c>
      <c r="C225">
        <v>2</v>
      </c>
      <c r="D225">
        <f>VLOOKUP(B225, Menu!$A:$F, 6, 0)</f>
        <v>22.2</v>
      </c>
      <c r="E225">
        <f>VLOOKUP(B225, Menu!$A:$F, 5, 0)</f>
        <v>9.3800000000000008</v>
      </c>
      <c r="F225" t="str">
        <f>VLOOKUP(B225, Menu!$A:$F, 3, 0)</f>
        <v>Beverage</v>
      </c>
      <c r="G225" s="5">
        <f>VLOOKUP(A225, Orders!$A:$B, 2, 0)</f>
        <v>45859.800173611111</v>
      </c>
      <c r="H225" t="str">
        <f>VLOOKUP(A225, Orders!$A:$C, 3, 0)</f>
        <v>Plant 2 Canteen</v>
      </c>
    </row>
    <row r="226" spans="1:8" x14ac:dyDescent="0.3">
      <c r="A226" t="s">
        <v>128</v>
      </c>
      <c r="B226" t="s">
        <v>417</v>
      </c>
      <c r="C226">
        <v>2</v>
      </c>
      <c r="D226">
        <f>VLOOKUP(B226, Menu!$A:$F, 6, 0)</f>
        <v>146.4</v>
      </c>
      <c r="E226">
        <f>VLOOKUP(B226, Menu!$A:$F, 5, 0)</f>
        <v>80.92</v>
      </c>
      <c r="F226" t="str">
        <f>VLOOKUP(B226, Menu!$A:$F, 3, 0)</f>
        <v>Hot Meal</v>
      </c>
      <c r="G226" s="5">
        <f>VLOOKUP(A226, Orders!$A:$B, 2, 0)</f>
        <v>45866.266030092593</v>
      </c>
      <c r="H226" t="str">
        <f>VLOOKUP(A226, Orders!$A:$C, 3, 0)</f>
        <v>Plant 2 Canteen</v>
      </c>
    </row>
    <row r="227" spans="1:8" x14ac:dyDescent="0.3">
      <c r="A227" t="s">
        <v>129</v>
      </c>
      <c r="B227" t="s">
        <v>409</v>
      </c>
      <c r="C227">
        <v>2</v>
      </c>
      <c r="D227">
        <f>VLOOKUP(B227, Menu!$A:$F, 6, 0)</f>
        <v>28.43</v>
      </c>
      <c r="E227">
        <f>VLOOKUP(B227, Menu!$A:$F, 5, 0)</f>
        <v>13.89</v>
      </c>
      <c r="F227" t="str">
        <f>VLOOKUP(B227, Menu!$A:$F, 3, 0)</f>
        <v>Beverage</v>
      </c>
      <c r="G227" s="5">
        <f>VLOOKUP(A227, Orders!$A:$B, 2, 0)</f>
        <v>45841.131921296299</v>
      </c>
      <c r="H227" t="str">
        <f>VLOOKUP(A227, Orders!$A:$C, 3, 0)</f>
        <v>Head Office Café</v>
      </c>
    </row>
    <row r="228" spans="1:8" x14ac:dyDescent="0.3">
      <c r="A228" t="s">
        <v>129</v>
      </c>
      <c r="B228" t="s">
        <v>416</v>
      </c>
      <c r="C228">
        <v>2</v>
      </c>
      <c r="D228">
        <f>VLOOKUP(B228, Menu!$A:$F, 6, 0)</f>
        <v>227.61</v>
      </c>
      <c r="E228">
        <f>VLOOKUP(B228, Menu!$A:$F, 5, 0)</f>
        <v>96.22</v>
      </c>
      <c r="F228" t="str">
        <f>VLOOKUP(B228, Menu!$A:$F, 3, 0)</f>
        <v>Hot Meal</v>
      </c>
      <c r="G228" s="5">
        <f>VLOOKUP(A228, Orders!$A:$B, 2, 0)</f>
        <v>45841.131921296299</v>
      </c>
      <c r="H228" t="str">
        <f>VLOOKUP(A228, Orders!$A:$C, 3, 0)</f>
        <v>Head Office Café</v>
      </c>
    </row>
    <row r="229" spans="1:8" x14ac:dyDescent="0.3">
      <c r="A229" t="s">
        <v>129</v>
      </c>
      <c r="B229" t="s">
        <v>414</v>
      </c>
      <c r="C229">
        <v>2</v>
      </c>
      <c r="D229">
        <f>VLOOKUP(B229, Menu!$A:$F, 6, 0)</f>
        <v>116.8</v>
      </c>
      <c r="E229">
        <f>VLOOKUP(B229, Menu!$A:$F, 5, 0)</f>
        <v>48.97</v>
      </c>
      <c r="F229" t="str">
        <f>VLOOKUP(B229, Menu!$A:$F, 3, 0)</f>
        <v>Dessert</v>
      </c>
      <c r="G229" s="5">
        <f>VLOOKUP(A229, Orders!$A:$B, 2, 0)</f>
        <v>45841.131921296299</v>
      </c>
      <c r="H229" t="str">
        <f>VLOOKUP(A229, Orders!$A:$C, 3, 0)</f>
        <v>Head Office Café</v>
      </c>
    </row>
    <row r="230" spans="1:8" x14ac:dyDescent="0.3">
      <c r="A230" t="s">
        <v>130</v>
      </c>
      <c r="B230" t="s">
        <v>412</v>
      </c>
      <c r="C230">
        <v>2</v>
      </c>
      <c r="D230">
        <f>VLOOKUP(B230, Menu!$A:$F, 6, 0)</f>
        <v>57.07</v>
      </c>
      <c r="E230">
        <f>VLOOKUP(B230, Menu!$A:$F, 5, 0)</f>
        <v>29.14</v>
      </c>
      <c r="F230" t="str">
        <f>VLOOKUP(B230, Menu!$A:$F, 3, 0)</f>
        <v>Dessert</v>
      </c>
      <c r="G230" s="5">
        <f>VLOOKUP(A230, Orders!$A:$B, 2, 0)</f>
        <v>45861.019803240742</v>
      </c>
      <c r="H230" t="str">
        <f>VLOOKUP(A230, Orders!$A:$C, 3, 0)</f>
        <v>Head Office Café</v>
      </c>
    </row>
    <row r="231" spans="1:8" x14ac:dyDescent="0.3">
      <c r="A231" t="s">
        <v>130</v>
      </c>
      <c r="B231" t="s">
        <v>417</v>
      </c>
      <c r="C231">
        <v>2</v>
      </c>
      <c r="D231">
        <f>VLOOKUP(B231, Menu!$A:$F, 6, 0)</f>
        <v>146.4</v>
      </c>
      <c r="E231">
        <f>VLOOKUP(B231, Menu!$A:$F, 5, 0)</f>
        <v>80.92</v>
      </c>
      <c r="F231" t="str">
        <f>VLOOKUP(B231, Menu!$A:$F, 3, 0)</f>
        <v>Hot Meal</v>
      </c>
      <c r="G231" s="5">
        <f>VLOOKUP(A231, Orders!$A:$B, 2, 0)</f>
        <v>45861.019803240742</v>
      </c>
      <c r="H231" t="str">
        <f>VLOOKUP(A231, Orders!$A:$C, 3, 0)</f>
        <v>Head Office Café</v>
      </c>
    </row>
    <row r="232" spans="1:8" x14ac:dyDescent="0.3">
      <c r="A232" t="s">
        <v>131</v>
      </c>
      <c r="B232" t="s">
        <v>419</v>
      </c>
      <c r="C232">
        <v>1</v>
      </c>
      <c r="D232">
        <f>VLOOKUP(B232, Menu!$A:$F, 6, 0)</f>
        <v>50.19</v>
      </c>
      <c r="E232">
        <f>VLOOKUP(B232, Menu!$A:$F, 5, 0)</f>
        <v>22.61</v>
      </c>
      <c r="F232" t="str">
        <f>VLOOKUP(B232, Menu!$A:$F, 3, 0)</f>
        <v>Snack</v>
      </c>
      <c r="G232" s="5">
        <f>VLOOKUP(A232, Orders!$A:$B, 2, 0)</f>
        <v>45842.262708333343</v>
      </c>
      <c r="H232" t="str">
        <f>VLOOKUP(A232, Orders!$A:$C, 3, 0)</f>
        <v>Plant 1 Canteen</v>
      </c>
    </row>
    <row r="233" spans="1:8" x14ac:dyDescent="0.3">
      <c r="A233" t="s">
        <v>131</v>
      </c>
      <c r="B233" t="s">
        <v>414</v>
      </c>
      <c r="C233">
        <v>1</v>
      </c>
      <c r="D233">
        <f>VLOOKUP(B233, Menu!$A:$F, 6, 0)</f>
        <v>116.8</v>
      </c>
      <c r="E233">
        <f>VLOOKUP(B233, Menu!$A:$F, 5, 0)</f>
        <v>48.97</v>
      </c>
      <c r="F233" t="str">
        <f>VLOOKUP(B233, Menu!$A:$F, 3, 0)</f>
        <v>Dessert</v>
      </c>
      <c r="G233" s="5">
        <f>VLOOKUP(A233, Orders!$A:$B, 2, 0)</f>
        <v>45842.262708333343</v>
      </c>
      <c r="H233" t="str">
        <f>VLOOKUP(A233, Orders!$A:$C, 3, 0)</f>
        <v>Plant 1 Canteen</v>
      </c>
    </row>
    <row r="234" spans="1:8" x14ac:dyDescent="0.3">
      <c r="A234" t="s">
        <v>131</v>
      </c>
      <c r="B234" t="s">
        <v>409</v>
      </c>
      <c r="C234">
        <v>1</v>
      </c>
      <c r="D234">
        <f>VLOOKUP(B234, Menu!$A:$F, 6, 0)</f>
        <v>28.43</v>
      </c>
      <c r="E234">
        <f>VLOOKUP(B234, Menu!$A:$F, 5, 0)</f>
        <v>13.89</v>
      </c>
      <c r="F234" t="str">
        <f>VLOOKUP(B234, Menu!$A:$F, 3, 0)</f>
        <v>Beverage</v>
      </c>
      <c r="G234" s="5">
        <f>VLOOKUP(A234, Orders!$A:$B, 2, 0)</f>
        <v>45842.262708333343</v>
      </c>
      <c r="H234" t="str">
        <f>VLOOKUP(A234, Orders!$A:$C, 3, 0)</f>
        <v>Plant 1 Canteen</v>
      </c>
    </row>
    <row r="235" spans="1:8" x14ac:dyDescent="0.3">
      <c r="A235" t="s">
        <v>132</v>
      </c>
      <c r="B235" t="s">
        <v>418</v>
      </c>
      <c r="C235">
        <v>2</v>
      </c>
      <c r="D235">
        <f>VLOOKUP(B235, Menu!$A:$F, 6, 0)</f>
        <v>39.950000000000003</v>
      </c>
      <c r="E235">
        <f>VLOOKUP(B235, Menu!$A:$F, 5, 0)</f>
        <v>15.51</v>
      </c>
      <c r="F235" t="str">
        <f>VLOOKUP(B235, Menu!$A:$F, 3, 0)</f>
        <v>Snack</v>
      </c>
      <c r="G235" s="5">
        <f>VLOOKUP(A235, Orders!$A:$B, 2, 0)</f>
        <v>45862.410416666673</v>
      </c>
      <c r="H235" t="str">
        <f>VLOOKUP(A235, Orders!$A:$C, 3, 0)</f>
        <v>Plant 1 Canteen</v>
      </c>
    </row>
    <row r="236" spans="1:8" x14ac:dyDescent="0.3">
      <c r="A236" t="s">
        <v>132</v>
      </c>
      <c r="B236" t="s">
        <v>416</v>
      </c>
      <c r="C236">
        <v>3</v>
      </c>
      <c r="D236">
        <f>VLOOKUP(B236, Menu!$A:$F, 6, 0)</f>
        <v>227.61</v>
      </c>
      <c r="E236">
        <f>VLOOKUP(B236, Menu!$A:$F, 5, 0)</f>
        <v>96.22</v>
      </c>
      <c r="F236" t="str">
        <f>VLOOKUP(B236, Menu!$A:$F, 3, 0)</f>
        <v>Hot Meal</v>
      </c>
      <c r="G236" s="5">
        <f>VLOOKUP(A236, Orders!$A:$B, 2, 0)</f>
        <v>45862.410416666673</v>
      </c>
      <c r="H236" t="str">
        <f>VLOOKUP(A236, Orders!$A:$C, 3, 0)</f>
        <v>Plant 1 Canteen</v>
      </c>
    </row>
    <row r="237" spans="1:8" x14ac:dyDescent="0.3">
      <c r="A237" t="s">
        <v>133</v>
      </c>
      <c r="B237" t="s">
        <v>407</v>
      </c>
      <c r="C237">
        <v>3</v>
      </c>
      <c r="D237">
        <f>VLOOKUP(B237, Menu!$A:$F, 6, 0)</f>
        <v>246.09</v>
      </c>
      <c r="E237">
        <f>VLOOKUP(B237, Menu!$A:$F, 5, 0)</f>
        <v>112.08</v>
      </c>
      <c r="F237" t="str">
        <f>VLOOKUP(B237, Menu!$A:$F, 3, 0)</f>
        <v>Hot Meal</v>
      </c>
      <c r="G237" s="5">
        <f>VLOOKUP(A237, Orders!$A:$B, 2, 0)</f>
        <v>45894.006006944437</v>
      </c>
      <c r="H237" t="str">
        <f>VLOOKUP(A237, Orders!$A:$C, 3, 0)</f>
        <v>Plant 1 Canteen</v>
      </c>
    </row>
    <row r="238" spans="1:8" x14ac:dyDescent="0.3">
      <c r="A238" t="s">
        <v>133</v>
      </c>
      <c r="B238" t="s">
        <v>413</v>
      </c>
      <c r="C238">
        <v>1</v>
      </c>
      <c r="D238">
        <f>VLOOKUP(B238, Menu!$A:$F, 6, 0)</f>
        <v>54.2</v>
      </c>
      <c r="E238">
        <f>VLOOKUP(B238, Menu!$A:$F, 5, 0)</f>
        <v>21.95</v>
      </c>
      <c r="F238" t="str">
        <f>VLOOKUP(B238, Menu!$A:$F, 3, 0)</f>
        <v>Dessert</v>
      </c>
      <c r="G238" s="5">
        <f>VLOOKUP(A238, Orders!$A:$B, 2, 0)</f>
        <v>45894.006006944437</v>
      </c>
      <c r="H238" t="str">
        <f>VLOOKUP(A238, Orders!$A:$C, 3, 0)</f>
        <v>Plant 1 Canteen</v>
      </c>
    </row>
    <row r="239" spans="1:8" x14ac:dyDescent="0.3">
      <c r="A239" t="s">
        <v>133</v>
      </c>
      <c r="B239" t="s">
        <v>403</v>
      </c>
      <c r="C239">
        <v>1</v>
      </c>
      <c r="D239">
        <f>VLOOKUP(B239, Menu!$A:$F, 6, 0)</f>
        <v>76.55</v>
      </c>
      <c r="E239">
        <f>VLOOKUP(B239, Menu!$A:$F, 5, 0)</f>
        <v>38.229999999999997</v>
      </c>
      <c r="F239" t="str">
        <f>VLOOKUP(B239, Menu!$A:$F, 3, 0)</f>
        <v>Dessert</v>
      </c>
      <c r="G239" s="5">
        <f>VLOOKUP(A239, Orders!$A:$B, 2, 0)</f>
        <v>45894.006006944437</v>
      </c>
      <c r="H239" t="str">
        <f>VLOOKUP(A239, Orders!$A:$C, 3, 0)</f>
        <v>Plant 1 Canteen</v>
      </c>
    </row>
    <row r="240" spans="1:8" x14ac:dyDescent="0.3">
      <c r="A240" t="s">
        <v>134</v>
      </c>
      <c r="B240" t="s">
        <v>409</v>
      </c>
      <c r="C240">
        <v>2</v>
      </c>
      <c r="D240">
        <f>VLOOKUP(B240, Menu!$A:$F, 6, 0)</f>
        <v>28.43</v>
      </c>
      <c r="E240">
        <f>VLOOKUP(B240, Menu!$A:$F, 5, 0)</f>
        <v>13.89</v>
      </c>
      <c r="F240" t="str">
        <f>VLOOKUP(B240, Menu!$A:$F, 3, 0)</f>
        <v>Beverage</v>
      </c>
      <c r="G240" s="5">
        <f>VLOOKUP(A240, Orders!$A:$B, 2, 0)</f>
        <v>45875.066168981481</v>
      </c>
      <c r="H240" t="str">
        <f>VLOOKUP(A240, Orders!$A:$C, 3, 0)</f>
        <v>Plant 1 Canteen</v>
      </c>
    </row>
    <row r="241" spans="1:8" x14ac:dyDescent="0.3">
      <c r="A241" t="s">
        <v>135</v>
      </c>
      <c r="B241" t="s">
        <v>404</v>
      </c>
      <c r="C241">
        <v>3</v>
      </c>
      <c r="D241">
        <f>VLOOKUP(B241, Menu!$A:$F, 6, 0)</f>
        <v>32.979999999999997</v>
      </c>
      <c r="E241">
        <f>VLOOKUP(B241, Menu!$A:$F, 5, 0)</f>
        <v>11.84</v>
      </c>
      <c r="F241" t="str">
        <f>VLOOKUP(B241, Menu!$A:$F, 3, 0)</f>
        <v>Beverage</v>
      </c>
      <c r="G241" s="5">
        <f>VLOOKUP(A241, Orders!$A:$B, 2, 0)</f>
        <v>45855.150081018517</v>
      </c>
      <c r="H241" t="str">
        <f>VLOOKUP(A241, Orders!$A:$C, 3, 0)</f>
        <v>Plant 2 Canteen</v>
      </c>
    </row>
    <row r="242" spans="1:8" x14ac:dyDescent="0.3">
      <c r="A242" t="s">
        <v>135</v>
      </c>
      <c r="B242" t="s">
        <v>409</v>
      </c>
      <c r="C242">
        <v>3</v>
      </c>
      <c r="D242">
        <f>VLOOKUP(B242, Menu!$A:$F, 6, 0)</f>
        <v>28.43</v>
      </c>
      <c r="E242">
        <f>VLOOKUP(B242, Menu!$A:$F, 5, 0)</f>
        <v>13.89</v>
      </c>
      <c r="F242" t="str">
        <f>VLOOKUP(B242, Menu!$A:$F, 3, 0)</f>
        <v>Beverage</v>
      </c>
      <c r="G242" s="5">
        <f>VLOOKUP(A242, Orders!$A:$B, 2, 0)</f>
        <v>45855.150081018517</v>
      </c>
      <c r="H242" t="str">
        <f>VLOOKUP(A242, Orders!$A:$C, 3, 0)</f>
        <v>Plant 2 Canteen</v>
      </c>
    </row>
    <row r="243" spans="1:8" x14ac:dyDescent="0.3">
      <c r="A243" t="s">
        <v>136</v>
      </c>
      <c r="B243" t="s">
        <v>412</v>
      </c>
      <c r="C243">
        <v>2</v>
      </c>
      <c r="D243">
        <f>VLOOKUP(B243, Menu!$A:$F, 6, 0)</f>
        <v>57.07</v>
      </c>
      <c r="E243">
        <f>VLOOKUP(B243, Menu!$A:$F, 5, 0)</f>
        <v>29.14</v>
      </c>
      <c r="F243" t="str">
        <f>VLOOKUP(B243, Menu!$A:$F, 3, 0)</f>
        <v>Dessert</v>
      </c>
      <c r="G243" s="5">
        <f>VLOOKUP(A243, Orders!$A:$B, 2, 0)</f>
        <v>45869.538043981483</v>
      </c>
      <c r="H243" t="str">
        <f>VLOOKUP(A243, Orders!$A:$C, 3, 0)</f>
        <v>Head Office Café</v>
      </c>
    </row>
    <row r="244" spans="1:8" x14ac:dyDescent="0.3">
      <c r="A244" t="s">
        <v>136</v>
      </c>
      <c r="B244" t="s">
        <v>417</v>
      </c>
      <c r="C244">
        <v>1</v>
      </c>
      <c r="D244">
        <f>VLOOKUP(B244, Menu!$A:$F, 6, 0)</f>
        <v>146.4</v>
      </c>
      <c r="E244">
        <f>VLOOKUP(B244, Menu!$A:$F, 5, 0)</f>
        <v>80.92</v>
      </c>
      <c r="F244" t="str">
        <f>VLOOKUP(B244, Menu!$A:$F, 3, 0)</f>
        <v>Hot Meal</v>
      </c>
      <c r="G244" s="5">
        <f>VLOOKUP(A244, Orders!$A:$B, 2, 0)</f>
        <v>45869.538043981483</v>
      </c>
      <c r="H244" t="str">
        <f>VLOOKUP(A244, Orders!$A:$C, 3, 0)</f>
        <v>Head Office Café</v>
      </c>
    </row>
    <row r="245" spans="1:8" x14ac:dyDescent="0.3">
      <c r="A245" t="s">
        <v>137</v>
      </c>
      <c r="B245" t="s">
        <v>419</v>
      </c>
      <c r="C245">
        <v>2</v>
      </c>
      <c r="D245">
        <f>VLOOKUP(B245, Menu!$A:$F, 6, 0)</f>
        <v>50.19</v>
      </c>
      <c r="E245">
        <f>VLOOKUP(B245, Menu!$A:$F, 5, 0)</f>
        <v>22.61</v>
      </c>
      <c r="F245" t="str">
        <f>VLOOKUP(B245, Menu!$A:$F, 3, 0)</f>
        <v>Snack</v>
      </c>
      <c r="G245" s="5">
        <f>VLOOKUP(A245, Orders!$A:$B, 2, 0)</f>
        <v>45858.505902777782</v>
      </c>
      <c r="H245" t="str">
        <f>VLOOKUP(A245, Orders!$A:$C, 3, 0)</f>
        <v>Plant 1 Canteen</v>
      </c>
    </row>
    <row r="246" spans="1:8" x14ac:dyDescent="0.3">
      <c r="A246" t="s">
        <v>137</v>
      </c>
      <c r="B246" t="s">
        <v>415</v>
      </c>
      <c r="C246">
        <v>1</v>
      </c>
      <c r="D246">
        <f>VLOOKUP(B246, Menu!$A:$F, 6, 0)</f>
        <v>256.91000000000003</v>
      </c>
      <c r="E246">
        <f>VLOOKUP(B246, Menu!$A:$F, 5, 0)</f>
        <v>121.24</v>
      </c>
      <c r="F246" t="str">
        <f>VLOOKUP(B246, Menu!$A:$F, 3, 0)</f>
        <v>Hot Meal</v>
      </c>
      <c r="G246" s="5">
        <f>VLOOKUP(A246, Orders!$A:$B, 2, 0)</f>
        <v>45858.505902777782</v>
      </c>
      <c r="H246" t="str">
        <f>VLOOKUP(A246, Orders!$A:$C, 3, 0)</f>
        <v>Plant 1 Canteen</v>
      </c>
    </row>
    <row r="247" spans="1:8" x14ac:dyDescent="0.3">
      <c r="A247" t="s">
        <v>138</v>
      </c>
      <c r="B247" t="s">
        <v>402</v>
      </c>
      <c r="C247">
        <v>1</v>
      </c>
      <c r="D247">
        <f>VLOOKUP(B247, Menu!$A:$F, 6, 0)</f>
        <v>30.34</v>
      </c>
      <c r="E247">
        <f>VLOOKUP(B247, Menu!$A:$F, 5, 0)</f>
        <v>14.18</v>
      </c>
      <c r="F247" t="str">
        <f>VLOOKUP(B247, Menu!$A:$F, 3, 0)</f>
        <v>Beverage</v>
      </c>
      <c r="G247" s="5">
        <f>VLOOKUP(A247, Orders!$A:$B, 2, 0)</f>
        <v>45849.143634259257</v>
      </c>
      <c r="H247" t="str">
        <f>VLOOKUP(A247, Orders!$A:$C, 3, 0)</f>
        <v>Head Office Café</v>
      </c>
    </row>
    <row r="248" spans="1:8" x14ac:dyDescent="0.3">
      <c r="A248" t="s">
        <v>138</v>
      </c>
      <c r="B248" t="s">
        <v>408</v>
      </c>
      <c r="C248">
        <v>1</v>
      </c>
      <c r="D248">
        <f>VLOOKUP(B248, Menu!$A:$F, 6, 0)</f>
        <v>70.540000000000006</v>
      </c>
      <c r="E248">
        <f>VLOOKUP(B248, Menu!$A:$F, 5, 0)</f>
        <v>35.81</v>
      </c>
      <c r="F248" t="str">
        <f>VLOOKUP(B248, Menu!$A:$F, 3, 0)</f>
        <v>Snack</v>
      </c>
      <c r="G248" s="5">
        <f>VLOOKUP(A248, Orders!$A:$B, 2, 0)</f>
        <v>45849.143634259257</v>
      </c>
      <c r="H248" t="str">
        <f>VLOOKUP(A248, Orders!$A:$C, 3, 0)</f>
        <v>Head Office Café</v>
      </c>
    </row>
    <row r="249" spans="1:8" x14ac:dyDescent="0.3">
      <c r="A249" t="s">
        <v>138</v>
      </c>
      <c r="B249" t="s">
        <v>418</v>
      </c>
      <c r="C249">
        <v>1</v>
      </c>
      <c r="D249">
        <f>VLOOKUP(B249, Menu!$A:$F, 6, 0)</f>
        <v>39.950000000000003</v>
      </c>
      <c r="E249">
        <f>VLOOKUP(B249, Menu!$A:$F, 5, 0)</f>
        <v>15.51</v>
      </c>
      <c r="F249" t="str">
        <f>VLOOKUP(B249, Menu!$A:$F, 3, 0)</f>
        <v>Snack</v>
      </c>
      <c r="G249" s="5">
        <f>VLOOKUP(A249, Orders!$A:$B, 2, 0)</f>
        <v>45849.143634259257</v>
      </c>
      <c r="H249" t="str">
        <f>VLOOKUP(A249, Orders!$A:$C, 3, 0)</f>
        <v>Head Office Café</v>
      </c>
    </row>
    <row r="250" spans="1:8" x14ac:dyDescent="0.3">
      <c r="A250" t="s">
        <v>139</v>
      </c>
      <c r="B250" t="s">
        <v>406</v>
      </c>
      <c r="C250">
        <v>2</v>
      </c>
      <c r="D250">
        <f>VLOOKUP(B250, Menu!$A:$F, 6, 0)</f>
        <v>38.06</v>
      </c>
      <c r="E250">
        <f>VLOOKUP(B250, Menu!$A:$F, 5, 0)</f>
        <v>19.55</v>
      </c>
      <c r="F250" t="str">
        <f>VLOOKUP(B250, Menu!$A:$F, 3, 0)</f>
        <v>Snack</v>
      </c>
      <c r="G250" s="5">
        <f>VLOOKUP(A250, Orders!$A:$B, 2, 0)</f>
        <v>45894.196597222217</v>
      </c>
      <c r="H250" t="str">
        <f>VLOOKUP(A250, Orders!$A:$C, 3, 0)</f>
        <v>Plant 1 Canteen</v>
      </c>
    </row>
    <row r="251" spans="1:8" x14ac:dyDescent="0.3">
      <c r="A251" t="s">
        <v>140</v>
      </c>
      <c r="B251" t="s">
        <v>408</v>
      </c>
      <c r="C251">
        <v>2</v>
      </c>
      <c r="D251">
        <f>VLOOKUP(B251, Menu!$A:$F, 6, 0)</f>
        <v>70.540000000000006</v>
      </c>
      <c r="E251">
        <f>VLOOKUP(B251, Menu!$A:$F, 5, 0)</f>
        <v>35.81</v>
      </c>
      <c r="F251" t="str">
        <f>VLOOKUP(B251, Menu!$A:$F, 3, 0)</f>
        <v>Snack</v>
      </c>
      <c r="G251" s="5">
        <f>VLOOKUP(A251, Orders!$A:$B, 2, 0)</f>
        <v>45875.228854166657</v>
      </c>
      <c r="H251" t="str">
        <f>VLOOKUP(A251, Orders!$A:$C, 3, 0)</f>
        <v>Plant 1 Canteen</v>
      </c>
    </row>
    <row r="252" spans="1:8" x14ac:dyDescent="0.3">
      <c r="A252" t="s">
        <v>141</v>
      </c>
      <c r="B252" t="s">
        <v>413</v>
      </c>
      <c r="C252">
        <v>1</v>
      </c>
      <c r="D252">
        <f>VLOOKUP(B252, Menu!$A:$F, 6, 0)</f>
        <v>54.2</v>
      </c>
      <c r="E252">
        <f>VLOOKUP(B252, Menu!$A:$F, 5, 0)</f>
        <v>21.95</v>
      </c>
      <c r="F252" t="str">
        <f>VLOOKUP(B252, Menu!$A:$F, 3, 0)</f>
        <v>Dessert</v>
      </c>
      <c r="G252" s="5">
        <f>VLOOKUP(A252, Orders!$A:$B, 2, 0)</f>
        <v>45840.478391203702</v>
      </c>
      <c r="H252" t="str">
        <f>VLOOKUP(A252, Orders!$A:$C, 3, 0)</f>
        <v>Plant 2 Canteen</v>
      </c>
    </row>
    <row r="253" spans="1:8" x14ac:dyDescent="0.3">
      <c r="A253" t="s">
        <v>142</v>
      </c>
      <c r="B253" t="s">
        <v>402</v>
      </c>
      <c r="C253">
        <v>1</v>
      </c>
      <c r="D253">
        <f>VLOOKUP(B253, Menu!$A:$F, 6, 0)</f>
        <v>30.34</v>
      </c>
      <c r="E253">
        <f>VLOOKUP(B253, Menu!$A:$F, 5, 0)</f>
        <v>14.18</v>
      </c>
      <c r="F253" t="str">
        <f>VLOOKUP(B253, Menu!$A:$F, 3, 0)</f>
        <v>Beverage</v>
      </c>
      <c r="G253" s="5">
        <f>VLOOKUP(A253, Orders!$A:$B, 2, 0)</f>
        <v>45874.414965277778</v>
      </c>
      <c r="H253" t="str">
        <f>VLOOKUP(A253, Orders!$A:$C, 3, 0)</f>
        <v>Head Office Café</v>
      </c>
    </row>
    <row r="254" spans="1:8" x14ac:dyDescent="0.3">
      <c r="A254" t="s">
        <v>143</v>
      </c>
      <c r="B254" t="s">
        <v>406</v>
      </c>
      <c r="C254">
        <v>3</v>
      </c>
      <c r="D254">
        <f>VLOOKUP(B254, Menu!$A:$F, 6, 0)</f>
        <v>38.06</v>
      </c>
      <c r="E254">
        <f>VLOOKUP(B254, Menu!$A:$F, 5, 0)</f>
        <v>19.55</v>
      </c>
      <c r="F254" t="str">
        <f>VLOOKUP(B254, Menu!$A:$F, 3, 0)</f>
        <v>Snack</v>
      </c>
      <c r="G254" s="5">
        <f>VLOOKUP(A254, Orders!$A:$B, 2, 0)</f>
        <v>45881.531597222223</v>
      </c>
      <c r="H254" t="str">
        <f>VLOOKUP(A254, Orders!$A:$C, 3, 0)</f>
        <v>Plant 1 Canteen</v>
      </c>
    </row>
    <row r="255" spans="1:8" x14ac:dyDescent="0.3">
      <c r="A255" t="s">
        <v>143</v>
      </c>
      <c r="B255" t="s">
        <v>409</v>
      </c>
      <c r="C255">
        <v>2</v>
      </c>
      <c r="D255">
        <f>VLOOKUP(B255, Menu!$A:$F, 6, 0)</f>
        <v>28.43</v>
      </c>
      <c r="E255">
        <f>VLOOKUP(B255, Menu!$A:$F, 5, 0)</f>
        <v>13.89</v>
      </c>
      <c r="F255" t="str">
        <f>VLOOKUP(B255, Menu!$A:$F, 3, 0)</f>
        <v>Beverage</v>
      </c>
      <c r="G255" s="5">
        <f>VLOOKUP(A255, Orders!$A:$B, 2, 0)</f>
        <v>45881.531597222223</v>
      </c>
      <c r="H255" t="str">
        <f>VLOOKUP(A255, Orders!$A:$C, 3, 0)</f>
        <v>Plant 1 Canteen</v>
      </c>
    </row>
    <row r="256" spans="1:8" x14ac:dyDescent="0.3">
      <c r="A256" t="s">
        <v>143</v>
      </c>
      <c r="B256" t="s">
        <v>415</v>
      </c>
      <c r="C256">
        <v>1</v>
      </c>
      <c r="D256">
        <f>VLOOKUP(B256, Menu!$A:$F, 6, 0)</f>
        <v>256.91000000000003</v>
      </c>
      <c r="E256">
        <f>VLOOKUP(B256, Menu!$A:$F, 5, 0)</f>
        <v>121.24</v>
      </c>
      <c r="F256" t="str">
        <f>VLOOKUP(B256, Menu!$A:$F, 3, 0)</f>
        <v>Hot Meal</v>
      </c>
      <c r="G256" s="5">
        <f>VLOOKUP(A256, Orders!$A:$B, 2, 0)</f>
        <v>45881.531597222223</v>
      </c>
      <c r="H256" t="str">
        <f>VLOOKUP(A256, Orders!$A:$C, 3, 0)</f>
        <v>Plant 1 Canteen</v>
      </c>
    </row>
    <row r="257" spans="1:8" x14ac:dyDescent="0.3">
      <c r="A257" t="s">
        <v>144</v>
      </c>
      <c r="B257" t="s">
        <v>410</v>
      </c>
      <c r="C257">
        <v>2</v>
      </c>
      <c r="D257">
        <f>VLOOKUP(B257, Menu!$A:$F, 6, 0)</f>
        <v>20.11</v>
      </c>
      <c r="E257">
        <f>VLOOKUP(B257, Menu!$A:$F, 5, 0)</f>
        <v>8</v>
      </c>
      <c r="F257" t="str">
        <f>VLOOKUP(B257, Menu!$A:$F, 3, 0)</f>
        <v>Beverage</v>
      </c>
      <c r="G257" s="5">
        <f>VLOOKUP(A257, Orders!$A:$B, 2, 0)</f>
        <v>45891.501400462963</v>
      </c>
      <c r="H257" t="str">
        <f>VLOOKUP(A257, Orders!$A:$C, 3, 0)</f>
        <v>Plant 2 Canteen</v>
      </c>
    </row>
    <row r="258" spans="1:8" x14ac:dyDescent="0.3">
      <c r="A258" t="s">
        <v>144</v>
      </c>
      <c r="B258" t="s">
        <v>411</v>
      </c>
      <c r="C258">
        <v>1</v>
      </c>
      <c r="D258">
        <f>VLOOKUP(B258, Menu!$A:$F, 6, 0)</f>
        <v>22.2</v>
      </c>
      <c r="E258">
        <f>VLOOKUP(B258, Menu!$A:$F, 5, 0)</f>
        <v>9.3800000000000008</v>
      </c>
      <c r="F258" t="str">
        <f>VLOOKUP(B258, Menu!$A:$F, 3, 0)</f>
        <v>Beverage</v>
      </c>
      <c r="G258" s="5">
        <f>VLOOKUP(A258, Orders!$A:$B, 2, 0)</f>
        <v>45891.501400462963</v>
      </c>
      <c r="H258" t="str">
        <f>VLOOKUP(A258, Orders!$A:$C, 3, 0)</f>
        <v>Plant 2 Canteen</v>
      </c>
    </row>
    <row r="259" spans="1:8" x14ac:dyDescent="0.3">
      <c r="A259" t="s">
        <v>145</v>
      </c>
      <c r="B259" t="s">
        <v>403</v>
      </c>
      <c r="C259">
        <v>1</v>
      </c>
      <c r="D259">
        <f>VLOOKUP(B259, Menu!$A:$F, 6, 0)</f>
        <v>76.55</v>
      </c>
      <c r="E259">
        <f>VLOOKUP(B259, Menu!$A:$F, 5, 0)</f>
        <v>38.229999999999997</v>
      </c>
      <c r="F259" t="str">
        <f>VLOOKUP(B259, Menu!$A:$F, 3, 0)</f>
        <v>Dessert</v>
      </c>
      <c r="G259" s="5">
        <f>VLOOKUP(A259, Orders!$A:$B, 2, 0)</f>
        <v>45870.542662037027</v>
      </c>
      <c r="H259" t="str">
        <f>VLOOKUP(A259, Orders!$A:$C, 3, 0)</f>
        <v>Plant 1 Canteen</v>
      </c>
    </row>
    <row r="260" spans="1:8" x14ac:dyDescent="0.3">
      <c r="A260" t="s">
        <v>145</v>
      </c>
      <c r="B260" t="s">
        <v>409</v>
      </c>
      <c r="C260">
        <v>1</v>
      </c>
      <c r="D260">
        <f>VLOOKUP(B260, Menu!$A:$F, 6, 0)</f>
        <v>28.43</v>
      </c>
      <c r="E260">
        <f>VLOOKUP(B260, Menu!$A:$F, 5, 0)</f>
        <v>13.89</v>
      </c>
      <c r="F260" t="str">
        <f>VLOOKUP(B260, Menu!$A:$F, 3, 0)</f>
        <v>Beverage</v>
      </c>
      <c r="G260" s="5">
        <f>VLOOKUP(A260, Orders!$A:$B, 2, 0)</f>
        <v>45870.542662037027</v>
      </c>
      <c r="H260" t="str">
        <f>VLOOKUP(A260, Orders!$A:$C, 3, 0)</f>
        <v>Plant 1 Canteen</v>
      </c>
    </row>
    <row r="261" spans="1:8" x14ac:dyDescent="0.3">
      <c r="A261" t="s">
        <v>145</v>
      </c>
      <c r="B261" t="s">
        <v>408</v>
      </c>
      <c r="C261">
        <v>1</v>
      </c>
      <c r="D261">
        <f>VLOOKUP(B261, Menu!$A:$F, 6, 0)</f>
        <v>70.540000000000006</v>
      </c>
      <c r="E261">
        <f>VLOOKUP(B261, Menu!$A:$F, 5, 0)</f>
        <v>35.81</v>
      </c>
      <c r="F261" t="str">
        <f>VLOOKUP(B261, Menu!$A:$F, 3, 0)</f>
        <v>Snack</v>
      </c>
      <c r="G261" s="5">
        <f>VLOOKUP(A261, Orders!$A:$B, 2, 0)</f>
        <v>45870.542662037027</v>
      </c>
      <c r="H261" t="str">
        <f>VLOOKUP(A261, Orders!$A:$C, 3, 0)</f>
        <v>Plant 1 Canteen</v>
      </c>
    </row>
    <row r="262" spans="1:8" x14ac:dyDescent="0.3">
      <c r="A262" t="s">
        <v>145</v>
      </c>
      <c r="B262" t="s">
        <v>418</v>
      </c>
      <c r="C262">
        <v>1</v>
      </c>
      <c r="D262">
        <f>VLOOKUP(B262, Menu!$A:$F, 6, 0)</f>
        <v>39.950000000000003</v>
      </c>
      <c r="E262">
        <f>VLOOKUP(B262, Menu!$A:$F, 5, 0)</f>
        <v>15.51</v>
      </c>
      <c r="F262" t="str">
        <f>VLOOKUP(B262, Menu!$A:$F, 3, 0)</f>
        <v>Snack</v>
      </c>
      <c r="G262" s="5">
        <f>VLOOKUP(A262, Orders!$A:$B, 2, 0)</f>
        <v>45870.542662037027</v>
      </c>
      <c r="H262" t="str">
        <f>VLOOKUP(A262, Orders!$A:$C, 3, 0)</f>
        <v>Plant 1 Canteen</v>
      </c>
    </row>
    <row r="263" spans="1:8" x14ac:dyDescent="0.3">
      <c r="A263" t="s">
        <v>146</v>
      </c>
      <c r="B263" t="s">
        <v>402</v>
      </c>
      <c r="C263">
        <v>2</v>
      </c>
      <c r="D263">
        <f>VLOOKUP(B263, Menu!$A:$F, 6, 0)</f>
        <v>30.34</v>
      </c>
      <c r="E263">
        <f>VLOOKUP(B263, Menu!$A:$F, 5, 0)</f>
        <v>14.18</v>
      </c>
      <c r="F263" t="str">
        <f>VLOOKUP(B263, Menu!$A:$F, 3, 0)</f>
        <v>Beverage</v>
      </c>
      <c r="G263" s="5">
        <f>VLOOKUP(A263, Orders!$A:$B, 2, 0)</f>
        <v>45862.926782407398</v>
      </c>
      <c r="H263" t="str">
        <f>VLOOKUP(A263, Orders!$A:$C, 3, 0)</f>
        <v>Plant 2 Canteen</v>
      </c>
    </row>
    <row r="264" spans="1:8" x14ac:dyDescent="0.3">
      <c r="A264" t="s">
        <v>147</v>
      </c>
      <c r="B264" t="s">
        <v>402</v>
      </c>
      <c r="C264">
        <v>2</v>
      </c>
      <c r="D264">
        <f>VLOOKUP(B264, Menu!$A:$F, 6, 0)</f>
        <v>30.34</v>
      </c>
      <c r="E264">
        <f>VLOOKUP(B264, Menu!$A:$F, 5, 0)</f>
        <v>14.18</v>
      </c>
      <c r="F264" t="str">
        <f>VLOOKUP(B264, Menu!$A:$F, 3, 0)</f>
        <v>Beverage</v>
      </c>
      <c r="G264" s="5">
        <f>VLOOKUP(A264, Orders!$A:$B, 2, 0)</f>
        <v>45871.910868055558</v>
      </c>
      <c r="H264" t="str">
        <f>VLOOKUP(A264, Orders!$A:$C, 3, 0)</f>
        <v>Plant 1 Canteen</v>
      </c>
    </row>
    <row r="265" spans="1:8" x14ac:dyDescent="0.3">
      <c r="A265" t="s">
        <v>147</v>
      </c>
      <c r="B265" t="s">
        <v>416</v>
      </c>
      <c r="C265">
        <v>2</v>
      </c>
      <c r="D265">
        <f>VLOOKUP(B265, Menu!$A:$F, 6, 0)</f>
        <v>227.61</v>
      </c>
      <c r="E265">
        <f>VLOOKUP(B265, Menu!$A:$F, 5, 0)</f>
        <v>96.22</v>
      </c>
      <c r="F265" t="str">
        <f>VLOOKUP(B265, Menu!$A:$F, 3, 0)</f>
        <v>Hot Meal</v>
      </c>
      <c r="G265" s="5">
        <f>VLOOKUP(A265, Orders!$A:$B, 2, 0)</f>
        <v>45871.910868055558</v>
      </c>
      <c r="H265" t="str">
        <f>VLOOKUP(A265, Orders!$A:$C, 3, 0)</f>
        <v>Plant 1 Canteen</v>
      </c>
    </row>
    <row r="266" spans="1:8" x14ac:dyDescent="0.3">
      <c r="A266" t="s">
        <v>147</v>
      </c>
      <c r="B266" t="s">
        <v>412</v>
      </c>
      <c r="C266">
        <v>1</v>
      </c>
      <c r="D266">
        <f>VLOOKUP(B266, Menu!$A:$F, 6, 0)</f>
        <v>57.07</v>
      </c>
      <c r="E266">
        <f>VLOOKUP(B266, Menu!$A:$F, 5, 0)</f>
        <v>29.14</v>
      </c>
      <c r="F266" t="str">
        <f>VLOOKUP(B266, Menu!$A:$F, 3, 0)</f>
        <v>Dessert</v>
      </c>
      <c r="G266" s="5">
        <f>VLOOKUP(A266, Orders!$A:$B, 2, 0)</f>
        <v>45871.910868055558</v>
      </c>
      <c r="H266" t="str">
        <f>VLOOKUP(A266, Orders!$A:$C, 3, 0)</f>
        <v>Plant 1 Canteen</v>
      </c>
    </row>
    <row r="267" spans="1:8" x14ac:dyDescent="0.3">
      <c r="A267" t="s">
        <v>147</v>
      </c>
      <c r="B267" t="s">
        <v>407</v>
      </c>
      <c r="C267">
        <v>1</v>
      </c>
      <c r="D267">
        <f>VLOOKUP(B267, Menu!$A:$F, 6, 0)</f>
        <v>246.09</v>
      </c>
      <c r="E267">
        <f>VLOOKUP(B267, Menu!$A:$F, 5, 0)</f>
        <v>112.08</v>
      </c>
      <c r="F267" t="str">
        <f>VLOOKUP(B267, Menu!$A:$F, 3, 0)</f>
        <v>Hot Meal</v>
      </c>
      <c r="G267" s="5">
        <f>VLOOKUP(A267, Orders!$A:$B, 2, 0)</f>
        <v>45871.910868055558</v>
      </c>
      <c r="H267" t="str">
        <f>VLOOKUP(A267, Orders!$A:$C, 3, 0)</f>
        <v>Plant 1 Canteen</v>
      </c>
    </row>
    <row r="268" spans="1:8" x14ac:dyDescent="0.3">
      <c r="A268" t="s">
        <v>148</v>
      </c>
      <c r="B268" t="s">
        <v>417</v>
      </c>
      <c r="C268">
        <v>2</v>
      </c>
      <c r="D268">
        <f>VLOOKUP(B268, Menu!$A:$F, 6, 0)</f>
        <v>146.4</v>
      </c>
      <c r="E268">
        <f>VLOOKUP(B268, Menu!$A:$F, 5, 0)</f>
        <v>80.92</v>
      </c>
      <c r="F268" t="str">
        <f>VLOOKUP(B268, Menu!$A:$F, 3, 0)</f>
        <v>Hot Meal</v>
      </c>
      <c r="G268" s="5">
        <f>VLOOKUP(A268, Orders!$A:$B, 2, 0)</f>
        <v>45886.586400462962</v>
      </c>
      <c r="H268" t="str">
        <f>VLOOKUP(A268, Orders!$A:$C, 3, 0)</f>
        <v>Plant 1 Canteen</v>
      </c>
    </row>
    <row r="269" spans="1:8" x14ac:dyDescent="0.3">
      <c r="A269" t="s">
        <v>148</v>
      </c>
      <c r="B269" t="s">
        <v>404</v>
      </c>
      <c r="C269">
        <v>1</v>
      </c>
      <c r="D269">
        <f>VLOOKUP(B269, Menu!$A:$F, 6, 0)</f>
        <v>32.979999999999997</v>
      </c>
      <c r="E269">
        <f>VLOOKUP(B269, Menu!$A:$F, 5, 0)</f>
        <v>11.84</v>
      </c>
      <c r="F269" t="str">
        <f>VLOOKUP(B269, Menu!$A:$F, 3, 0)</f>
        <v>Beverage</v>
      </c>
      <c r="G269" s="5">
        <f>VLOOKUP(A269, Orders!$A:$B, 2, 0)</f>
        <v>45886.586400462962</v>
      </c>
      <c r="H269" t="str">
        <f>VLOOKUP(A269, Orders!$A:$C, 3, 0)</f>
        <v>Plant 1 Canteen</v>
      </c>
    </row>
    <row r="270" spans="1:8" x14ac:dyDescent="0.3">
      <c r="A270" t="s">
        <v>148</v>
      </c>
      <c r="B270" t="s">
        <v>410</v>
      </c>
      <c r="C270">
        <v>1</v>
      </c>
      <c r="D270">
        <f>VLOOKUP(B270, Menu!$A:$F, 6, 0)</f>
        <v>20.11</v>
      </c>
      <c r="E270">
        <f>VLOOKUP(B270, Menu!$A:$F, 5, 0)</f>
        <v>8</v>
      </c>
      <c r="F270" t="str">
        <f>VLOOKUP(B270, Menu!$A:$F, 3, 0)</f>
        <v>Beverage</v>
      </c>
      <c r="G270" s="5">
        <f>VLOOKUP(A270, Orders!$A:$B, 2, 0)</f>
        <v>45886.586400462962</v>
      </c>
      <c r="H270" t="str">
        <f>VLOOKUP(A270, Orders!$A:$C, 3, 0)</f>
        <v>Plant 1 Canteen</v>
      </c>
    </row>
    <row r="271" spans="1:8" x14ac:dyDescent="0.3">
      <c r="A271" t="s">
        <v>149</v>
      </c>
      <c r="B271" t="s">
        <v>414</v>
      </c>
      <c r="C271">
        <v>1</v>
      </c>
      <c r="D271">
        <f>VLOOKUP(B271, Menu!$A:$F, 6, 0)</f>
        <v>116.8</v>
      </c>
      <c r="E271">
        <f>VLOOKUP(B271, Menu!$A:$F, 5, 0)</f>
        <v>48.97</v>
      </c>
      <c r="F271" t="str">
        <f>VLOOKUP(B271, Menu!$A:$F, 3, 0)</f>
        <v>Dessert</v>
      </c>
      <c r="G271" s="5">
        <f>VLOOKUP(A271, Orders!$A:$B, 2, 0)</f>
        <v>45866.402141203696</v>
      </c>
      <c r="H271" t="str">
        <f>VLOOKUP(A271, Orders!$A:$C, 3, 0)</f>
        <v>Head Office Café</v>
      </c>
    </row>
    <row r="272" spans="1:8" x14ac:dyDescent="0.3">
      <c r="A272" t="s">
        <v>149</v>
      </c>
      <c r="B272" t="s">
        <v>417</v>
      </c>
      <c r="C272">
        <v>2</v>
      </c>
      <c r="D272">
        <f>VLOOKUP(B272, Menu!$A:$F, 6, 0)</f>
        <v>146.4</v>
      </c>
      <c r="E272">
        <f>VLOOKUP(B272, Menu!$A:$F, 5, 0)</f>
        <v>80.92</v>
      </c>
      <c r="F272" t="str">
        <f>VLOOKUP(B272, Menu!$A:$F, 3, 0)</f>
        <v>Hot Meal</v>
      </c>
      <c r="G272" s="5">
        <f>VLOOKUP(A272, Orders!$A:$B, 2, 0)</f>
        <v>45866.402141203696</v>
      </c>
      <c r="H272" t="str">
        <f>VLOOKUP(A272, Orders!$A:$C, 3, 0)</f>
        <v>Head Office Café</v>
      </c>
    </row>
    <row r="273" spans="1:8" x14ac:dyDescent="0.3">
      <c r="A273" t="s">
        <v>149</v>
      </c>
      <c r="B273" t="s">
        <v>402</v>
      </c>
      <c r="C273">
        <v>1</v>
      </c>
      <c r="D273">
        <f>VLOOKUP(B273, Menu!$A:$F, 6, 0)</f>
        <v>30.34</v>
      </c>
      <c r="E273">
        <f>VLOOKUP(B273, Menu!$A:$F, 5, 0)</f>
        <v>14.18</v>
      </c>
      <c r="F273" t="str">
        <f>VLOOKUP(B273, Menu!$A:$F, 3, 0)</f>
        <v>Beverage</v>
      </c>
      <c r="G273" s="5">
        <f>VLOOKUP(A273, Orders!$A:$B, 2, 0)</f>
        <v>45866.402141203696</v>
      </c>
      <c r="H273" t="str">
        <f>VLOOKUP(A273, Orders!$A:$C, 3, 0)</f>
        <v>Head Office Café</v>
      </c>
    </row>
    <row r="274" spans="1:8" x14ac:dyDescent="0.3">
      <c r="A274" t="s">
        <v>150</v>
      </c>
      <c r="B274" t="s">
        <v>417</v>
      </c>
      <c r="C274">
        <v>1</v>
      </c>
      <c r="D274">
        <f>VLOOKUP(B274, Menu!$A:$F, 6, 0)</f>
        <v>146.4</v>
      </c>
      <c r="E274">
        <f>VLOOKUP(B274, Menu!$A:$F, 5, 0)</f>
        <v>80.92</v>
      </c>
      <c r="F274" t="str">
        <f>VLOOKUP(B274, Menu!$A:$F, 3, 0)</f>
        <v>Hot Meal</v>
      </c>
      <c r="G274" s="5">
        <f>VLOOKUP(A274, Orders!$A:$B, 2, 0)</f>
        <v>45840.235567129632</v>
      </c>
      <c r="H274" t="str">
        <f>VLOOKUP(A274, Orders!$A:$C, 3, 0)</f>
        <v>Head Office Café</v>
      </c>
    </row>
    <row r="275" spans="1:8" x14ac:dyDescent="0.3">
      <c r="A275" t="s">
        <v>150</v>
      </c>
      <c r="B275" t="s">
        <v>405</v>
      </c>
      <c r="C275">
        <v>1</v>
      </c>
      <c r="D275">
        <f>VLOOKUP(B275, Menu!$A:$F, 6, 0)</f>
        <v>170.83</v>
      </c>
      <c r="E275">
        <f>VLOOKUP(B275, Menu!$A:$F, 5, 0)</f>
        <v>74.069999999999993</v>
      </c>
      <c r="F275" t="str">
        <f>VLOOKUP(B275, Menu!$A:$F, 3, 0)</f>
        <v>Hot Meal</v>
      </c>
      <c r="G275" s="5">
        <f>VLOOKUP(A275, Orders!$A:$B, 2, 0)</f>
        <v>45840.235567129632</v>
      </c>
      <c r="H275" t="str">
        <f>VLOOKUP(A275, Orders!$A:$C, 3, 0)</f>
        <v>Head Office Café</v>
      </c>
    </row>
    <row r="276" spans="1:8" x14ac:dyDescent="0.3">
      <c r="A276" t="s">
        <v>150</v>
      </c>
      <c r="B276" t="s">
        <v>414</v>
      </c>
      <c r="C276">
        <v>1</v>
      </c>
      <c r="D276">
        <f>VLOOKUP(B276, Menu!$A:$F, 6, 0)</f>
        <v>116.8</v>
      </c>
      <c r="E276">
        <f>VLOOKUP(B276, Menu!$A:$F, 5, 0)</f>
        <v>48.97</v>
      </c>
      <c r="F276" t="str">
        <f>VLOOKUP(B276, Menu!$A:$F, 3, 0)</f>
        <v>Dessert</v>
      </c>
      <c r="G276" s="5">
        <f>VLOOKUP(A276, Orders!$A:$B, 2, 0)</f>
        <v>45840.235567129632</v>
      </c>
      <c r="H276" t="str">
        <f>VLOOKUP(A276, Orders!$A:$C, 3, 0)</f>
        <v>Head Office Café</v>
      </c>
    </row>
    <row r="277" spans="1:8" x14ac:dyDescent="0.3">
      <c r="A277" t="s">
        <v>150</v>
      </c>
      <c r="B277" t="s">
        <v>412</v>
      </c>
      <c r="C277">
        <v>2</v>
      </c>
      <c r="D277">
        <f>VLOOKUP(B277, Menu!$A:$F, 6, 0)</f>
        <v>57.07</v>
      </c>
      <c r="E277">
        <f>VLOOKUP(B277, Menu!$A:$F, 5, 0)</f>
        <v>29.14</v>
      </c>
      <c r="F277" t="str">
        <f>VLOOKUP(B277, Menu!$A:$F, 3, 0)</f>
        <v>Dessert</v>
      </c>
      <c r="G277" s="5">
        <f>VLOOKUP(A277, Orders!$A:$B, 2, 0)</f>
        <v>45840.235567129632</v>
      </c>
      <c r="H277" t="str">
        <f>VLOOKUP(A277, Orders!$A:$C, 3, 0)</f>
        <v>Head Office Café</v>
      </c>
    </row>
    <row r="278" spans="1:8" x14ac:dyDescent="0.3">
      <c r="A278" t="s">
        <v>151</v>
      </c>
      <c r="B278" t="s">
        <v>419</v>
      </c>
      <c r="C278">
        <v>3</v>
      </c>
      <c r="D278">
        <f>VLOOKUP(B278, Menu!$A:$F, 6, 0)</f>
        <v>50.19</v>
      </c>
      <c r="E278">
        <f>VLOOKUP(B278, Menu!$A:$F, 5, 0)</f>
        <v>22.61</v>
      </c>
      <c r="F278" t="str">
        <f>VLOOKUP(B278, Menu!$A:$F, 3, 0)</f>
        <v>Snack</v>
      </c>
      <c r="G278" s="5">
        <f>VLOOKUP(A278, Orders!$A:$B, 2, 0)</f>
        <v>45878.71025462963</v>
      </c>
      <c r="H278" t="str">
        <f>VLOOKUP(A278, Orders!$A:$C, 3, 0)</f>
        <v>Plant 2 Canteen</v>
      </c>
    </row>
    <row r="279" spans="1:8" x14ac:dyDescent="0.3">
      <c r="A279" t="s">
        <v>151</v>
      </c>
      <c r="B279" t="s">
        <v>413</v>
      </c>
      <c r="C279">
        <v>2</v>
      </c>
      <c r="D279">
        <f>VLOOKUP(B279, Menu!$A:$F, 6, 0)</f>
        <v>54.2</v>
      </c>
      <c r="E279">
        <f>VLOOKUP(B279, Menu!$A:$F, 5, 0)</f>
        <v>21.95</v>
      </c>
      <c r="F279" t="str">
        <f>VLOOKUP(B279, Menu!$A:$F, 3, 0)</f>
        <v>Dessert</v>
      </c>
      <c r="G279" s="5">
        <f>VLOOKUP(A279, Orders!$A:$B, 2, 0)</f>
        <v>45878.71025462963</v>
      </c>
      <c r="H279" t="str">
        <f>VLOOKUP(A279, Orders!$A:$C, 3, 0)</f>
        <v>Plant 2 Canteen</v>
      </c>
    </row>
    <row r="280" spans="1:8" x14ac:dyDescent="0.3">
      <c r="A280" t="s">
        <v>152</v>
      </c>
      <c r="B280" t="s">
        <v>407</v>
      </c>
      <c r="C280">
        <v>2</v>
      </c>
      <c r="D280">
        <f>VLOOKUP(B280, Menu!$A:$F, 6, 0)</f>
        <v>246.09</v>
      </c>
      <c r="E280">
        <f>VLOOKUP(B280, Menu!$A:$F, 5, 0)</f>
        <v>112.08</v>
      </c>
      <c r="F280" t="str">
        <f>VLOOKUP(B280, Menu!$A:$F, 3, 0)</f>
        <v>Hot Meal</v>
      </c>
      <c r="G280" s="5">
        <f>VLOOKUP(A280, Orders!$A:$B, 2, 0)</f>
        <v>45886.904016203713</v>
      </c>
      <c r="H280" t="str">
        <f>VLOOKUP(A280, Orders!$A:$C, 3, 0)</f>
        <v>Plant 2 Canteen</v>
      </c>
    </row>
    <row r="281" spans="1:8" x14ac:dyDescent="0.3">
      <c r="A281" t="s">
        <v>152</v>
      </c>
      <c r="B281" t="s">
        <v>404</v>
      </c>
      <c r="C281">
        <v>1</v>
      </c>
      <c r="D281">
        <f>VLOOKUP(B281, Menu!$A:$F, 6, 0)</f>
        <v>32.979999999999997</v>
      </c>
      <c r="E281">
        <f>VLOOKUP(B281, Menu!$A:$F, 5, 0)</f>
        <v>11.84</v>
      </c>
      <c r="F281" t="str">
        <f>VLOOKUP(B281, Menu!$A:$F, 3, 0)</f>
        <v>Beverage</v>
      </c>
      <c r="G281" s="5">
        <f>VLOOKUP(A281, Orders!$A:$B, 2, 0)</f>
        <v>45886.904016203713</v>
      </c>
      <c r="H281" t="str">
        <f>VLOOKUP(A281, Orders!$A:$C, 3, 0)</f>
        <v>Plant 2 Canteen</v>
      </c>
    </row>
    <row r="282" spans="1:8" x14ac:dyDescent="0.3">
      <c r="A282" t="s">
        <v>152</v>
      </c>
      <c r="B282" t="s">
        <v>403</v>
      </c>
      <c r="C282">
        <v>3</v>
      </c>
      <c r="D282">
        <f>VLOOKUP(B282, Menu!$A:$F, 6, 0)</f>
        <v>76.55</v>
      </c>
      <c r="E282">
        <f>VLOOKUP(B282, Menu!$A:$F, 5, 0)</f>
        <v>38.229999999999997</v>
      </c>
      <c r="F282" t="str">
        <f>VLOOKUP(B282, Menu!$A:$F, 3, 0)</f>
        <v>Dessert</v>
      </c>
      <c r="G282" s="5">
        <f>VLOOKUP(A282, Orders!$A:$B, 2, 0)</f>
        <v>45886.904016203713</v>
      </c>
      <c r="H282" t="str">
        <f>VLOOKUP(A282, Orders!$A:$C, 3, 0)</f>
        <v>Plant 2 Canteen</v>
      </c>
    </row>
    <row r="283" spans="1:8" x14ac:dyDescent="0.3">
      <c r="A283" t="s">
        <v>152</v>
      </c>
      <c r="B283" t="s">
        <v>413</v>
      </c>
      <c r="C283">
        <v>2</v>
      </c>
      <c r="D283">
        <f>VLOOKUP(B283, Menu!$A:$F, 6, 0)</f>
        <v>54.2</v>
      </c>
      <c r="E283">
        <f>VLOOKUP(B283, Menu!$A:$F, 5, 0)</f>
        <v>21.95</v>
      </c>
      <c r="F283" t="str">
        <f>VLOOKUP(B283, Menu!$A:$F, 3, 0)</f>
        <v>Dessert</v>
      </c>
      <c r="G283" s="5">
        <f>VLOOKUP(A283, Orders!$A:$B, 2, 0)</f>
        <v>45886.904016203713</v>
      </c>
      <c r="H283" t="str">
        <f>VLOOKUP(A283, Orders!$A:$C, 3, 0)</f>
        <v>Plant 2 Canteen</v>
      </c>
    </row>
    <row r="284" spans="1:8" x14ac:dyDescent="0.3">
      <c r="A284" t="s">
        <v>153</v>
      </c>
      <c r="B284" t="s">
        <v>418</v>
      </c>
      <c r="C284">
        <v>3</v>
      </c>
      <c r="D284">
        <f>VLOOKUP(B284, Menu!$A:$F, 6, 0)</f>
        <v>39.950000000000003</v>
      </c>
      <c r="E284">
        <f>VLOOKUP(B284, Menu!$A:$F, 5, 0)</f>
        <v>15.51</v>
      </c>
      <c r="F284" t="str">
        <f>VLOOKUP(B284, Menu!$A:$F, 3, 0)</f>
        <v>Snack</v>
      </c>
      <c r="G284" s="5">
        <f>VLOOKUP(A284, Orders!$A:$B, 2, 0)</f>
        <v>45860.764872685177</v>
      </c>
      <c r="H284" t="str">
        <f>VLOOKUP(A284, Orders!$A:$C, 3, 0)</f>
        <v>Plant 2 Canteen</v>
      </c>
    </row>
    <row r="285" spans="1:8" x14ac:dyDescent="0.3">
      <c r="A285" t="s">
        <v>153</v>
      </c>
      <c r="B285" t="s">
        <v>415</v>
      </c>
      <c r="C285">
        <v>1</v>
      </c>
      <c r="D285">
        <f>VLOOKUP(B285, Menu!$A:$F, 6, 0)</f>
        <v>256.91000000000003</v>
      </c>
      <c r="E285">
        <f>VLOOKUP(B285, Menu!$A:$F, 5, 0)</f>
        <v>121.24</v>
      </c>
      <c r="F285" t="str">
        <f>VLOOKUP(B285, Menu!$A:$F, 3, 0)</f>
        <v>Hot Meal</v>
      </c>
      <c r="G285" s="5">
        <f>VLOOKUP(A285, Orders!$A:$B, 2, 0)</f>
        <v>45860.764872685177</v>
      </c>
      <c r="H285" t="str">
        <f>VLOOKUP(A285, Orders!$A:$C, 3, 0)</f>
        <v>Plant 2 Canteen</v>
      </c>
    </row>
    <row r="286" spans="1:8" x14ac:dyDescent="0.3">
      <c r="A286" t="s">
        <v>153</v>
      </c>
      <c r="B286" t="s">
        <v>404</v>
      </c>
      <c r="C286">
        <v>1</v>
      </c>
      <c r="D286">
        <f>VLOOKUP(B286, Menu!$A:$F, 6, 0)</f>
        <v>32.979999999999997</v>
      </c>
      <c r="E286">
        <f>VLOOKUP(B286, Menu!$A:$F, 5, 0)</f>
        <v>11.84</v>
      </c>
      <c r="F286" t="str">
        <f>VLOOKUP(B286, Menu!$A:$F, 3, 0)</f>
        <v>Beverage</v>
      </c>
      <c r="G286" s="5">
        <f>VLOOKUP(A286, Orders!$A:$B, 2, 0)</f>
        <v>45860.764872685177</v>
      </c>
      <c r="H286" t="str">
        <f>VLOOKUP(A286, Orders!$A:$C, 3, 0)</f>
        <v>Plant 2 Canteen</v>
      </c>
    </row>
    <row r="287" spans="1:8" x14ac:dyDescent="0.3">
      <c r="A287" t="s">
        <v>154</v>
      </c>
      <c r="B287" t="s">
        <v>414</v>
      </c>
      <c r="C287">
        <v>2</v>
      </c>
      <c r="D287">
        <f>VLOOKUP(B287, Menu!$A:$F, 6, 0)</f>
        <v>116.8</v>
      </c>
      <c r="E287">
        <f>VLOOKUP(B287, Menu!$A:$F, 5, 0)</f>
        <v>48.97</v>
      </c>
      <c r="F287" t="str">
        <f>VLOOKUP(B287, Menu!$A:$F, 3, 0)</f>
        <v>Dessert</v>
      </c>
      <c r="G287" s="5">
        <f>VLOOKUP(A287, Orders!$A:$B, 2, 0)</f>
        <v>45895.713437500002</v>
      </c>
      <c r="H287" t="str">
        <f>VLOOKUP(A287, Orders!$A:$C, 3, 0)</f>
        <v>Plant 2 Canteen</v>
      </c>
    </row>
    <row r="288" spans="1:8" x14ac:dyDescent="0.3">
      <c r="A288" t="s">
        <v>154</v>
      </c>
      <c r="B288" t="s">
        <v>419</v>
      </c>
      <c r="C288">
        <v>3</v>
      </c>
      <c r="D288">
        <f>VLOOKUP(B288, Menu!$A:$F, 6, 0)</f>
        <v>50.19</v>
      </c>
      <c r="E288">
        <f>VLOOKUP(B288, Menu!$A:$F, 5, 0)</f>
        <v>22.61</v>
      </c>
      <c r="F288" t="str">
        <f>VLOOKUP(B288, Menu!$A:$F, 3, 0)</f>
        <v>Snack</v>
      </c>
      <c r="G288" s="5">
        <f>VLOOKUP(A288, Orders!$A:$B, 2, 0)</f>
        <v>45895.713437500002</v>
      </c>
      <c r="H288" t="str">
        <f>VLOOKUP(A288, Orders!$A:$C, 3, 0)</f>
        <v>Plant 2 Canteen</v>
      </c>
    </row>
    <row r="289" spans="1:8" x14ac:dyDescent="0.3">
      <c r="A289" t="s">
        <v>154</v>
      </c>
      <c r="B289" t="s">
        <v>410</v>
      </c>
      <c r="C289">
        <v>3</v>
      </c>
      <c r="D289">
        <f>VLOOKUP(B289, Menu!$A:$F, 6, 0)</f>
        <v>20.11</v>
      </c>
      <c r="E289">
        <f>VLOOKUP(B289, Menu!$A:$F, 5, 0)</f>
        <v>8</v>
      </c>
      <c r="F289" t="str">
        <f>VLOOKUP(B289, Menu!$A:$F, 3, 0)</f>
        <v>Beverage</v>
      </c>
      <c r="G289" s="5">
        <f>VLOOKUP(A289, Orders!$A:$B, 2, 0)</f>
        <v>45895.713437500002</v>
      </c>
      <c r="H289" t="str">
        <f>VLOOKUP(A289, Orders!$A:$C, 3, 0)</f>
        <v>Plant 2 Canteen</v>
      </c>
    </row>
    <row r="290" spans="1:8" x14ac:dyDescent="0.3">
      <c r="A290" t="s">
        <v>154</v>
      </c>
      <c r="B290" t="s">
        <v>403</v>
      </c>
      <c r="C290">
        <v>3</v>
      </c>
      <c r="D290">
        <f>VLOOKUP(B290, Menu!$A:$F, 6, 0)</f>
        <v>76.55</v>
      </c>
      <c r="E290">
        <f>VLOOKUP(B290, Menu!$A:$F, 5, 0)</f>
        <v>38.229999999999997</v>
      </c>
      <c r="F290" t="str">
        <f>VLOOKUP(B290, Menu!$A:$F, 3, 0)</f>
        <v>Dessert</v>
      </c>
      <c r="G290" s="5">
        <f>VLOOKUP(A290, Orders!$A:$B, 2, 0)</f>
        <v>45895.713437500002</v>
      </c>
      <c r="H290" t="str">
        <f>VLOOKUP(A290, Orders!$A:$C, 3, 0)</f>
        <v>Plant 2 Canteen</v>
      </c>
    </row>
    <row r="291" spans="1:8" x14ac:dyDescent="0.3">
      <c r="A291" t="s">
        <v>155</v>
      </c>
      <c r="B291" t="s">
        <v>401</v>
      </c>
      <c r="C291">
        <v>1</v>
      </c>
      <c r="D291">
        <f>VLOOKUP(B291, Menu!$A:$F, 6, 0)</f>
        <v>52.45</v>
      </c>
      <c r="E291">
        <f>VLOOKUP(B291, Menu!$A:$F, 5, 0)</f>
        <v>25.8</v>
      </c>
      <c r="F291" t="str">
        <f>VLOOKUP(B291, Menu!$A:$F, 3, 0)</f>
        <v>Snack</v>
      </c>
      <c r="G291" s="5">
        <f>VLOOKUP(A291, Orders!$A:$B, 2, 0)</f>
        <v>45872.625532407408</v>
      </c>
      <c r="H291" t="str">
        <f>VLOOKUP(A291, Orders!$A:$C, 3, 0)</f>
        <v>Plant 2 Canteen</v>
      </c>
    </row>
    <row r="292" spans="1:8" x14ac:dyDescent="0.3">
      <c r="A292" t="s">
        <v>156</v>
      </c>
      <c r="B292" t="s">
        <v>408</v>
      </c>
      <c r="C292">
        <v>1</v>
      </c>
      <c r="D292">
        <f>VLOOKUP(B292, Menu!$A:$F, 6, 0)</f>
        <v>70.540000000000006</v>
      </c>
      <c r="E292">
        <f>VLOOKUP(B292, Menu!$A:$F, 5, 0)</f>
        <v>35.81</v>
      </c>
      <c r="F292" t="str">
        <f>VLOOKUP(B292, Menu!$A:$F, 3, 0)</f>
        <v>Snack</v>
      </c>
      <c r="G292" s="5">
        <f>VLOOKUP(A292, Orders!$A:$B, 2, 0)</f>
        <v>45873.407407407409</v>
      </c>
      <c r="H292" t="str">
        <f>VLOOKUP(A292, Orders!$A:$C, 3, 0)</f>
        <v>Head Office Café</v>
      </c>
    </row>
    <row r="293" spans="1:8" x14ac:dyDescent="0.3">
      <c r="A293" t="s">
        <v>157</v>
      </c>
      <c r="B293" t="s">
        <v>410</v>
      </c>
      <c r="C293">
        <v>1</v>
      </c>
      <c r="D293">
        <f>VLOOKUP(B293, Menu!$A:$F, 6, 0)</f>
        <v>20.11</v>
      </c>
      <c r="E293">
        <f>VLOOKUP(B293, Menu!$A:$F, 5, 0)</f>
        <v>8</v>
      </c>
      <c r="F293" t="str">
        <f>VLOOKUP(B293, Menu!$A:$F, 3, 0)</f>
        <v>Beverage</v>
      </c>
      <c r="G293" s="5">
        <f>VLOOKUP(A293, Orders!$A:$B, 2, 0)</f>
        <v>45863.658865740741</v>
      </c>
      <c r="H293" t="str">
        <f>VLOOKUP(A293, Orders!$A:$C, 3, 0)</f>
        <v>Plant 1 Canteen</v>
      </c>
    </row>
    <row r="294" spans="1:8" x14ac:dyDescent="0.3">
      <c r="A294" t="s">
        <v>157</v>
      </c>
      <c r="B294" t="s">
        <v>408</v>
      </c>
      <c r="C294">
        <v>1</v>
      </c>
      <c r="D294">
        <f>VLOOKUP(B294, Menu!$A:$F, 6, 0)</f>
        <v>70.540000000000006</v>
      </c>
      <c r="E294">
        <f>VLOOKUP(B294, Menu!$A:$F, 5, 0)</f>
        <v>35.81</v>
      </c>
      <c r="F294" t="str">
        <f>VLOOKUP(B294, Menu!$A:$F, 3, 0)</f>
        <v>Snack</v>
      </c>
      <c r="G294" s="5">
        <f>VLOOKUP(A294, Orders!$A:$B, 2, 0)</f>
        <v>45863.658865740741</v>
      </c>
      <c r="H294" t="str">
        <f>VLOOKUP(A294, Orders!$A:$C, 3, 0)</f>
        <v>Plant 1 Canteen</v>
      </c>
    </row>
    <row r="295" spans="1:8" x14ac:dyDescent="0.3">
      <c r="A295" t="s">
        <v>158</v>
      </c>
      <c r="B295" t="s">
        <v>414</v>
      </c>
      <c r="C295">
        <v>3</v>
      </c>
      <c r="D295">
        <f>VLOOKUP(B295, Menu!$A:$F, 6, 0)</f>
        <v>116.8</v>
      </c>
      <c r="E295">
        <f>VLOOKUP(B295, Menu!$A:$F, 5, 0)</f>
        <v>48.97</v>
      </c>
      <c r="F295" t="str">
        <f>VLOOKUP(B295, Menu!$A:$F, 3, 0)</f>
        <v>Dessert</v>
      </c>
      <c r="G295" s="5">
        <f>VLOOKUP(A295, Orders!$A:$B, 2, 0)</f>
        <v>45869.886666666673</v>
      </c>
      <c r="H295" t="str">
        <f>VLOOKUP(A295, Orders!$A:$C, 3, 0)</f>
        <v>Plant 1 Canteen</v>
      </c>
    </row>
    <row r="296" spans="1:8" x14ac:dyDescent="0.3">
      <c r="A296" t="s">
        <v>158</v>
      </c>
      <c r="B296" t="s">
        <v>403</v>
      </c>
      <c r="C296">
        <v>1</v>
      </c>
      <c r="D296">
        <f>VLOOKUP(B296, Menu!$A:$F, 6, 0)</f>
        <v>76.55</v>
      </c>
      <c r="E296">
        <f>VLOOKUP(B296, Menu!$A:$F, 5, 0)</f>
        <v>38.229999999999997</v>
      </c>
      <c r="F296" t="str">
        <f>VLOOKUP(B296, Menu!$A:$F, 3, 0)</f>
        <v>Dessert</v>
      </c>
      <c r="G296" s="5">
        <f>VLOOKUP(A296, Orders!$A:$B, 2, 0)</f>
        <v>45869.886666666673</v>
      </c>
      <c r="H296" t="str">
        <f>VLOOKUP(A296, Orders!$A:$C, 3, 0)</f>
        <v>Plant 1 Canteen</v>
      </c>
    </row>
    <row r="297" spans="1:8" x14ac:dyDescent="0.3">
      <c r="A297" t="s">
        <v>158</v>
      </c>
      <c r="B297" t="s">
        <v>406</v>
      </c>
      <c r="C297">
        <v>2</v>
      </c>
      <c r="D297">
        <f>VLOOKUP(B297, Menu!$A:$F, 6, 0)</f>
        <v>38.06</v>
      </c>
      <c r="E297">
        <f>VLOOKUP(B297, Menu!$A:$F, 5, 0)</f>
        <v>19.55</v>
      </c>
      <c r="F297" t="str">
        <f>VLOOKUP(B297, Menu!$A:$F, 3, 0)</f>
        <v>Snack</v>
      </c>
      <c r="G297" s="5">
        <f>VLOOKUP(A297, Orders!$A:$B, 2, 0)</f>
        <v>45869.886666666673</v>
      </c>
      <c r="H297" t="str">
        <f>VLOOKUP(A297, Orders!$A:$C, 3, 0)</f>
        <v>Plant 1 Canteen</v>
      </c>
    </row>
    <row r="298" spans="1:8" x14ac:dyDescent="0.3">
      <c r="A298" t="s">
        <v>158</v>
      </c>
      <c r="B298" t="s">
        <v>401</v>
      </c>
      <c r="C298">
        <v>2</v>
      </c>
      <c r="D298">
        <f>VLOOKUP(B298, Menu!$A:$F, 6, 0)</f>
        <v>52.45</v>
      </c>
      <c r="E298">
        <f>VLOOKUP(B298, Menu!$A:$F, 5, 0)</f>
        <v>25.8</v>
      </c>
      <c r="F298" t="str">
        <f>VLOOKUP(B298, Menu!$A:$F, 3, 0)</f>
        <v>Snack</v>
      </c>
      <c r="G298" s="5">
        <f>VLOOKUP(A298, Orders!$A:$B, 2, 0)</f>
        <v>45869.886666666673</v>
      </c>
      <c r="H298" t="str">
        <f>VLOOKUP(A298, Orders!$A:$C, 3, 0)</f>
        <v>Plant 1 Canteen</v>
      </c>
    </row>
    <row r="299" spans="1:8" x14ac:dyDescent="0.3">
      <c r="A299" t="s">
        <v>159</v>
      </c>
      <c r="B299" t="s">
        <v>415</v>
      </c>
      <c r="C299">
        <v>1</v>
      </c>
      <c r="D299">
        <f>VLOOKUP(B299, Menu!$A:$F, 6, 0)</f>
        <v>256.91000000000003</v>
      </c>
      <c r="E299">
        <f>VLOOKUP(B299, Menu!$A:$F, 5, 0)</f>
        <v>121.24</v>
      </c>
      <c r="F299" t="str">
        <f>VLOOKUP(B299, Menu!$A:$F, 3, 0)</f>
        <v>Hot Meal</v>
      </c>
      <c r="G299" s="5">
        <f>VLOOKUP(A299, Orders!$A:$B, 2, 0)</f>
        <v>45857.846782407411</v>
      </c>
      <c r="H299" t="str">
        <f>VLOOKUP(A299, Orders!$A:$C, 3, 0)</f>
        <v>Plant 1 Canteen</v>
      </c>
    </row>
    <row r="300" spans="1:8" x14ac:dyDescent="0.3">
      <c r="A300" t="s">
        <v>159</v>
      </c>
      <c r="B300" t="s">
        <v>402</v>
      </c>
      <c r="C300">
        <v>1</v>
      </c>
      <c r="D300">
        <f>VLOOKUP(B300, Menu!$A:$F, 6, 0)</f>
        <v>30.34</v>
      </c>
      <c r="E300">
        <f>VLOOKUP(B300, Menu!$A:$F, 5, 0)</f>
        <v>14.18</v>
      </c>
      <c r="F300" t="str">
        <f>VLOOKUP(B300, Menu!$A:$F, 3, 0)</f>
        <v>Beverage</v>
      </c>
      <c r="G300" s="5">
        <f>VLOOKUP(A300, Orders!$A:$B, 2, 0)</f>
        <v>45857.846782407411</v>
      </c>
      <c r="H300" t="str">
        <f>VLOOKUP(A300, Orders!$A:$C, 3, 0)</f>
        <v>Plant 1 Canteen</v>
      </c>
    </row>
    <row r="301" spans="1:8" x14ac:dyDescent="0.3">
      <c r="A301" t="s">
        <v>159</v>
      </c>
      <c r="B301" t="s">
        <v>412</v>
      </c>
      <c r="C301">
        <v>2</v>
      </c>
      <c r="D301">
        <f>VLOOKUP(B301, Menu!$A:$F, 6, 0)</f>
        <v>57.07</v>
      </c>
      <c r="E301">
        <f>VLOOKUP(B301, Menu!$A:$F, 5, 0)</f>
        <v>29.14</v>
      </c>
      <c r="F301" t="str">
        <f>VLOOKUP(B301, Menu!$A:$F, 3, 0)</f>
        <v>Dessert</v>
      </c>
      <c r="G301" s="5">
        <f>VLOOKUP(A301, Orders!$A:$B, 2, 0)</f>
        <v>45857.846782407411</v>
      </c>
      <c r="H301" t="str">
        <f>VLOOKUP(A301, Orders!$A:$C, 3, 0)</f>
        <v>Plant 1 Canteen</v>
      </c>
    </row>
    <row r="302" spans="1:8" x14ac:dyDescent="0.3">
      <c r="A302" t="s">
        <v>159</v>
      </c>
      <c r="B302" t="s">
        <v>414</v>
      </c>
      <c r="C302">
        <v>2</v>
      </c>
      <c r="D302">
        <f>VLOOKUP(B302, Menu!$A:$F, 6, 0)</f>
        <v>116.8</v>
      </c>
      <c r="E302">
        <f>VLOOKUP(B302, Menu!$A:$F, 5, 0)</f>
        <v>48.97</v>
      </c>
      <c r="F302" t="str">
        <f>VLOOKUP(B302, Menu!$A:$F, 3, 0)</f>
        <v>Dessert</v>
      </c>
      <c r="G302" s="5">
        <f>VLOOKUP(A302, Orders!$A:$B, 2, 0)</f>
        <v>45857.846782407411</v>
      </c>
      <c r="H302" t="str">
        <f>VLOOKUP(A302, Orders!$A:$C, 3, 0)</f>
        <v>Plant 1 Canteen</v>
      </c>
    </row>
    <row r="303" spans="1:8" x14ac:dyDescent="0.3">
      <c r="A303" t="s">
        <v>160</v>
      </c>
      <c r="B303" t="s">
        <v>417</v>
      </c>
      <c r="C303">
        <v>1</v>
      </c>
      <c r="D303">
        <f>VLOOKUP(B303, Menu!$A:$F, 6, 0)</f>
        <v>146.4</v>
      </c>
      <c r="E303">
        <f>VLOOKUP(B303, Menu!$A:$F, 5, 0)</f>
        <v>80.92</v>
      </c>
      <c r="F303" t="str">
        <f>VLOOKUP(B303, Menu!$A:$F, 3, 0)</f>
        <v>Hot Meal</v>
      </c>
      <c r="G303" s="5">
        <f>VLOOKUP(A303, Orders!$A:$B, 2, 0)</f>
        <v>45896.493206018517</v>
      </c>
      <c r="H303" t="str">
        <f>VLOOKUP(A303, Orders!$A:$C, 3, 0)</f>
        <v>Head Office Café</v>
      </c>
    </row>
    <row r="304" spans="1:8" x14ac:dyDescent="0.3">
      <c r="A304" t="s">
        <v>160</v>
      </c>
      <c r="B304" t="s">
        <v>407</v>
      </c>
      <c r="C304">
        <v>3</v>
      </c>
      <c r="D304">
        <f>VLOOKUP(B304, Menu!$A:$F, 6, 0)</f>
        <v>246.09</v>
      </c>
      <c r="E304">
        <f>VLOOKUP(B304, Menu!$A:$F, 5, 0)</f>
        <v>112.08</v>
      </c>
      <c r="F304" t="str">
        <f>VLOOKUP(B304, Menu!$A:$F, 3, 0)</f>
        <v>Hot Meal</v>
      </c>
      <c r="G304" s="5">
        <f>VLOOKUP(A304, Orders!$A:$B, 2, 0)</f>
        <v>45896.493206018517</v>
      </c>
      <c r="H304" t="str">
        <f>VLOOKUP(A304, Orders!$A:$C, 3, 0)</f>
        <v>Head Office Café</v>
      </c>
    </row>
    <row r="305" spans="1:8" x14ac:dyDescent="0.3">
      <c r="A305" t="s">
        <v>160</v>
      </c>
      <c r="B305" t="s">
        <v>401</v>
      </c>
      <c r="C305">
        <v>3</v>
      </c>
      <c r="D305">
        <f>VLOOKUP(B305, Menu!$A:$F, 6, 0)</f>
        <v>52.45</v>
      </c>
      <c r="E305">
        <f>VLOOKUP(B305, Menu!$A:$F, 5, 0)</f>
        <v>25.8</v>
      </c>
      <c r="F305" t="str">
        <f>VLOOKUP(B305, Menu!$A:$F, 3, 0)</f>
        <v>Snack</v>
      </c>
      <c r="G305" s="5">
        <f>VLOOKUP(A305, Orders!$A:$B, 2, 0)</f>
        <v>45896.493206018517</v>
      </c>
      <c r="H305" t="str">
        <f>VLOOKUP(A305, Orders!$A:$C, 3, 0)</f>
        <v>Head Office Café</v>
      </c>
    </row>
    <row r="306" spans="1:8" x14ac:dyDescent="0.3">
      <c r="A306" t="s">
        <v>160</v>
      </c>
      <c r="B306" t="s">
        <v>413</v>
      </c>
      <c r="C306">
        <v>1</v>
      </c>
      <c r="D306">
        <f>VLOOKUP(B306, Menu!$A:$F, 6, 0)</f>
        <v>54.2</v>
      </c>
      <c r="E306">
        <f>VLOOKUP(B306, Menu!$A:$F, 5, 0)</f>
        <v>21.95</v>
      </c>
      <c r="F306" t="str">
        <f>VLOOKUP(B306, Menu!$A:$F, 3, 0)</f>
        <v>Dessert</v>
      </c>
      <c r="G306" s="5">
        <f>VLOOKUP(A306, Orders!$A:$B, 2, 0)</f>
        <v>45896.493206018517</v>
      </c>
      <c r="H306" t="str">
        <f>VLOOKUP(A306, Orders!$A:$C, 3, 0)</f>
        <v>Head Office Café</v>
      </c>
    </row>
    <row r="307" spans="1:8" x14ac:dyDescent="0.3">
      <c r="A307" t="s">
        <v>161</v>
      </c>
      <c r="B307" t="s">
        <v>414</v>
      </c>
      <c r="C307">
        <v>3</v>
      </c>
      <c r="D307">
        <f>VLOOKUP(B307, Menu!$A:$F, 6, 0)</f>
        <v>116.8</v>
      </c>
      <c r="E307">
        <f>VLOOKUP(B307, Menu!$A:$F, 5, 0)</f>
        <v>48.97</v>
      </c>
      <c r="F307" t="str">
        <f>VLOOKUP(B307, Menu!$A:$F, 3, 0)</f>
        <v>Dessert</v>
      </c>
      <c r="G307" s="5">
        <f>VLOOKUP(A307, Orders!$A:$B, 2, 0)</f>
        <v>45858.096944444442</v>
      </c>
      <c r="H307" t="str">
        <f>VLOOKUP(A307, Orders!$A:$C, 3, 0)</f>
        <v>Plant 2 Canteen</v>
      </c>
    </row>
    <row r="308" spans="1:8" x14ac:dyDescent="0.3">
      <c r="A308" t="s">
        <v>161</v>
      </c>
      <c r="B308" t="s">
        <v>412</v>
      </c>
      <c r="C308">
        <v>1</v>
      </c>
      <c r="D308">
        <f>VLOOKUP(B308, Menu!$A:$F, 6, 0)</f>
        <v>57.07</v>
      </c>
      <c r="E308">
        <f>VLOOKUP(B308, Menu!$A:$F, 5, 0)</f>
        <v>29.14</v>
      </c>
      <c r="F308" t="str">
        <f>VLOOKUP(B308, Menu!$A:$F, 3, 0)</f>
        <v>Dessert</v>
      </c>
      <c r="G308" s="5">
        <f>VLOOKUP(A308, Orders!$A:$B, 2, 0)</f>
        <v>45858.096944444442</v>
      </c>
      <c r="H308" t="str">
        <f>VLOOKUP(A308, Orders!$A:$C, 3, 0)</f>
        <v>Plant 2 Canteen</v>
      </c>
    </row>
    <row r="309" spans="1:8" x14ac:dyDescent="0.3">
      <c r="A309" t="s">
        <v>161</v>
      </c>
      <c r="B309" t="s">
        <v>404</v>
      </c>
      <c r="C309">
        <v>1</v>
      </c>
      <c r="D309">
        <f>VLOOKUP(B309, Menu!$A:$F, 6, 0)</f>
        <v>32.979999999999997</v>
      </c>
      <c r="E309">
        <f>VLOOKUP(B309, Menu!$A:$F, 5, 0)</f>
        <v>11.84</v>
      </c>
      <c r="F309" t="str">
        <f>VLOOKUP(B309, Menu!$A:$F, 3, 0)</f>
        <v>Beverage</v>
      </c>
      <c r="G309" s="5">
        <f>VLOOKUP(A309, Orders!$A:$B, 2, 0)</f>
        <v>45858.096944444442</v>
      </c>
      <c r="H309" t="str">
        <f>VLOOKUP(A309, Orders!$A:$C, 3, 0)</f>
        <v>Plant 2 Canteen</v>
      </c>
    </row>
    <row r="310" spans="1:8" x14ac:dyDescent="0.3">
      <c r="A310" t="s">
        <v>161</v>
      </c>
      <c r="B310" t="s">
        <v>407</v>
      </c>
      <c r="C310">
        <v>2</v>
      </c>
      <c r="D310">
        <f>VLOOKUP(B310, Menu!$A:$F, 6, 0)</f>
        <v>246.09</v>
      </c>
      <c r="E310">
        <f>VLOOKUP(B310, Menu!$A:$F, 5, 0)</f>
        <v>112.08</v>
      </c>
      <c r="F310" t="str">
        <f>VLOOKUP(B310, Menu!$A:$F, 3, 0)</f>
        <v>Hot Meal</v>
      </c>
      <c r="G310" s="5">
        <f>VLOOKUP(A310, Orders!$A:$B, 2, 0)</f>
        <v>45858.096944444442</v>
      </c>
      <c r="H310" t="str">
        <f>VLOOKUP(A310, Orders!$A:$C, 3, 0)</f>
        <v>Plant 2 Canteen</v>
      </c>
    </row>
    <row r="311" spans="1:8" x14ac:dyDescent="0.3">
      <c r="A311" t="s">
        <v>162</v>
      </c>
      <c r="B311" t="s">
        <v>414</v>
      </c>
      <c r="C311">
        <v>1</v>
      </c>
      <c r="D311">
        <f>VLOOKUP(B311, Menu!$A:$F, 6, 0)</f>
        <v>116.8</v>
      </c>
      <c r="E311">
        <f>VLOOKUP(B311, Menu!$A:$F, 5, 0)</f>
        <v>48.97</v>
      </c>
      <c r="F311" t="str">
        <f>VLOOKUP(B311, Menu!$A:$F, 3, 0)</f>
        <v>Dessert</v>
      </c>
      <c r="G311" s="5">
        <f>VLOOKUP(A311, Orders!$A:$B, 2, 0)</f>
        <v>45868.597268518519</v>
      </c>
      <c r="H311" t="str">
        <f>VLOOKUP(A311, Orders!$A:$C, 3, 0)</f>
        <v>Plant 1 Canteen</v>
      </c>
    </row>
    <row r="312" spans="1:8" x14ac:dyDescent="0.3">
      <c r="A312" t="s">
        <v>162</v>
      </c>
      <c r="B312" t="s">
        <v>413</v>
      </c>
      <c r="C312">
        <v>1</v>
      </c>
      <c r="D312">
        <f>VLOOKUP(B312, Menu!$A:$F, 6, 0)</f>
        <v>54.2</v>
      </c>
      <c r="E312">
        <f>VLOOKUP(B312, Menu!$A:$F, 5, 0)</f>
        <v>21.95</v>
      </c>
      <c r="F312" t="str">
        <f>VLOOKUP(B312, Menu!$A:$F, 3, 0)</f>
        <v>Dessert</v>
      </c>
      <c r="G312" s="5">
        <f>VLOOKUP(A312, Orders!$A:$B, 2, 0)</f>
        <v>45868.597268518519</v>
      </c>
      <c r="H312" t="str">
        <f>VLOOKUP(A312, Orders!$A:$C, 3, 0)</f>
        <v>Plant 1 Canteen</v>
      </c>
    </row>
    <row r="313" spans="1:8" x14ac:dyDescent="0.3">
      <c r="A313" t="s">
        <v>163</v>
      </c>
      <c r="B313" t="s">
        <v>401</v>
      </c>
      <c r="C313">
        <v>1</v>
      </c>
      <c r="D313">
        <f>VLOOKUP(B313, Menu!$A:$F, 6, 0)</f>
        <v>52.45</v>
      </c>
      <c r="E313">
        <f>VLOOKUP(B313, Menu!$A:$F, 5, 0)</f>
        <v>25.8</v>
      </c>
      <c r="F313" t="str">
        <f>VLOOKUP(B313, Menu!$A:$F, 3, 0)</f>
        <v>Snack</v>
      </c>
      <c r="G313" s="5">
        <f>VLOOKUP(A313, Orders!$A:$B, 2, 0)</f>
        <v>45865.882986111108</v>
      </c>
      <c r="H313" t="str">
        <f>VLOOKUP(A313, Orders!$A:$C, 3, 0)</f>
        <v>Plant 1 Canteen</v>
      </c>
    </row>
    <row r="314" spans="1:8" x14ac:dyDescent="0.3">
      <c r="A314" t="s">
        <v>163</v>
      </c>
      <c r="B314" t="s">
        <v>417</v>
      </c>
      <c r="C314">
        <v>1</v>
      </c>
      <c r="D314">
        <f>VLOOKUP(B314, Menu!$A:$F, 6, 0)</f>
        <v>146.4</v>
      </c>
      <c r="E314">
        <f>VLOOKUP(B314, Menu!$A:$F, 5, 0)</f>
        <v>80.92</v>
      </c>
      <c r="F314" t="str">
        <f>VLOOKUP(B314, Menu!$A:$F, 3, 0)</f>
        <v>Hot Meal</v>
      </c>
      <c r="G314" s="5">
        <f>VLOOKUP(A314, Orders!$A:$B, 2, 0)</f>
        <v>45865.882986111108</v>
      </c>
      <c r="H314" t="str">
        <f>VLOOKUP(A314, Orders!$A:$C, 3, 0)</f>
        <v>Plant 1 Canteen</v>
      </c>
    </row>
    <row r="315" spans="1:8" x14ac:dyDescent="0.3">
      <c r="A315" t="s">
        <v>163</v>
      </c>
      <c r="B315" t="s">
        <v>412</v>
      </c>
      <c r="C315">
        <v>3</v>
      </c>
      <c r="D315">
        <f>VLOOKUP(B315, Menu!$A:$F, 6, 0)</f>
        <v>57.07</v>
      </c>
      <c r="E315">
        <f>VLOOKUP(B315, Menu!$A:$F, 5, 0)</f>
        <v>29.14</v>
      </c>
      <c r="F315" t="str">
        <f>VLOOKUP(B315, Menu!$A:$F, 3, 0)</f>
        <v>Dessert</v>
      </c>
      <c r="G315" s="5">
        <f>VLOOKUP(A315, Orders!$A:$B, 2, 0)</f>
        <v>45865.882986111108</v>
      </c>
      <c r="H315" t="str">
        <f>VLOOKUP(A315, Orders!$A:$C, 3, 0)</f>
        <v>Plant 1 Canteen</v>
      </c>
    </row>
    <row r="316" spans="1:8" x14ac:dyDescent="0.3">
      <c r="A316" t="s">
        <v>164</v>
      </c>
      <c r="B316" t="s">
        <v>408</v>
      </c>
      <c r="C316">
        <v>2</v>
      </c>
      <c r="D316">
        <f>VLOOKUP(B316, Menu!$A:$F, 6, 0)</f>
        <v>70.540000000000006</v>
      </c>
      <c r="E316">
        <f>VLOOKUP(B316, Menu!$A:$F, 5, 0)</f>
        <v>35.81</v>
      </c>
      <c r="F316" t="str">
        <f>VLOOKUP(B316, Menu!$A:$F, 3, 0)</f>
        <v>Snack</v>
      </c>
      <c r="G316" s="5">
        <f>VLOOKUP(A316, Orders!$A:$B, 2, 0)</f>
        <v>45851.510520833333</v>
      </c>
      <c r="H316" t="str">
        <f>VLOOKUP(A316, Orders!$A:$C, 3, 0)</f>
        <v>Head Office Café</v>
      </c>
    </row>
    <row r="317" spans="1:8" x14ac:dyDescent="0.3">
      <c r="A317" t="s">
        <v>164</v>
      </c>
      <c r="B317" t="s">
        <v>402</v>
      </c>
      <c r="C317">
        <v>2</v>
      </c>
      <c r="D317">
        <f>VLOOKUP(B317, Menu!$A:$F, 6, 0)</f>
        <v>30.34</v>
      </c>
      <c r="E317">
        <f>VLOOKUP(B317, Menu!$A:$F, 5, 0)</f>
        <v>14.18</v>
      </c>
      <c r="F317" t="str">
        <f>VLOOKUP(B317, Menu!$A:$F, 3, 0)</f>
        <v>Beverage</v>
      </c>
      <c r="G317" s="5">
        <f>VLOOKUP(A317, Orders!$A:$B, 2, 0)</f>
        <v>45851.510520833333</v>
      </c>
      <c r="H317" t="str">
        <f>VLOOKUP(A317, Orders!$A:$C, 3, 0)</f>
        <v>Head Office Café</v>
      </c>
    </row>
    <row r="318" spans="1:8" x14ac:dyDescent="0.3">
      <c r="A318" t="s">
        <v>165</v>
      </c>
      <c r="B318" t="s">
        <v>408</v>
      </c>
      <c r="C318">
        <v>2</v>
      </c>
      <c r="D318">
        <f>VLOOKUP(B318, Menu!$A:$F, 6, 0)</f>
        <v>70.540000000000006</v>
      </c>
      <c r="E318">
        <f>VLOOKUP(B318, Menu!$A:$F, 5, 0)</f>
        <v>35.81</v>
      </c>
      <c r="F318" t="str">
        <f>VLOOKUP(B318, Menu!$A:$F, 3, 0)</f>
        <v>Snack</v>
      </c>
      <c r="G318" s="5">
        <f>VLOOKUP(A318, Orders!$A:$B, 2, 0)</f>
        <v>45894.98609953704</v>
      </c>
      <c r="H318" t="str">
        <f>VLOOKUP(A318, Orders!$A:$C, 3, 0)</f>
        <v>Plant 2 Canteen</v>
      </c>
    </row>
    <row r="319" spans="1:8" x14ac:dyDescent="0.3">
      <c r="A319" t="s">
        <v>165</v>
      </c>
      <c r="B319" t="s">
        <v>415</v>
      </c>
      <c r="C319">
        <v>2</v>
      </c>
      <c r="D319">
        <f>VLOOKUP(B319, Menu!$A:$F, 6, 0)</f>
        <v>256.91000000000003</v>
      </c>
      <c r="E319">
        <f>VLOOKUP(B319, Menu!$A:$F, 5, 0)</f>
        <v>121.24</v>
      </c>
      <c r="F319" t="str">
        <f>VLOOKUP(B319, Menu!$A:$F, 3, 0)</f>
        <v>Hot Meal</v>
      </c>
      <c r="G319" s="5">
        <f>VLOOKUP(A319, Orders!$A:$B, 2, 0)</f>
        <v>45894.98609953704</v>
      </c>
      <c r="H319" t="str">
        <f>VLOOKUP(A319, Orders!$A:$C, 3, 0)</f>
        <v>Plant 2 Canteen</v>
      </c>
    </row>
    <row r="320" spans="1:8" x14ac:dyDescent="0.3">
      <c r="A320" t="s">
        <v>165</v>
      </c>
      <c r="B320" t="s">
        <v>404</v>
      </c>
      <c r="C320">
        <v>2</v>
      </c>
      <c r="D320">
        <f>VLOOKUP(B320, Menu!$A:$F, 6, 0)</f>
        <v>32.979999999999997</v>
      </c>
      <c r="E320">
        <f>VLOOKUP(B320, Menu!$A:$F, 5, 0)</f>
        <v>11.84</v>
      </c>
      <c r="F320" t="str">
        <f>VLOOKUP(B320, Menu!$A:$F, 3, 0)</f>
        <v>Beverage</v>
      </c>
      <c r="G320" s="5">
        <f>VLOOKUP(A320, Orders!$A:$B, 2, 0)</f>
        <v>45894.98609953704</v>
      </c>
      <c r="H320" t="str">
        <f>VLOOKUP(A320, Orders!$A:$C, 3, 0)</f>
        <v>Plant 2 Canteen</v>
      </c>
    </row>
    <row r="321" spans="1:8" x14ac:dyDescent="0.3">
      <c r="A321" t="s">
        <v>166</v>
      </c>
      <c r="B321" t="s">
        <v>405</v>
      </c>
      <c r="C321">
        <v>2</v>
      </c>
      <c r="D321">
        <f>VLOOKUP(B321, Menu!$A:$F, 6, 0)</f>
        <v>170.83</v>
      </c>
      <c r="E321">
        <f>VLOOKUP(B321, Menu!$A:$F, 5, 0)</f>
        <v>74.069999999999993</v>
      </c>
      <c r="F321" t="str">
        <f>VLOOKUP(B321, Menu!$A:$F, 3, 0)</f>
        <v>Hot Meal</v>
      </c>
      <c r="G321" s="5">
        <f>VLOOKUP(A321, Orders!$A:$B, 2, 0)</f>
        <v>45872.329259259262</v>
      </c>
      <c r="H321" t="str">
        <f>VLOOKUP(A321, Orders!$A:$C, 3, 0)</f>
        <v>Plant 1 Canteen</v>
      </c>
    </row>
    <row r="322" spans="1:8" x14ac:dyDescent="0.3">
      <c r="A322" t="s">
        <v>166</v>
      </c>
      <c r="B322" t="s">
        <v>413</v>
      </c>
      <c r="C322">
        <v>3</v>
      </c>
      <c r="D322">
        <f>VLOOKUP(B322, Menu!$A:$F, 6, 0)</f>
        <v>54.2</v>
      </c>
      <c r="E322">
        <f>VLOOKUP(B322, Menu!$A:$F, 5, 0)</f>
        <v>21.95</v>
      </c>
      <c r="F322" t="str">
        <f>VLOOKUP(B322, Menu!$A:$F, 3, 0)</f>
        <v>Dessert</v>
      </c>
      <c r="G322" s="5">
        <f>VLOOKUP(A322, Orders!$A:$B, 2, 0)</f>
        <v>45872.329259259262</v>
      </c>
      <c r="H322" t="str">
        <f>VLOOKUP(A322, Orders!$A:$C, 3, 0)</f>
        <v>Plant 1 Canteen</v>
      </c>
    </row>
    <row r="323" spans="1:8" x14ac:dyDescent="0.3">
      <c r="A323" t="s">
        <v>166</v>
      </c>
      <c r="B323" t="s">
        <v>407</v>
      </c>
      <c r="C323">
        <v>1</v>
      </c>
      <c r="D323">
        <f>VLOOKUP(B323, Menu!$A:$F, 6, 0)</f>
        <v>246.09</v>
      </c>
      <c r="E323">
        <f>VLOOKUP(B323, Menu!$A:$F, 5, 0)</f>
        <v>112.08</v>
      </c>
      <c r="F323" t="str">
        <f>VLOOKUP(B323, Menu!$A:$F, 3, 0)</f>
        <v>Hot Meal</v>
      </c>
      <c r="G323" s="5">
        <f>VLOOKUP(A323, Orders!$A:$B, 2, 0)</f>
        <v>45872.329259259262</v>
      </c>
      <c r="H323" t="str">
        <f>VLOOKUP(A323, Orders!$A:$C, 3, 0)</f>
        <v>Plant 1 Canteen</v>
      </c>
    </row>
    <row r="324" spans="1:8" x14ac:dyDescent="0.3">
      <c r="A324" t="s">
        <v>167</v>
      </c>
      <c r="B324" t="s">
        <v>414</v>
      </c>
      <c r="C324">
        <v>1</v>
      </c>
      <c r="D324">
        <f>VLOOKUP(B324, Menu!$A:$F, 6, 0)</f>
        <v>116.8</v>
      </c>
      <c r="E324">
        <f>VLOOKUP(B324, Menu!$A:$F, 5, 0)</f>
        <v>48.97</v>
      </c>
      <c r="F324" t="str">
        <f>VLOOKUP(B324, Menu!$A:$F, 3, 0)</f>
        <v>Dessert</v>
      </c>
      <c r="G324" s="5">
        <f>VLOOKUP(A324, Orders!$A:$B, 2, 0)</f>
        <v>45850.32675925926</v>
      </c>
      <c r="H324" t="str">
        <f>VLOOKUP(A324, Orders!$A:$C, 3, 0)</f>
        <v>Plant 1 Canteen</v>
      </c>
    </row>
    <row r="325" spans="1:8" x14ac:dyDescent="0.3">
      <c r="A325" t="s">
        <v>167</v>
      </c>
      <c r="B325" t="s">
        <v>403</v>
      </c>
      <c r="C325">
        <v>3</v>
      </c>
      <c r="D325">
        <f>VLOOKUP(B325, Menu!$A:$F, 6, 0)</f>
        <v>76.55</v>
      </c>
      <c r="E325">
        <f>VLOOKUP(B325, Menu!$A:$F, 5, 0)</f>
        <v>38.229999999999997</v>
      </c>
      <c r="F325" t="str">
        <f>VLOOKUP(B325, Menu!$A:$F, 3, 0)</f>
        <v>Dessert</v>
      </c>
      <c r="G325" s="5">
        <f>VLOOKUP(A325, Orders!$A:$B, 2, 0)</f>
        <v>45850.32675925926</v>
      </c>
      <c r="H325" t="str">
        <f>VLOOKUP(A325, Orders!$A:$C, 3, 0)</f>
        <v>Plant 1 Canteen</v>
      </c>
    </row>
    <row r="326" spans="1:8" x14ac:dyDescent="0.3">
      <c r="A326" t="s">
        <v>167</v>
      </c>
      <c r="B326" t="s">
        <v>408</v>
      </c>
      <c r="C326">
        <v>1</v>
      </c>
      <c r="D326">
        <f>VLOOKUP(B326, Menu!$A:$F, 6, 0)</f>
        <v>70.540000000000006</v>
      </c>
      <c r="E326">
        <f>VLOOKUP(B326, Menu!$A:$F, 5, 0)</f>
        <v>35.81</v>
      </c>
      <c r="F326" t="str">
        <f>VLOOKUP(B326, Menu!$A:$F, 3, 0)</f>
        <v>Snack</v>
      </c>
      <c r="G326" s="5">
        <f>VLOOKUP(A326, Orders!$A:$B, 2, 0)</f>
        <v>45850.32675925926</v>
      </c>
      <c r="H326" t="str">
        <f>VLOOKUP(A326, Orders!$A:$C, 3, 0)</f>
        <v>Plant 1 Canteen</v>
      </c>
    </row>
    <row r="327" spans="1:8" x14ac:dyDescent="0.3">
      <c r="A327" t="s">
        <v>168</v>
      </c>
      <c r="B327" t="s">
        <v>415</v>
      </c>
      <c r="C327">
        <v>1</v>
      </c>
      <c r="D327">
        <f>VLOOKUP(B327, Menu!$A:$F, 6, 0)</f>
        <v>256.91000000000003</v>
      </c>
      <c r="E327">
        <f>VLOOKUP(B327, Menu!$A:$F, 5, 0)</f>
        <v>121.24</v>
      </c>
      <c r="F327" t="str">
        <f>VLOOKUP(B327, Menu!$A:$F, 3, 0)</f>
        <v>Hot Meal</v>
      </c>
      <c r="G327" s="5">
        <f>VLOOKUP(A327, Orders!$A:$B, 2, 0)</f>
        <v>45895.273194444453</v>
      </c>
      <c r="H327" t="str">
        <f>VLOOKUP(A327, Orders!$A:$C, 3, 0)</f>
        <v>Head Office Café</v>
      </c>
    </row>
    <row r="328" spans="1:8" x14ac:dyDescent="0.3">
      <c r="A328" t="s">
        <v>168</v>
      </c>
      <c r="B328" t="s">
        <v>417</v>
      </c>
      <c r="C328">
        <v>1</v>
      </c>
      <c r="D328">
        <f>VLOOKUP(B328, Menu!$A:$F, 6, 0)</f>
        <v>146.4</v>
      </c>
      <c r="E328">
        <f>VLOOKUP(B328, Menu!$A:$F, 5, 0)</f>
        <v>80.92</v>
      </c>
      <c r="F328" t="str">
        <f>VLOOKUP(B328, Menu!$A:$F, 3, 0)</f>
        <v>Hot Meal</v>
      </c>
      <c r="G328" s="5">
        <f>VLOOKUP(A328, Orders!$A:$B, 2, 0)</f>
        <v>45895.273194444453</v>
      </c>
      <c r="H328" t="str">
        <f>VLOOKUP(A328, Orders!$A:$C, 3, 0)</f>
        <v>Head Office Café</v>
      </c>
    </row>
    <row r="329" spans="1:8" x14ac:dyDescent="0.3">
      <c r="A329" t="s">
        <v>168</v>
      </c>
      <c r="B329" t="s">
        <v>409</v>
      </c>
      <c r="C329">
        <v>2</v>
      </c>
      <c r="D329">
        <f>VLOOKUP(B329, Menu!$A:$F, 6, 0)</f>
        <v>28.43</v>
      </c>
      <c r="E329">
        <f>VLOOKUP(B329, Menu!$A:$F, 5, 0)</f>
        <v>13.89</v>
      </c>
      <c r="F329" t="str">
        <f>VLOOKUP(B329, Menu!$A:$F, 3, 0)</f>
        <v>Beverage</v>
      </c>
      <c r="G329" s="5">
        <f>VLOOKUP(A329, Orders!$A:$B, 2, 0)</f>
        <v>45895.273194444453</v>
      </c>
      <c r="H329" t="str">
        <f>VLOOKUP(A329, Orders!$A:$C, 3, 0)</f>
        <v>Head Office Café</v>
      </c>
    </row>
    <row r="330" spans="1:8" x14ac:dyDescent="0.3">
      <c r="A330" t="s">
        <v>168</v>
      </c>
      <c r="B330" t="s">
        <v>405</v>
      </c>
      <c r="C330">
        <v>1</v>
      </c>
      <c r="D330">
        <f>VLOOKUP(B330, Menu!$A:$F, 6, 0)</f>
        <v>170.83</v>
      </c>
      <c r="E330">
        <f>VLOOKUP(B330, Menu!$A:$F, 5, 0)</f>
        <v>74.069999999999993</v>
      </c>
      <c r="F330" t="str">
        <f>VLOOKUP(B330, Menu!$A:$F, 3, 0)</f>
        <v>Hot Meal</v>
      </c>
      <c r="G330" s="5">
        <f>VLOOKUP(A330, Orders!$A:$B, 2, 0)</f>
        <v>45895.273194444453</v>
      </c>
      <c r="H330" t="str">
        <f>VLOOKUP(A330, Orders!$A:$C, 3, 0)</f>
        <v>Head Office Café</v>
      </c>
    </row>
    <row r="331" spans="1:8" x14ac:dyDescent="0.3">
      <c r="A331" t="s">
        <v>169</v>
      </c>
      <c r="B331" t="s">
        <v>415</v>
      </c>
      <c r="C331">
        <v>1</v>
      </c>
      <c r="D331">
        <f>VLOOKUP(B331, Menu!$A:$F, 6, 0)</f>
        <v>256.91000000000003</v>
      </c>
      <c r="E331">
        <f>VLOOKUP(B331, Menu!$A:$F, 5, 0)</f>
        <v>121.24</v>
      </c>
      <c r="F331" t="str">
        <f>VLOOKUP(B331, Menu!$A:$F, 3, 0)</f>
        <v>Hot Meal</v>
      </c>
      <c r="G331" s="5">
        <f>VLOOKUP(A331, Orders!$A:$B, 2, 0)</f>
        <v>45853.735648148147</v>
      </c>
      <c r="H331" t="str">
        <f>VLOOKUP(A331, Orders!$A:$C, 3, 0)</f>
        <v>Head Office Café</v>
      </c>
    </row>
    <row r="332" spans="1:8" x14ac:dyDescent="0.3">
      <c r="A332" t="s">
        <v>169</v>
      </c>
      <c r="B332" t="s">
        <v>414</v>
      </c>
      <c r="C332">
        <v>2</v>
      </c>
      <c r="D332">
        <f>VLOOKUP(B332, Menu!$A:$F, 6, 0)</f>
        <v>116.8</v>
      </c>
      <c r="E332">
        <f>VLOOKUP(B332, Menu!$A:$F, 5, 0)</f>
        <v>48.97</v>
      </c>
      <c r="F332" t="str">
        <f>VLOOKUP(B332, Menu!$A:$F, 3, 0)</f>
        <v>Dessert</v>
      </c>
      <c r="G332" s="5">
        <f>VLOOKUP(A332, Orders!$A:$B, 2, 0)</f>
        <v>45853.735648148147</v>
      </c>
      <c r="H332" t="str">
        <f>VLOOKUP(A332, Orders!$A:$C, 3, 0)</f>
        <v>Head Office Café</v>
      </c>
    </row>
    <row r="333" spans="1:8" x14ac:dyDescent="0.3">
      <c r="A333" t="s">
        <v>170</v>
      </c>
      <c r="B333" t="s">
        <v>409</v>
      </c>
      <c r="C333">
        <v>1</v>
      </c>
      <c r="D333">
        <f>VLOOKUP(B333, Menu!$A:$F, 6, 0)</f>
        <v>28.43</v>
      </c>
      <c r="E333">
        <f>VLOOKUP(B333, Menu!$A:$F, 5, 0)</f>
        <v>13.89</v>
      </c>
      <c r="F333" t="str">
        <f>VLOOKUP(B333, Menu!$A:$F, 3, 0)</f>
        <v>Beverage</v>
      </c>
      <c r="G333" s="5">
        <f>VLOOKUP(A333, Orders!$A:$B, 2, 0)</f>
        <v>45850.750497685192</v>
      </c>
      <c r="H333" t="str">
        <f>VLOOKUP(A333, Orders!$A:$C, 3, 0)</f>
        <v>Head Office Café</v>
      </c>
    </row>
    <row r="334" spans="1:8" x14ac:dyDescent="0.3">
      <c r="A334" t="s">
        <v>170</v>
      </c>
      <c r="B334" t="s">
        <v>412</v>
      </c>
      <c r="C334">
        <v>2</v>
      </c>
      <c r="D334">
        <f>VLOOKUP(B334, Menu!$A:$F, 6, 0)</f>
        <v>57.07</v>
      </c>
      <c r="E334">
        <f>VLOOKUP(B334, Menu!$A:$F, 5, 0)</f>
        <v>29.14</v>
      </c>
      <c r="F334" t="str">
        <f>VLOOKUP(B334, Menu!$A:$F, 3, 0)</f>
        <v>Dessert</v>
      </c>
      <c r="G334" s="5">
        <f>VLOOKUP(A334, Orders!$A:$B, 2, 0)</f>
        <v>45850.750497685192</v>
      </c>
      <c r="H334" t="str">
        <f>VLOOKUP(A334, Orders!$A:$C, 3, 0)</f>
        <v>Head Office Café</v>
      </c>
    </row>
    <row r="335" spans="1:8" x14ac:dyDescent="0.3">
      <c r="A335" t="s">
        <v>170</v>
      </c>
      <c r="B335" t="s">
        <v>414</v>
      </c>
      <c r="C335">
        <v>2</v>
      </c>
      <c r="D335">
        <f>VLOOKUP(B335, Menu!$A:$F, 6, 0)</f>
        <v>116.8</v>
      </c>
      <c r="E335">
        <f>VLOOKUP(B335, Menu!$A:$F, 5, 0)</f>
        <v>48.97</v>
      </c>
      <c r="F335" t="str">
        <f>VLOOKUP(B335, Menu!$A:$F, 3, 0)</f>
        <v>Dessert</v>
      </c>
      <c r="G335" s="5">
        <f>VLOOKUP(A335, Orders!$A:$B, 2, 0)</f>
        <v>45850.750497685192</v>
      </c>
      <c r="H335" t="str">
        <f>VLOOKUP(A335, Orders!$A:$C, 3, 0)</f>
        <v>Head Office Café</v>
      </c>
    </row>
    <row r="336" spans="1:8" x14ac:dyDescent="0.3">
      <c r="A336" t="s">
        <v>171</v>
      </c>
      <c r="B336" t="s">
        <v>404</v>
      </c>
      <c r="C336">
        <v>3</v>
      </c>
      <c r="D336">
        <f>VLOOKUP(B336, Menu!$A:$F, 6, 0)</f>
        <v>32.979999999999997</v>
      </c>
      <c r="E336">
        <f>VLOOKUP(B336, Menu!$A:$F, 5, 0)</f>
        <v>11.84</v>
      </c>
      <c r="F336" t="str">
        <f>VLOOKUP(B336, Menu!$A:$F, 3, 0)</f>
        <v>Beverage</v>
      </c>
      <c r="G336" s="5">
        <f>VLOOKUP(A336, Orders!$A:$B, 2, 0)</f>
        <v>45889.986759259264</v>
      </c>
      <c r="H336" t="str">
        <f>VLOOKUP(A336, Orders!$A:$C, 3, 0)</f>
        <v>Plant 2 Canteen</v>
      </c>
    </row>
    <row r="337" spans="1:8" x14ac:dyDescent="0.3">
      <c r="A337" t="s">
        <v>172</v>
      </c>
      <c r="B337" t="s">
        <v>412</v>
      </c>
      <c r="C337">
        <v>2</v>
      </c>
      <c r="D337">
        <f>VLOOKUP(B337, Menu!$A:$F, 6, 0)</f>
        <v>57.07</v>
      </c>
      <c r="E337">
        <f>VLOOKUP(B337, Menu!$A:$F, 5, 0)</f>
        <v>29.14</v>
      </c>
      <c r="F337" t="str">
        <f>VLOOKUP(B337, Menu!$A:$F, 3, 0)</f>
        <v>Dessert</v>
      </c>
      <c r="G337" s="5">
        <f>VLOOKUP(A337, Orders!$A:$B, 2, 0)</f>
        <v>45896.390115740738</v>
      </c>
      <c r="H337" t="str">
        <f>VLOOKUP(A337, Orders!$A:$C, 3, 0)</f>
        <v>Plant 2 Canteen</v>
      </c>
    </row>
    <row r="338" spans="1:8" x14ac:dyDescent="0.3">
      <c r="A338" t="s">
        <v>172</v>
      </c>
      <c r="B338" t="s">
        <v>410</v>
      </c>
      <c r="C338">
        <v>1</v>
      </c>
      <c r="D338">
        <f>VLOOKUP(B338, Menu!$A:$F, 6, 0)</f>
        <v>20.11</v>
      </c>
      <c r="E338">
        <f>VLOOKUP(B338, Menu!$A:$F, 5, 0)</f>
        <v>8</v>
      </c>
      <c r="F338" t="str">
        <f>VLOOKUP(B338, Menu!$A:$F, 3, 0)</f>
        <v>Beverage</v>
      </c>
      <c r="G338" s="5">
        <f>VLOOKUP(A338, Orders!$A:$B, 2, 0)</f>
        <v>45896.390115740738</v>
      </c>
      <c r="H338" t="str">
        <f>VLOOKUP(A338, Orders!$A:$C, 3, 0)</f>
        <v>Plant 2 Canteen</v>
      </c>
    </row>
    <row r="339" spans="1:8" x14ac:dyDescent="0.3">
      <c r="A339" t="s">
        <v>172</v>
      </c>
      <c r="B339" t="s">
        <v>404</v>
      </c>
      <c r="C339">
        <v>2</v>
      </c>
      <c r="D339">
        <f>VLOOKUP(B339, Menu!$A:$F, 6, 0)</f>
        <v>32.979999999999997</v>
      </c>
      <c r="E339">
        <f>VLOOKUP(B339, Menu!$A:$F, 5, 0)</f>
        <v>11.84</v>
      </c>
      <c r="F339" t="str">
        <f>VLOOKUP(B339, Menu!$A:$F, 3, 0)</f>
        <v>Beverage</v>
      </c>
      <c r="G339" s="5">
        <f>VLOOKUP(A339, Orders!$A:$B, 2, 0)</f>
        <v>45896.390115740738</v>
      </c>
      <c r="H339" t="str">
        <f>VLOOKUP(A339, Orders!$A:$C, 3, 0)</f>
        <v>Plant 2 Canteen</v>
      </c>
    </row>
    <row r="340" spans="1:8" x14ac:dyDescent="0.3">
      <c r="A340" t="s">
        <v>173</v>
      </c>
      <c r="B340" t="s">
        <v>401</v>
      </c>
      <c r="C340">
        <v>2</v>
      </c>
      <c r="D340">
        <f>VLOOKUP(B340, Menu!$A:$F, 6, 0)</f>
        <v>52.45</v>
      </c>
      <c r="E340">
        <f>VLOOKUP(B340, Menu!$A:$F, 5, 0)</f>
        <v>25.8</v>
      </c>
      <c r="F340" t="str">
        <f>VLOOKUP(B340, Menu!$A:$F, 3, 0)</f>
        <v>Snack</v>
      </c>
      <c r="G340" s="5">
        <f>VLOOKUP(A340, Orders!$A:$B, 2, 0)</f>
        <v>45898.439282407409</v>
      </c>
      <c r="H340" t="str">
        <f>VLOOKUP(A340, Orders!$A:$C, 3, 0)</f>
        <v>Head Office Café</v>
      </c>
    </row>
    <row r="341" spans="1:8" x14ac:dyDescent="0.3">
      <c r="A341" t="s">
        <v>173</v>
      </c>
      <c r="B341" t="s">
        <v>416</v>
      </c>
      <c r="C341">
        <v>2</v>
      </c>
      <c r="D341">
        <f>VLOOKUP(B341, Menu!$A:$F, 6, 0)</f>
        <v>227.61</v>
      </c>
      <c r="E341">
        <f>VLOOKUP(B341, Menu!$A:$F, 5, 0)</f>
        <v>96.22</v>
      </c>
      <c r="F341" t="str">
        <f>VLOOKUP(B341, Menu!$A:$F, 3, 0)</f>
        <v>Hot Meal</v>
      </c>
      <c r="G341" s="5">
        <f>VLOOKUP(A341, Orders!$A:$B, 2, 0)</f>
        <v>45898.439282407409</v>
      </c>
      <c r="H341" t="str">
        <f>VLOOKUP(A341, Orders!$A:$C, 3, 0)</f>
        <v>Head Office Café</v>
      </c>
    </row>
    <row r="342" spans="1:8" x14ac:dyDescent="0.3">
      <c r="A342" t="s">
        <v>174</v>
      </c>
      <c r="B342" t="s">
        <v>411</v>
      </c>
      <c r="C342">
        <v>1</v>
      </c>
      <c r="D342">
        <f>VLOOKUP(B342, Menu!$A:$F, 6, 0)</f>
        <v>22.2</v>
      </c>
      <c r="E342">
        <f>VLOOKUP(B342, Menu!$A:$F, 5, 0)</f>
        <v>9.3800000000000008</v>
      </c>
      <c r="F342" t="str">
        <f>VLOOKUP(B342, Menu!$A:$F, 3, 0)</f>
        <v>Beverage</v>
      </c>
      <c r="G342" s="5">
        <f>VLOOKUP(A342, Orders!$A:$B, 2, 0)</f>
        <v>45864.94458333333</v>
      </c>
      <c r="H342" t="str">
        <f>VLOOKUP(A342, Orders!$A:$C, 3, 0)</f>
        <v>Head Office Café</v>
      </c>
    </row>
    <row r="343" spans="1:8" x14ac:dyDescent="0.3">
      <c r="A343" t="s">
        <v>174</v>
      </c>
      <c r="B343" t="s">
        <v>404</v>
      </c>
      <c r="C343">
        <v>1</v>
      </c>
      <c r="D343">
        <f>VLOOKUP(B343, Menu!$A:$F, 6, 0)</f>
        <v>32.979999999999997</v>
      </c>
      <c r="E343">
        <f>VLOOKUP(B343, Menu!$A:$F, 5, 0)</f>
        <v>11.84</v>
      </c>
      <c r="F343" t="str">
        <f>VLOOKUP(B343, Menu!$A:$F, 3, 0)</f>
        <v>Beverage</v>
      </c>
      <c r="G343" s="5">
        <f>VLOOKUP(A343, Orders!$A:$B, 2, 0)</f>
        <v>45864.94458333333</v>
      </c>
      <c r="H343" t="str">
        <f>VLOOKUP(A343, Orders!$A:$C, 3, 0)</f>
        <v>Head Office Café</v>
      </c>
    </row>
    <row r="344" spans="1:8" x14ac:dyDescent="0.3">
      <c r="A344" t="s">
        <v>174</v>
      </c>
      <c r="B344" t="s">
        <v>412</v>
      </c>
      <c r="C344">
        <v>2</v>
      </c>
      <c r="D344">
        <f>VLOOKUP(B344, Menu!$A:$F, 6, 0)</f>
        <v>57.07</v>
      </c>
      <c r="E344">
        <f>VLOOKUP(B344, Menu!$A:$F, 5, 0)</f>
        <v>29.14</v>
      </c>
      <c r="F344" t="str">
        <f>VLOOKUP(B344, Menu!$A:$F, 3, 0)</f>
        <v>Dessert</v>
      </c>
      <c r="G344" s="5">
        <f>VLOOKUP(A344, Orders!$A:$B, 2, 0)</f>
        <v>45864.94458333333</v>
      </c>
      <c r="H344" t="str">
        <f>VLOOKUP(A344, Orders!$A:$C, 3, 0)</f>
        <v>Head Office Café</v>
      </c>
    </row>
    <row r="345" spans="1:8" x14ac:dyDescent="0.3">
      <c r="A345" t="s">
        <v>174</v>
      </c>
      <c r="B345" t="s">
        <v>417</v>
      </c>
      <c r="C345">
        <v>1</v>
      </c>
      <c r="D345">
        <f>VLOOKUP(B345, Menu!$A:$F, 6, 0)</f>
        <v>146.4</v>
      </c>
      <c r="E345">
        <f>VLOOKUP(B345, Menu!$A:$F, 5, 0)</f>
        <v>80.92</v>
      </c>
      <c r="F345" t="str">
        <f>VLOOKUP(B345, Menu!$A:$F, 3, 0)</f>
        <v>Hot Meal</v>
      </c>
      <c r="G345" s="5">
        <f>VLOOKUP(A345, Orders!$A:$B, 2, 0)</f>
        <v>45864.94458333333</v>
      </c>
      <c r="H345" t="str">
        <f>VLOOKUP(A345, Orders!$A:$C, 3, 0)</f>
        <v>Head Office Café</v>
      </c>
    </row>
    <row r="346" spans="1:8" x14ac:dyDescent="0.3">
      <c r="A346" t="s">
        <v>175</v>
      </c>
      <c r="B346" t="s">
        <v>419</v>
      </c>
      <c r="C346">
        <v>2</v>
      </c>
      <c r="D346">
        <f>VLOOKUP(B346, Menu!$A:$F, 6, 0)</f>
        <v>50.19</v>
      </c>
      <c r="E346">
        <f>VLOOKUP(B346, Menu!$A:$F, 5, 0)</f>
        <v>22.61</v>
      </c>
      <c r="F346" t="str">
        <f>VLOOKUP(B346, Menu!$A:$F, 3, 0)</f>
        <v>Snack</v>
      </c>
      <c r="G346" s="5">
        <f>VLOOKUP(A346, Orders!$A:$B, 2, 0)</f>
        <v>45856.125613425917</v>
      </c>
      <c r="H346" t="str">
        <f>VLOOKUP(A346, Orders!$A:$C, 3, 0)</f>
        <v>Head Office Café</v>
      </c>
    </row>
    <row r="347" spans="1:8" x14ac:dyDescent="0.3">
      <c r="A347" t="s">
        <v>176</v>
      </c>
      <c r="B347" t="s">
        <v>412</v>
      </c>
      <c r="C347">
        <v>2</v>
      </c>
      <c r="D347">
        <f>VLOOKUP(B347, Menu!$A:$F, 6, 0)</f>
        <v>57.07</v>
      </c>
      <c r="E347">
        <f>VLOOKUP(B347, Menu!$A:$F, 5, 0)</f>
        <v>29.14</v>
      </c>
      <c r="F347" t="str">
        <f>VLOOKUP(B347, Menu!$A:$F, 3, 0)</f>
        <v>Dessert</v>
      </c>
      <c r="G347" s="5">
        <f>VLOOKUP(A347, Orders!$A:$B, 2, 0)</f>
        <v>45878.913113425922</v>
      </c>
      <c r="H347" t="str">
        <f>VLOOKUP(A347, Orders!$A:$C, 3, 0)</f>
        <v>Plant 2 Canteen</v>
      </c>
    </row>
    <row r="348" spans="1:8" x14ac:dyDescent="0.3">
      <c r="A348" t="s">
        <v>176</v>
      </c>
      <c r="B348" t="s">
        <v>416</v>
      </c>
      <c r="C348">
        <v>2</v>
      </c>
      <c r="D348">
        <f>VLOOKUP(B348, Menu!$A:$F, 6, 0)</f>
        <v>227.61</v>
      </c>
      <c r="E348">
        <f>VLOOKUP(B348, Menu!$A:$F, 5, 0)</f>
        <v>96.22</v>
      </c>
      <c r="F348" t="str">
        <f>VLOOKUP(B348, Menu!$A:$F, 3, 0)</f>
        <v>Hot Meal</v>
      </c>
      <c r="G348" s="5">
        <f>VLOOKUP(A348, Orders!$A:$B, 2, 0)</f>
        <v>45878.913113425922</v>
      </c>
      <c r="H348" t="str">
        <f>VLOOKUP(A348, Orders!$A:$C, 3, 0)</f>
        <v>Plant 2 Canteen</v>
      </c>
    </row>
    <row r="349" spans="1:8" x14ac:dyDescent="0.3">
      <c r="A349" t="s">
        <v>176</v>
      </c>
      <c r="B349" t="s">
        <v>401</v>
      </c>
      <c r="C349">
        <v>3</v>
      </c>
      <c r="D349">
        <f>VLOOKUP(B349, Menu!$A:$F, 6, 0)</f>
        <v>52.45</v>
      </c>
      <c r="E349">
        <f>VLOOKUP(B349, Menu!$A:$F, 5, 0)</f>
        <v>25.8</v>
      </c>
      <c r="F349" t="str">
        <f>VLOOKUP(B349, Menu!$A:$F, 3, 0)</f>
        <v>Snack</v>
      </c>
      <c r="G349" s="5">
        <f>VLOOKUP(A349, Orders!$A:$B, 2, 0)</f>
        <v>45878.913113425922</v>
      </c>
      <c r="H349" t="str">
        <f>VLOOKUP(A349, Orders!$A:$C, 3, 0)</f>
        <v>Plant 2 Canteen</v>
      </c>
    </row>
    <row r="350" spans="1:8" x14ac:dyDescent="0.3">
      <c r="A350" t="s">
        <v>177</v>
      </c>
      <c r="B350" t="s">
        <v>419</v>
      </c>
      <c r="C350">
        <v>3</v>
      </c>
      <c r="D350">
        <f>VLOOKUP(B350, Menu!$A:$F, 6, 0)</f>
        <v>50.19</v>
      </c>
      <c r="E350">
        <f>VLOOKUP(B350, Menu!$A:$F, 5, 0)</f>
        <v>22.61</v>
      </c>
      <c r="F350" t="str">
        <f>VLOOKUP(B350, Menu!$A:$F, 3, 0)</f>
        <v>Snack</v>
      </c>
      <c r="G350" s="5">
        <f>VLOOKUP(A350, Orders!$A:$B, 2, 0)</f>
        <v>45867.52847222222</v>
      </c>
      <c r="H350" t="str">
        <f>VLOOKUP(A350, Orders!$A:$C, 3, 0)</f>
        <v>Plant 1 Canteen</v>
      </c>
    </row>
    <row r="351" spans="1:8" x14ac:dyDescent="0.3">
      <c r="A351" t="s">
        <v>177</v>
      </c>
      <c r="B351" t="s">
        <v>406</v>
      </c>
      <c r="C351">
        <v>2</v>
      </c>
      <c r="D351">
        <f>VLOOKUP(B351, Menu!$A:$F, 6, 0)</f>
        <v>38.06</v>
      </c>
      <c r="E351">
        <f>VLOOKUP(B351, Menu!$A:$F, 5, 0)</f>
        <v>19.55</v>
      </c>
      <c r="F351" t="str">
        <f>VLOOKUP(B351, Menu!$A:$F, 3, 0)</f>
        <v>Snack</v>
      </c>
      <c r="G351" s="5">
        <f>VLOOKUP(A351, Orders!$A:$B, 2, 0)</f>
        <v>45867.52847222222</v>
      </c>
      <c r="H351" t="str">
        <f>VLOOKUP(A351, Orders!$A:$C, 3, 0)</f>
        <v>Plant 1 Canteen</v>
      </c>
    </row>
    <row r="352" spans="1:8" x14ac:dyDescent="0.3">
      <c r="A352" t="s">
        <v>177</v>
      </c>
      <c r="B352" t="s">
        <v>404</v>
      </c>
      <c r="C352">
        <v>1</v>
      </c>
      <c r="D352">
        <f>VLOOKUP(B352, Menu!$A:$F, 6, 0)</f>
        <v>32.979999999999997</v>
      </c>
      <c r="E352">
        <f>VLOOKUP(B352, Menu!$A:$F, 5, 0)</f>
        <v>11.84</v>
      </c>
      <c r="F352" t="str">
        <f>VLOOKUP(B352, Menu!$A:$F, 3, 0)</f>
        <v>Beverage</v>
      </c>
      <c r="G352" s="5">
        <f>VLOOKUP(A352, Orders!$A:$B, 2, 0)</f>
        <v>45867.52847222222</v>
      </c>
      <c r="H352" t="str">
        <f>VLOOKUP(A352, Orders!$A:$C, 3, 0)</f>
        <v>Plant 1 Canteen</v>
      </c>
    </row>
    <row r="353" spans="1:8" x14ac:dyDescent="0.3">
      <c r="A353" t="s">
        <v>177</v>
      </c>
      <c r="B353" t="s">
        <v>402</v>
      </c>
      <c r="C353">
        <v>2</v>
      </c>
      <c r="D353">
        <f>VLOOKUP(B353, Menu!$A:$F, 6, 0)</f>
        <v>30.34</v>
      </c>
      <c r="E353">
        <f>VLOOKUP(B353, Menu!$A:$F, 5, 0)</f>
        <v>14.18</v>
      </c>
      <c r="F353" t="str">
        <f>VLOOKUP(B353, Menu!$A:$F, 3, 0)</f>
        <v>Beverage</v>
      </c>
      <c r="G353" s="5">
        <f>VLOOKUP(A353, Orders!$A:$B, 2, 0)</f>
        <v>45867.52847222222</v>
      </c>
      <c r="H353" t="str">
        <f>VLOOKUP(A353, Orders!$A:$C, 3, 0)</f>
        <v>Plant 1 Canteen</v>
      </c>
    </row>
    <row r="354" spans="1:8" x14ac:dyDescent="0.3">
      <c r="A354" t="s">
        <v>178</v>
      </c>
      <c r="B354" t="s">
        <v>401</v>
      </c>
      <c r="C354">
        <v>1</v>
      </c>
      <c r="D354">
        <f>VLOOKUP(B354, Menu!$A:$F, 6, 0)</f>
        <v>52.45</v>
      </c>
      <c r="E354">
        <f>VLOOKUP(B354, Menu!$A:$F, 5, 0)</f>
        <v>25.8</v>
      </c>
      <c r="F354" t="str">
        <f>VLOOKUP(B354, Menu!$A:$F, 3, 0)</f>
        <v>Snack</v>
      </c>
      <c r="G354" s="5">
        <f>VLOOKUP(A354, Orders!$A:$B, 2, 0)</f>
        <v>45883.332060185188</v>
      </c>
      <c r="H354" t="str">
        <f>VLOOKUP(A354, Orders!$A:$C, 3, 0)</f>
        <v>Plant 1 Canteen</v>
      </c>
    </row>
    <row r="355" spans="1:8" x14ac:dyDescent="0.3">
      <c r="A355" t="s">
        <v>178</v>
      </c>
      <c r="B355" t="s">
        <v>409</v>
      </c>
      <c r="C355">
        <v>1</v>
      </c>
      <c r="D355">
        <f>VLOOKUP(B355, Menu!$A:$F, 6, 0)</f>
        <v>28.43</v>
      </c>
      <c r="E355">
        <f>VLOOKUP(B355, Menu!$A:$F, 5, 0)</f>
        <v>13.89</v>
      </c>
      <c r="F355" t="str">
        <f>VLOOKUP(B355, Menu!$A:$F, 3, 0)</f>
        <v>Beverage</v>
      </c>
      <c r="G355" s="5">
        <f>VLOOKUP(A355, Orders!$A:$B, 2, 0)</f>
        <v>45883.332060185188</v>
      </c>
      <c r="H355" t="str">
        <f>VLOOKUP(A355, Orders!$A:$C, 3, 0)</f>
        <v>Plant 1 Canteen</v>
      </c>
    </row>
    <row r="356" spans="1:8" x14ac:dyDescent="0.3">
      <c r="A356" t="s">
        <v>179</v>
      </c>
      <c r="B356" t="s">
        <v>409</v>
      </c>
      <c r="C356">
        <v>1</v>
      </c>
      <c r="D356">
        <f>VLOOKUP(B356, Menu!$A:$F, 6, 0)</f>
        <v>28.43</v>
      </c>
      <c r="E356">
        <f>VLOOKUP(B356, Menu!$A:$F, 5, 0)</f>
        <v>13.89</v>
      </c>
      <c r="F356" t="str">
        <f>VLOOKUP(B356, Menu!$A:$F, 3, 0)</f>
        <v>Beverage</v>
      </c>
      <c r="G356" s="5">
        <f>VLOOKUP(A356, Orders!$A:$B, 2, 0)</f>
        <v>45896.512881944444</v>
      </c>
      <c r="H356" t="str">
        <f>VLOOKUP(A356, Orders!$A:$C, 3, 0)</f>
        <v>Head Office Café</v>
      </c>
    </row>
    <row r="357" spans="1:8" x14ac:dyDescent="0.3">
      <c r="A357" t="s">
        <v>179</v>
      </c>
      <c r="B357" t="s">
        <v>419</v>
      </c>
      <c r="C357">
        <v>3</v>
      </c>
      <c r="D357">
        <f>VLOOKUP(B357, Menu!$A:$F, 6, 0)</f>
        <v>50.19</v>
      </c>
      <c r="E357">
        <f>VLOOKUP(B357, Menu!$A:$F, 5, 0)</f>
        <v>22.61</v>
      </c>
      <c r="F357" t="str">
        <f>VLOOKUP(B357, Menu!$A:$F, 3, 0)</f>
        <v>Snack</v>
      </c>
      <c r="G357" s="5">
        <f>VLOOKUP(A357, Orders!$A:$B, 2, 0)</f>
        <v>45896.512881944444</v>
      </c>
      <c r="H357" t="str">
        <f>VLOOKUP(A357, Orders!$A:$C, 3, 0)</f>
        <v>Head Office Café</v>
      </c>
    </row>
    <row r="358" spans="1:8" x14ac:dyDescent="0.3">
      <c r="A358" t="s">
        <v>180</v>
      </c>
      <c r="B358" t="s">
        <v>410</v>
      </c>
      <c r="C358">
        <v>2</v>
      </c>
      <c r="D358">
        <f>VLOOKUP(B358, Menu!$A:$F, 6, 0)</f>
        <v>20.11</v>
      </c>
      <c r="E358">
        <f>VLOOKUP(B358, Menu!$A:$F, 5, 0)</f>
        <v>8</v>
      </c>
      <c r="F358" t="str">
        <f>VLOOKUP(B358, Menu!$A:$F, 3, 0)</f>
        <v>Beverage</v>
      </c>
      <c r="G358" s="5">
        <f>VLOOKUP(A358, Orders!$A:$B, 2, 0)</f>
        <v>45892.121759259258</v>
      </c>
      <c r="H358" t="str">
        <f>VLOOKUP(A358, Orders!$A:$C, 3, 0)</f>
        <v>Plant 1 Canteen</v>
      </c>
    </row>
    <row r="359" spans="1:8" x14ac:dyDescent="0.3">
      <c r="A359" t="s">
        <v>181</v>
      </c>
      <c r="B359" t="s">
        <v>401</v>
      </c>
      <c r="C359">
        <v>1</v>
      </c>
      <c r="D359">
        <f>VLOOKUP(B359, Menu!$A:$F, 6, 0)</f>
        <v>52.45</v>
      </c>
      <c r="E359">
        <f>VLOOKUP(B359, Menu!$A:$F, 5, 0)</f>
        <v>25.8</v>
      </c>
      <c r="F359" t="str">
        <f>VLOOKUP(B359, Menu!$A:$F, 3, 0)</f>
        <v>Snack</v>
      </c>
      <c r="G359" s="5">
        <f>VLOOKUP(A359, Orders!$A:$B, 2, 0)</f>
        <v>45853.05976851852</v>
      </c>
      <c r="H359" t="str">
        <f>VLOOKUP(A359, Orders!$A:$C, 3, 0)</f>
        <v>Plant 1 Canteen</v>
      </c>
    </row>
    <row r="360" spans="1:8" x14ac:dyDescent="0.3">
      <c r="A360" t="s">
        <v>182</v>
      </c>
      <c r="B360" t="s">
        <v>404</v>
      </c>
      <c r="C360">
        <v>2</v>
      </c>
      <c r="D360">
        <f>VLOOKUP(B360, Menu!$A:$F, 6, 0)</f>
        <v>32.979999999999997</v>
      </c>
      <c r="E360">
        <f>VLOOKUP(B360, Menu!$A:$F, 5, 0)</f>
        <v>11.84</v>
      </c>
      <c r="F360" t="str">
        <f>VLOOKUP(B360, Menu!$A:$F, 3, 0)</f>
        <v>Beverage</v>
      </c>
      <c r="G360" s="5">
        <f>VLOOKUP(A360, Orders!$A:$B, 2, 0)</f>
        <v>45897.023043981477</v>
      </c>
      <c r="H360" t="str">
        <f>VLOOKUP(A360, Orders!$A:$C, 3, 0)</f>
        <v>Head Office Café</v>
      </c>
    </row>
    <row r="361" spans="1:8" x14ac:dyDescent="0.3">
      <c r="A361" t="s">
        <v>182</v>
      </c>
      <c r="B361" t="s">
        <v>412</v>
      </c>
      <c r="C361">
        <v>1</v>
      </c>
      <c r="D361">
        <f>VLOOKUP(B361, Menu!$A:$F, 6, 0)</f>
        <v>57.07</v>
      </c>
      <c r="E361">
        <f>VLOOKUP(B361, Menu!$A:$F, 5, 0)</f>
        <v>29.14</v>
      </c>
      <c r="F361" t="str">
        <f>VLOOKUP(B361, Menu!$A:$F, 3, 0)</f>
        <v>Dessert</v>
      </c>
      <c r="G361" s="5">
        <f>VLOOKUP(A361, Orders!$A:$B, 2, 0)</f>
        <v>45897.023043981477</v>
      </c>
      <c r="H361" t="str">
        <f>VLOOKUP(A361, Orders!$A:$C, 3, 0)</f>
        <v>Head Office Café</v>
      </c>
    </row>
    <row r="362" spans="1:8" x14ac:dyDescent="0.3">
      <c r="A362" t="s">
        <v>182</v>
      </c>
      <c r="B362" t="s">
        <v>414</v>
      </c>
      <c r="C362">
        <v>2</v>
      </c>
      <c r="D362">
        <f>VLOOKUP(B362, Menu!$A:$F, 6, 0)</f>
        <v>116.8</v>
      </c>
      <c r="E362">
        <f>VLOOKUP(B362, Menu!$A:$F, 5, 0)</f>
        <v>48.97</v>
      </c>
      <c r="F362" t="str">
        <f>VLOOKUP(B362, Menu!$A:$F, 3, 0)</f>
        <v>Dessert</v>
      </c>
      <c r="G362" s="5">
        <f>VLOOKUP(A362, Orders!$A:$B, 2, 0)</f>
        <v>45897.023043981477</v>
      </c>
      <c r="H362" t="str">
        <f>VLOOKUP(A362, Orders!$A:$C, 3, 0)</f>
        <v>Head Office Café</v>
      </c>
    </row>
    <row r="363" spans="1:8" x14ac:dyDescent="0.3">
      <c r="A363" t="s">
        <v>183</v>
      </c>
      <c r="B363" t="s">
        <v>415</v>
      </c>
      <c r="C363">
        <v>3</v>
      </c>
      <c r="D363">
        <f>VLOOKUP(B363, Menu!$A:$F, 6, 0)</f>
        <v>256.91000000000003</v>
      </c>
      <c r="E363">
        <f>VLOOKUP(B363, Menu!$A:$F, 5, 0)</f>
        <v>121.24</v>
      </c>
      <c r="F363" t="str">
        <f>VLOOKUP(B363, Menu!$A:$F, 3, 0)</f>
        <v>Hot Meal</v>
      </c>
      <c r="G363" s="5">
        <f>VLOOKUP(A363, Orders!$A:$B, 2, 0)</f>
        <v>45851.323541666658</v>
      </c>
      <c r="H363" t="str">
        <f>VLOOKUP(A363, Orders!$A:$C, 3, 0)</f>
        <v>Plant 2 Canteen</v>
      </c>
    </row>
    <row r="364" spans="1:8" x14ac:dyDescent="0.3">
      <c r="A364" t="s">
        <v>183</v>
      </c>
      <c r="B364" t="s">
        <v>411</v>
      </c>
      <c r="C364">
        <v>2</v>
      </c>
      <c r="D364">
        <f>VLOOKUP(B364, Menu!$A:$F, 6, 0)</f>
        <v>22.2</v>
      </c>
      <c r="E364">
        <f>VLOOKUP(B364, Menu!$A:$F, 5, 0)</f>
        <v>9.3800000000000008</v>
      </c>
      <c r="F364" t="str">
        <f>VLOOKUP(B364, Menu!$A:$F, 3, 0)</f>
        <v>Beverage</v>
      </c>
      <c r="G364" s="5">
        <f>VLOOKUP(A364, Orders!$A:$B, 2, 0)</f>
        <v>45851.323541666658</v>
      </c>
      <c r="H364" t="str">
        <f>VLOOKUP(A364, Orders!$A:$C, 3, 0)</f>
        <v>Plant 2 Canteen</v>
      </c>
    </row>
    <row r="365" spans="1:8" x14ac:dyDescent="0.3">
      <c r="A365" t="s">
        <v>183</v>
      </c>
      <c r="B365" t="s">
        <v>414</v>
      </c>
      <c r="C365">
        <v>1</v>
      </c>
      <c r="D365">
        <f>VLOOKUP(B365, Menu!$A:$F, 6, 0)</f>
        <v>116.8</v>
      </c>
      <c r="E365">
        <f>VLOOKUP(B365, Menu!$A:$F, 5, 0)</f>
        <v>48.97</v>
      </c>
      <c r="F365" t="str">
        <f>VLOOKUP(B365, Menu!$A:$F, 3, 0)</f>
        <v>Dessert</v>
      </c>
      <c r="G365" s="5">
        <f>VLOOKUP(A365, Orders!$A:$B, 2, 0)</f>
        <v>45851.323541666658</v>
      </c>
      <c r="H365" t="str">
        <f>VLOOKUP(A365, Orders!$A:$C, 3, 0)</f>
        <v>Plant 2 Canteen</v>
      </c>
    </row>
    <row r="366" spans="1:8" x14ac:dyDescent="0.3">
      <c r="A366" t="s">
        <v>183</v>
      </c>
      <c r="B366" t="s">
        <v>407</v>
      </c>
      <c r="C366">
        <v>3</v>
      </c>
      <c r="D366">
        <f>VLOOKUP(B366, Menu!$A:$F, 6, 0)</f>
        <v>246.09</v>
      </c>
      <c r="E366">
        <f>VLOOKUP(B366, Menu!$A:$F, 5, 0)</f>
        <v>112.08</v>
      </c>
      <c r="F366" t="str">
        <f>VLOOKUP(B366, Menu!$A:$F, 3, 0)</f>
        <v>Hot Meal</v>
      </c>
      <c r="G366" s="5">
        <f>VLOOKUP(A366, Orders!$A:$B, 2, 0)</f>
        <v>45851.323541666658</v>
      </c>
      <c r="H366" t="str">
        <f>VLOOKUP(A366, Orders!$A:$C, 3, 0)</f>
        <v>Plant 2 Canteen</v>
      </c>
    </row>
    <row r="367" spans="1:8" x14ac:dyDescent="0.3">
      <c r="A367" t="s">
        <v>184</v>
      </c>
      <c r="B367" t="s">
        <v>408</v>
      </c>
      <c r="C367">
        <v>1</v>
      </c>
      <c r="D367">
        <f>VLOOKUP(B367, Menu!$A:$F, 6, 0)</f>
        <v>70.540000000000006</v>
      </c>
      <c r="E367">
        <f>VLOOKUP(B367, Menu!$A:$F, 5, 0)</f>
        <v>35.81</v>
      </c>
      <c r="F367" t="str">
        <f>VLOOKUP(B367, Menu!$A:$F, 3, 0)</f>
        <v>Snack</v>
      </c>
      <c r="G367" s="5">
        <f>VLOOKUP(A367, Orders!$A:$B, 2, 0)</f>
        <v>45865.682476851849</v>
      </c>
      <c r="H367" t="str">
        <f>VLOOKUP(A367, Orders!$A:$C, 3, 0)</f>
        <v>Head Office Café</v>
      </c>
    </row>
    <row r="368" spans="1:8" x14ac:dyDescent="0.3">
      <c r="A368" t="s">
        <v>184</v>
      </c>
      <c r="B368" t="s">
        <v>405</v>
      </c>
      <c r="C368">
        <v>1</v>
      </c>
      <c r="D368">
        <f>VLOOKUP(B368, Menu!$A:$F, 6, 0)</f>
        <v>170.83</v>
      </c>
      <c r="E368">
        <f>VLOOKUP(B368, Menu!$A:$F, 5, 0)</f>
        <v>74.069999999999993</v>
      </c>
      <c r="F368" t="str">
        <f>VLOOKUP(B368, Menu!$A:$F, 3, 0)</f>
        <v>Hot Meal</v>
      </c>
      <c r="G368" s="5">
        <f>VLOOKUP(A368, Orders!$A:$B, 2, 0)</f>
        <v>45865.682476851849</v>
      </c>
      <c r="H368" t="str">
        <f>VLOOKUP(A368, Orders!$A:$C, 3, 0)</f>
        <v>Head Office Café</v>
      </c>
    </row>
    <row r="369" spans="1:8" x14ac:dyDescent="0.3">
      <c r="A369" t="s">
        <v>184</v>
      </c>
      <c r="B369" t="s">
        <v>404</v>
      </c>
      <c r="C369">
        <v>3</v>
      </c>
      <c r="D369">
        <f>VLOOKUP(B369, Menu!$A:$F, 6, 0)</f>
        <v>32.979999999999997</v>
      </c>
      <c r="E369">
        <f>VLOOKUP(B369, Menu!$A:$F, 5, 0)</f>
        <v>11.84</v>
      </c>
      <c r="F369" t="str">
        <f>VLOOKUP(B369, Menu!$A:$F, 3, 0)</f>
        <v>Beverage</v>
      </c>
      <c r="G369" s="5">
        <f>VLOOKUP(A369, Orders!$A:$B, 2, 0)</f>
        <v>45865.682476851849</v>
      </c>
      <c r="H369" t="str">
        <f>VLOOKUP(A369, Orders!$A:$C, 3, 0)</f>
        <v>Head Office Café</v>
      </c>
    </row>
    <row r="370" spans="1:8" x14ac:dyDescent="0.3">
      <c r="A370" t="s">
        <v>184</v>
      </c>
      <c r="B370" t="s">
        <v>409</v>
      </c>
      <c r="C370">
        <v>1</v>
      </c>
      <c r="D370">
        <f>VLOOKUP(B370, Menu!$A:$F, 6, 0)</f>
        <v>28.43</v>
      </c>
      <c r="E370">
        <f>VLOOKUP(B370, Menu!$A:$F, 5, 0)</f>
        <v>13.89</v>
      </c>
      <c r="F370" t="str">
        <f>VLOOKUP(B370, Menu!$A:$F, 3, 0)</f>
        <v>Beverage</v>
      </c>
      <c r="G370" s="5">
        <f>VLOOKUP(A370, Orders!$A:$B, 2, 0)</f>
        <v>45865.682476851849</v>
      </c>
      <c r="H370" t="str">
        <f>VLOOKUP(A370, Orders!$A:$C, 3, 0)</f>
        <v>Head Office Café</v>
      </c>
    </row>
    <row r="371" spans="1:8" x14ac:dyDescent="0.3">
      <c r="A371" t="s">
        <v>185</v>
      </c>
      <c r="B371" t="s">
        <v>402</v>
      </c>
      <c r="C371">
        <v>1</v>
      </c>
      <c r="D371">
        <f>VLOOKUP(B371, Menu!$A:$F, 6, 0)</f>
        <v>30.34</v>
      </c>
      <c r="E371">
        <f>VLOOKUP(B371, Menu!$A:$F, 5, 0)</f>
        <v>14.18</v>
      </c>
      <c r="F371" t="str">
        <f>VLOOKUP(B371, Menu!$A:$F, 3, 0)</f>
        <v>Beverage</v>
      </c>
      <c r="G371" s="5">
        <f>VLOOKUP(A371, Orders!$A:$B, 2, 0)</f>
        <v>45847.060127314813</v>
      </c>
      <c r="H371" t="str">
        <f>VLOOKUP(A371, Orders!$A:$C, 3, 0)</f>
        <v>Head Office Café</v>
      </c>
    </row>
    <row r="372" spans="1:8" x14ac:dyDescent="0.3">
      <c r="A372" t="s">
        <v>185</v>
      </c>
      <c r="B372" t="s">
        <v>418</v>
      </c>
      <c r="C372">
        <v>1</v>
      </c>
      <c r="D372">
        <f>VLOOKUP(B372, Menu!$A:$F, 6, 0)</f>
        <v>39.950000000000003</v>
      </c>
      <c r="E372">
        <f>VLOOKUP(B372, Menu!$A:$F, 5, 0)</f>
        <v>15.51</v>
      </c>
      <c r="F372" t="str">
        <f>VLOOKUP(B372, Menu!$A:$F, 3, 0)</f>
        <v>Snack</v>
      </c>
      <c r="G372" s="5">
        <f>VLOOKUP(A372, Orders!$A:$B, 2, 0)</f>
        <v>45847.060127314813</v>
      </c>
      <c r="H372" t="str">
        <f>VLOOKUP(A372, Orders!$A:$C, 3, 0)</f>
        <v>Head Office Café</v>
      </c>
    </row>
    <row r="373" spans="1:8" x14ac:dyDescent="0.3">
      <c r="A373" t="s">
        <v>186</v>
      </c>
      <c r="B373" t="s">
        <v>416</v>
      </c>
      <c r="C373">
        <v>1</v>
      </c>
      <c r="D373">
        <f>VLOOKUP(B373, Menu!$A:$F, 6, 0)</f>
        <v>227.61</v>
      </c>
      <c r="E373">
        <f>VLOOKUP(B373, Menu!$A:$F, 5, 0)</f>
        <v>96.22</v>
      </c>
      <c r="F373" t="str">
        <f>VLOOKUP(B373, Menu!$A:$F, 3, 0)</f>
        <v>Hot Meal</v>
      </c>
      <c r="G373" s="5">
        <f>VLOOKUP(A373, Orders!$A:$B, 2, 0)</f>
        <v>45897.86478009259</v>
      </c>
      <c r="H373" t="str">
        <f>VLOOKUP(A373, Orders!$A:$C, 3, 0)</f>
        <v>Plant 2 Canteen</v>
      </c>
    </row>
    <row r="374" spans="1:8" x14ac:dyDescent="0.3">
      <c r="A374" t="s">
        <v>186</v>
      </c>
      <c r="B374" t="s">
        <v>408</v>
      </c>
      <c r="C374">
        <v>1</v>
      </c>
      <c r="D374">
        <f>VLOOKUP(B374, Menu!$A:$F, 6, 0)</f>
        <v>70.540000000000006</v>
      </c>
      <c r="E374">
        <f>VLOOKUP(B374, Menu!$A:$F, 5, 0)</f>
        <v>35.81</v>
      </c>
      <c r="F374" t="str">
        <f>VLOOKUP(B374, Menu!$A:$F, 3, 0)</f>
        <v>Snack</v>
      </c>
      <c r="G374" s="5">
        <f>VLOOKUP(A374, Orders!$A:$B, 2, 0)</f>
        <v>45897.86478009259</v>
      </c>
      <c r="H374" t="str">
        <f>VLOOKUP(A374, Orders!$A:$C, 3, 0)</f>
        <v>Plant 2 Canteen</v>
      </c>
    </row>
    <row r="375" spans="1:8" x14ac:dyDescent="0.3">
      <c r="A375" t="s">
        <v>187</v>
      </c>
      <c r="B375" t="s">
        <v>405</v>
      </c>
      <c r="C375">
        <v>2</v>
      </c>
      <c r="D375">
        <f>VLOOKUP(B375, Menu!$A:$F, 6, 0)</f>
        <v>170.83</v>
      </c>
      <c r="E375">
        <f>VLOOKUP(B375, Menu!$A:$F, 5, 0)</f>
        <v>74.069999999999993</v>
      </c>
      <c r="F375" t="str">
        <f>VLOOKUP(B375, Menu!$A:$F, 3, 0)</f>
        <v>Hot Meal</v>
      </c>
      <c r="G375" s="5">
        <f>VLOOKUP(A375, Orders!$A:$B, 2, 0)</f>
        <v>45895.096284722233</v>
      </c>
      <c r="H375" t="str">
        <f>VLOOKUP(A375, Orders!$A:$C, 3, 0)</f>
        <v>Head Office Café</v>
      </c>
    </row>
    <row r="376" spans="1:8" x14ac:dyDescent="0.3">
      <c r="A376" t="s">
        <v>187</v>
      </c>
      <c r="B376" t="s">
        <v>407</v>
      </c>
      <c r="C376">
        <v>1</v>
      </c>
      <c r="D376">
        <f>VLOOKUP(B376, Menu!$A:$F, 6, 0)</f>
        <v>246.09</v>
      </c>
      <c r="E376">
        <f>VLOOKUP(B376, Menu!$A:$F, 5, 0)</f>
        <v>112.08</v>
      </c>
      <c r="F376" t="str">
        <f>VLOOKUP(B376, Menu!$A:$F, 3, 0)</f>
        <v>Hot Meal</v>
      </c>
      <c r="G376" s="5">
        <f>VLOOKUP(A376, Orders!$A:$B, 2, 0)</f>
        <v>45895.096284722233</v>
      </c>
      <c r="H376" t="str">
        <f>VLOOKUP(A376, Orders!$A:$C, 3, 0)</f>
        <v>Head Office Café</v>
      </c>
    </row>
    <row r="377" spans="1:8" x14ac:dyDescent="0.3">
      <c r="A377" t="s">
        <v>187</v>
      </c>
      <c r="B377" t="s">
        <v>416</v>
      </c>
      <c r="C377">
        <v>1</v>
      </c>
      <c r="D377">
        <f>VLOOKUP(B377, Menu!$A:$F, 6, 0)</f>
        <v>227.61</v>
      </c>
      <c r="E377">
        <f>VLOOKUP(B377, Menu!$A:$F, 5, 0)</f>
        <v>96.22</v>
      </c>
      <c r="F377" t="str">
        <f>VLOOKUP(B377, Menu!$A:$F, 3, 0)</f>
        <v>Hot Meal</v>
      </c>
      <c r="G377" s="5">
        <f>VLOOKUP(A377, Orders!$A:$B, 2, 0)</f>
        <v>45895.096284722233</v>
      </c>
      <c r="H377" t="str">
        <f>VLOOKUP(A377, Orders!$A:$C, 3, 0)</f>
        <v>Head Office Café</v>
      </c>
    </row>
    <row r="378" spans="1:8" x14ac:dyDescent="0.3">
      <c r="A378" t="s">
        <v>188</v>
      </c>
      <c r="B378" t="s">
        <v>416</v>
      </c>
      <c r="C378">
        <v>2</v>
      </c>
      <c r="D378">
        <f>VLOOKUP(B378, Menu!$A:$F, 6, 0)</f>
        <v>227.61</v>
      </c>
      <c r="E378">
        <f>VLOOKUP(B378, Menu!$A:$F, 5, 0)</f>
        <v>96.22</v>
      </c>
      <c r="F378" t="str">
        <f>VLOOKUP(B378, Menu!$A:$F, 3, 0)</f>
        <v>Hot Meal</v>
      </c>
      <c r="G378" s="5">
        <f>VLOOKUP(A378, Orders!$A:$B, 2, 0)</f>
        <v>45895.19803240741</v>
      </c>
      <c r="H378" t="str">
        <f>VLOOKUP(A378, Orders!$A:$C, 3, 0)</f>
        <v>Plant 1 Canteen</v>
      </c>
    </row>
    <row r="379" spans="1:8" x14ac:dyDescent="0.3">
      <c r="A379" t="s">
        <v>188</v>
      </c>
      <c r="B379" t="s">
        <v>417</v>
      </c>
      <c r="C379">
        <v>3</v>
      </c>
      <c r="D379">
        <f>VLOOKUP(B379, Menu!$A:$F, 6, 0)</f>
        <v>146.4</v>
      </c>
      <c r="E379">
        <f>VLOOKUP(B379, Menu!$A:$F, 5, 0)</f>
        <v>80.92</v>
      </c>
      <c r="F379" t="str">
        <f>VLOOKUP(B379, Menu!$A:$F, 3, 0)</f>
        <v>Hot Meal</v>
      </c>
      <c r="G379" s="5">
        <f>VLOOKUP(A379, Orders!$A:$B, 2, 0)</f>
        <v>45895.19803240741</v>
      </c>
      <c r="H379" t="str">
        <f>VLOOKUP(A379, Orders!$A:$C, 3, 0)</f>
        <v>Plant 1 Canteen</v>
      </c>
    </row>
    <row r="380" spans="1:8" x14ac:dyDescent="0.3">
      <c r="A380" t="s">
        <v>188</v>
      </c>
      <c r="B380" t="s">
        <v>407</v>
      </c>
      <c r="C380">
        <v>3</v>
      </c>
      <c r="D380">
        <f>VLOOKUP(B380, Menu!$A:$F, 6, 0)</f>
        <v>246.09</v>
      </c>
      <c r="E380">
        <f>VLOOKUP(B380, Menu!$A:$F, 5, 0)</f>
        <v>112.08</v>
      </c>
      <c r="F380" t="str">
        <f>VLOOKUP(B380, Menu!$A:$F, 3, 0)</f>
        <v>Hot Meal</v>
      </c>
      <c r="G380" s="5">
        <f>VLOOKUP(A380, Orders!$A:$B, 2, 0)</f>
        <v>45895.19803240741</v>
      </c>
      <c r="H380" t="str">
        <f>VLOOKUP(A380, Orders!$A:$C, 3, 0)</f>
        <v>Plant 1 Canteen</v>
      </c>
    </row>
    <row r="381" spans="1:8" x14ac:dyDescent="0.3">
      <c r="A381" t="s">
        <v>189</v>
      </c>
      <c r="B381" t="s">
        <v>417</v>
      </c>
      <c r="C381">
        <v>1</v>
      </c>
      <c r="D381">
        <f>VLOOKUP(B381, Menu!$A:$F, 6, 0)</f>
        <v>146.4</v>
      </c>
      <c r="E381">
        <f>VLOOKUP(B381, Menu!$A:$F, 5, 0)</f>
        <v>80.92</v>
      </c>
      <c r="F381" t="str">
        <f>VLOOKUP(B381, Menu!$A:$F, 3, 0)</f>
        <v>Hot Meal</v>
      </c>
      <c r="G381" s="5">
        <f>VLOOKUP(A381, Orders!$A:$B, 2, 0)</f>
        <v>45882.186215277783</v>
      </c>
      <c r="H381" t="str">
        <f>VLOOKUP(A381, Orders!$A:$C, 3, 0)</f>
        <v>Plant 2 Canteen</v>
      </c>
    </row>
    <row r="382" spans="1:8" x14ac:dyDescent="0.3">
      <c r="A382" t="s">
        <v>189</v>
      </c>
      <c r="B382" t="s">
        <v>402</v>
      </c>
      <c r="C382">
        <v>3</v>
      </c>
      <c r="D382">
        <f>VLOOKUP(B382, Menu!$A:$F, 6, 0)</f>
        <v>30.34</v>
      </c>
      <c r="E382">
        <f>VLOOKUP(B382, Menu!$A:$F, 5, 0)</f>
        <v>14.18</v>
      </c>
      <c r="F382" t="str">
        <f>VLOOKUP(B382, Menu!$A:$F, 3, 0)</f>
        <v>Beverage</v>
      </c>
      <c r="G382" s="5">
        <f>VLOOKUP(A382, Orders!$A:$B, 2, 0)</f>
        <v>45882.186215277783</v>
      </c>
      <c r="H382" t="str">
        <f>VLOOKUP(A382, Orders!$A:$C, 3, 0)</f>
        <v>Plant 2 Canteen</v>
      </c>
    </row>
    <row r="383" spans="1:8" x14ac:dyDescent="0.3">
      <c r="A383" t="s">
        <v>190</v>
      </c>
      <c r="B383" t="s">
        <v>410</v>
      </c>
      <c r="C383">
        <v>1</v>
      </c>
      <c r="D383">
        <f>VLOOKUP(B383, Menu!$A:$F, 6, 0)</f>
        <v>20.11</v>
      </c>
      <c r="E383">
        <f>VLOOKUP(B383, Menu!$A:$F, 5, 0)</f>
        <v>8</v>
      </c>
      <c r="F383" t="str">
        <f>VLOOKUP(B383, Menu!$A:$F, 3, 0)</f>
        <v>Beverage</v>
      </c>
      <c r="G383" s="5">
        <f>VLOOKUP(A383, Orders!$A:$B, 2, 0)</f>
        <v>45886.991828703707</v>
      </c>
      <c r="H383" t="str">
        <f>VLOOKUP(A383, Orders!$A:$C, 3, 0)</f>
        <v>Plant 1 Canteen</v>
      </c>
    </row>
    <row r="384" spans="1:8" x14ac:dyDescent="0.3">
      <c r="A384" t="s">
        <v>190</v>
      </c>
      <c r="B384" t="s">
        <v>409</v>
      </c>
      <c r="C384">
        <v>2</v>
      </c>
      <c r="D384">
        <f>VLOOKUP(B384, Menu!$A:$F, 6, 0)</f>
        <v>28.43</v>
      </c>
      <c r="E384">
        <f>VLOOKUP(B384, Menu!$A:$F, 5, 0)</f>
        <v>13.89</v>
      </c>
      <c r="F384" t="str">
        <f>VLOOKUP(B384, Menu!$A:$F, 3, 0)</f>
        <v>Beverage</v>
      </c>
      <c r="G384" s="5">
        <f>VLOOKUP(A384, Orders!$A:$B, 2, 0)</f>
        <v>45886.991828703707</v>
      </c>
      <c r="H384" t="str">
        <f>VLOOKUP(A384, Orders!$A:$C, 3, 0)</f>
        <v>Plant 1 Canteen</v>
      </c>
    </row>
    <row r="385" spans="1:8" x14ac:dyDescent="0.3">
      <c r="A385" t="s">
        <v>191</v>
      </c>
      <c r="B385" t="s">
        <v>419</v>
      </c>
      <c r="C385">
        <v>1</v>
      </c>
      <c r="D385">
        <f>VLOOKUP(B385, Menu!$A:$F, 6, 0)</f>
        <v>50.19</v>
      </c>
      <c r="E385">
        <f>VLOOKUP(B385, Menu!$A:$F, 5, 0)</f>
        <v>22.61</v>
      </c>
      <c r="F385" t="str">
        <f>VLOOKUP(B385, Menu!$A:$F, 3, 0)</f>
        <v>Snack</v>
      </c>
      <c r="G385" s="5">
        <f>VLOOKUP(A385, Orders!$A:$B, 2, 0)</f>
        <v>45871.611030092587</v>
      </c>
      <c r="H385" t="str">
        <f>VLOOKUP(A385, Orders!$A:$C, 3, 0)</f>
        <v>Plant 2 Canteen</v>
      </c>
    </row>
    <row r="386" spans="1:8" x14ac:dyDescent="0.3">
      <c r="A386" t="s">
        <v>191</v>
      </c>
      <c r="B386" t="s">
        <v>409</v>
      </c>
      <c r="C386">
        <v>2</v>
      </c>
      <c r="D386">
        <f>VLOOKUP(B386, Menu!$A:$F, 6, 0)</f>
        <v>28.43</v>
      </c>
      <c r="E386">
        <f>VLOOKUP(B386, Menu!$A:$F, 5, 0)</f>
        <v>13.89</v>
      </c>
      <c r="F386" t="str">
        <f>VLOOKUP(B386, Menu!$A:$F, 3, 0)</f>
        <v>Beverage</v>
      </c>
      <c r="G386" s="5">
        <f>VLOOKUP(A386, Orders!$A:$B, 2, 0)</f>
        <v>45871.611030092587</v>
      </c>
      <c r="H386" t="str">
        <f>VLOOKUP(A386, Orders!$A:$C, 3, 0)</f>
        <v>Plant 2 Canteen</v>
      </c>
    </row>
    <row r="387" spans="1:8" x14ac:dyDescent="0.3">
      <c r="A387" t="s">
        <v>191</v>
      </c>
      <c r="B387" t="s">
        <v>414</v>
      </c>
      <c r="C387">
        <v>2</v>
      </c>
      <c r="D387">
        <f>VLOOKUP(B387, Menu!$A:$F, 6, 0)</f>
        <v>116.8</v>
      </c>
      <c r="E387">
        <f>VLOOKUP(B387, Menu!$A:$F, 5, 0)</f>
        <v>48.97</v>
      </c>
      <c r="F387" t="str">
        <f>VLOOKUP(B387, Menu!$A:$F, 3, 0)</f>
        <v>Dessert</v>
      </c>
      <c r="G387" s="5">
        <f>VLOOKUP(A387, Orders!$A:$B, 2, 0)</f>
        <v>45871.611030092587</v>
      </c>
      <c r="H387" t="str">
        <f>VLOOKUP(A387, Orders!$A:$C, 3, 0)</f>
        <v>Plant 2 Canteen</v>
      </c>
    </row>
    <row r="388" spans="1:8" x14ac:dyDescent="0.3">
      <c r="A388" t="s">
        <v>191</v>
      </c>
      <c r="B388" t="s">
        <v>404</v>
      </c>
      <c r="C388">
        <v>1</v>
      </c>
      <c r="D388">
        <f>VLOOKUP(B388, Menu!$A:$F, 6, 0)</f>
        <v>32.979999999999997</v>
      </c>
      <c r="E388">
        <f>VLOOKUP(B388, Menu!$A:$F, 5, 0)</f>
        <v>11.84</v>
      </c>
      <c r="F388" t="str">
        <f>VLOOKUP(B388, Menu!$A:$F, 3, 0)</f>
        <v>Beverage</v>
      </c>
      <c r="G388" s="5">
        <f>VLOOKUP(A388, Orders!$A:$B, 2, 0)</f>
        <v>45871.611030092587</v>
      </c>
      <c r="H388" t="str">
        <f>VLOOKUP(A388, Orders!$A:$C, 3, 0)</f>
        <v>Plant 2 Canteen</v>
      </c>
    </row>
    <row r="389" spans="1:8" x14ac:dyDescent="0.3">
      <c r="A389" t="s">
        <v>192</v>
      </c>
      <c r="B389" t="s">
        <v>418</v>
      </c>
      <c r="C389">
        <v>2</v>
      </c>
      <c r="D389">
        <f>VLOOKUP(B389, Menu!$A:$F, 6, 0)</f>
        <v>39.950000000000003</v>
      </c>
      <c r="E389">
        <f>VLOOKUP(B389, Menu!$A:$F, 5, 0)</f>
        <v>15.51</v>
      </c>
      <c r="F389" t="str">
        <f>VLOOKUP(B389, Menu!$A:$F, 3, 0)</f>
        <v>Snack</v>
      </c>
      <c r="G389" s="5">
        <f>VLOOKUP(A389, Orders!$A:$B, 2, 0)</f>
        <v>45871.270752314813</v>
      </c>
      <c r="H389" t="str">
        <f>VLOOKUP(A389, Orders!$A:$C, 3, 0)</f>
        <v>Plant 2 Canteen</v>
      </c>
    </row>
    <row r="390" spans="1:8" x14ac:dyDescent="0.3">
      <c r="A390" t="s">
        <v>192</v>
      </c>
      <c r="B390" t="s">
        <v>401</v>
      </c>
      <c r="C390">
        <v>3</v>
      </c>
      <c r="D390">
        <f>VLOOKUP(B390, Menu!$A:$F, 6, 0)</f>
        <v>52.45</v>
      </c>
      <c r="E390">
        <f>VLOOKUP(B390, Menu!$A:$F, 5, 0)</f>
        <v>25.8</v>
      </c>
      <c r="F390" t="str">
        <f>VLOOKUP(B390, Menu!$A:$F, 3, 0)</f>
        <v>Snack</v>
      </c>
      <c r="G390" s="5">
        <f>VLOOKUP(A390, Orders!$A:$B, 2, 0)</f>
        <v>45871.270752314813</v>
      </c>
      <c r="H390" t="str">
        <f>VLOOKUP(A390, Orders!$A:$C, 3, 0)</f>
        <v>Plant 2 Canteen</v>
      </c>
    </row>
    <row r="391" spans="1:8" x14ac:dyDescent="0.3">
      <c r="A391" t="s">
        <v>192</v>
      </c>
      <c r="B391" t="s">
        <v>415</v>
      </c>
      <c r="C391">
        <v>2</v>
      </c>
      <c r="D391">
        <f>VLOOKUP(B391, Menu!$A:$F, 6, 0)</f>
        <v>256.91000000000003</v>
      </c>
      <c r="E391">
        <f>VLOOKUP(B391, Menu!$A:$F, 5, 0)</f>
        <v>121.24</v>
      </c>
      <c r="F391" t="str">
        <f>VLOOKUP(B391, Menu!$A:$F, 3, 0)</f>
        <v>Hot Meal</v>
      </c>
      <c r="G391" s="5">
        <f>VLOOKUP(A391, Orders!$A:$B, 2, 0)</f>
        <v>45871.270752314813</v>
      </c>
      <c r="H391" t="str">
        <f>VLOOKUP(A391, Orders!$A:$C, 3, 0)</f>
        <v>Plant 2 Canteen</v>
      </c>
    </row>
    <row r="392" spans="1:8" x14ac:dyDescent="0.3">
      <c r="A392" t="s">
        <v>192</v>
      </c>
      <c r="B392" t="s">
        <v>412</v>
      </c>
      <c r="C392">
        <v>1</v>
      </c>
      <c r="D392">
        <f>VLOOKUP(B392, Menu!$A:$F, 6, 0)</f>
        <v>57.07</v>
      </c>
      <c r="E392">
        <f>VLOOKUP(B392, Menu!$A:$F, 5, 0)</f>
        <v>29.14</v>
      </c>
      <c r="F392" t="str">
        <f>VLOOKUP(B392, Menu!$A:$F, 3, 0)</f>
        <v>Dessert</v>
      </c>
      <c r="G392" s="5">
        <f>VLOOKUP(A392, Orders!$A:$B, 2, 0)</f>
        <v>45871.270752314813</v>
      </c>
      <c r="H392" t="str">
        <f>VLOOKUP(A392, Orders!$A:$C, 3, 0)</f>
        <v>Plant 2 Canteen</v>
      </c>
    </row>
    <row r="393" spans="1:8" x14ac:dyDescent="0.3">
      <c r="A393" t="s">
        <v>193</v>
      </c>
      <c r="B393" t="s">
        <v>402</v>
      </c>
      <c r="C393">
        <v>3</v>
      </c>
      <c r="D393">
        <f>VLOOKUP(B393, Menu!$A:$F, 6, 0)</f>
        <v>30.34</v>
      </c>
      <c r="E393">
        <f>VLOOKUP(B393, Menu!$A:$F, 5, 0)</f>
        <v>14.18</v>
      </c>
      <c r="F393" t="str">
        <f>VLOOKUP(B393, Menu!$A:$F, 3, 0)</f>
        <v>Beverage</v>
      </c>
      <c r="G393" s="5">
        <f>VLOOKUP(A393, Orders!$A:$B, 2, 0)</f>
        <v>45878.130046296297</v>
      </c>
      <c r="H393" t="str">
        <f>VLOOKUP(A393, Orders!$A:$C, 3, 0)</f>
        <v>Head Office Café</v>
      </c>
    </row>
    <row r="394" spans="1:8" x14ac:dyDescent="0.3">
      <c r="A394" t="s">
        <v>193</v>
      </c>
      <c r="B394" t="s">
        <v>414</v>
      </c>
      <c r="C394">
        <v>1</v>
      </c>
      <c r="D394">
        <f>VLOOKUP(B394, Menu!$A:$F, 6, 0)</f>
        <v>116.8</v>
      </c>
      <c r="E394">
        <f>VLOOKUP(B394, Menu!$A:$F, 5, 0)</f>
        <v>48.97</v>
      </c>
      <c r="F394" t="str">
        <f>VLOOKUP(B394, Menu!$A:$F, 3, 0)</f>
        <v>Dessert</v>
      </c>
      <c r="G394" s="5">
        <f>VLOOKUP(A394, Orders!$A:$B, 2, 0)</f>
        <v>45878.130046296297</v>
      </c>
      <c r="H394" t="str">
        <f>VLOOKUP(A394, Orders!$A:$C, 3, 0)</f>
        <v>Head Office Café</v>
      </c>
    </row>
    <row r="395" spans="1:8" x14ac:dyDescent="0.3">
      <c r="A395" t="s">
        <v>193</v>
      </c>
      <c r="B395" t="s">
        <v>416</v>
      </c>
      <c r="C395">
        <v>3</v>
      </c>
      <c r="D395">
        <f>VLOOKUP(B395, Menu!$A:$F, 6, 0)</f>
        <v>227.61</v>
      </c>
      <c r="E395">
        <f>VLOOKUP(B395, Menu!$A:$F, 5, 0)</f>
        <v>96.22</v>
      </c>
      <c r="F395" t="str">
        <f>VLOOKUP(B395, Menu!$A:$F, 3, 0)</f>
        <v>Hot Meal</v>
      </c>
      <c r="G395" s="5">
        <f>VLOOKUP(A395, Orders!$A:$B, 2, 0)</f>
        <v>45878.130046296297</v>
      </c>
      <c r="H395" t="str">
        <f>VLOOKUP(A395, Orders!$A:$C, 3, 0)</f>
        <v>Head Office Café</v>
      </c>
    </row>
    <row r="396" spans="1:8" x14ac:dyDescent="0.3">
      <c r="A396" t="s">
        <v>193</v>
      </c>
      <c r="B396" t="s">
        <v>418</v>
      </c>
      <c r="C396">
        <v>3</v>
      </c>
      <c r="D396">
        <f>VLOOKUP(B396, Menu!$A:$F, 6, 0)</f>
        <v>39.950000000000003</v>
      </c>
      <c r="E396">
        <f>VLOOKUP(B396, Menu!$A:$F, 5, 0)</f>
        <v>15.51</v>
      </c>
      <c r="F396" t="str">
        <f>VLOOKUP(B396, Menu!$A:$F, 3, 0)</f>
        <v>Snack</v>
      </c>
      <c r="G396" s="5">
        <f>VLOOKUP(A396, Orders!$A:$B, 2, 0)</f>
        <v>45878.130046296297</v>
      </c>
      <c r="H396" t="str">
        <f>VLOOKUP(A396, Orders!$A:$C, 3, 0)</f>
        <v>Head Office Café</v>
      </c>
    </row>
    <row r="397" spans="1:8" x14ac:dyDescent="0.3">
      <c r="A397" t="s">
        <v>194</v>
      </c>
      <c r="B397" t="s">
        <v>418</v>
      </c>
      <c r="C397">
        <v>3</v>
      </c>
      <c r="D397">
        <f>VLOOKUP(B397, Menu!$A:$F, 6, 0)</f>
        <v>39.950000000000003</v>
      </c>
      <c r="E397">
        <f>VLOOKUP(B397, Menu!$A:$F, 5, 0)</f>
        <v>15.51</v>
      </c>
      <c r="F397" t="str">
        <f>VLOOKUP(B397, Menu!$A:$F, 3, 0)</f>
        <v>Snack</v>
      </c>
      <c r="G397" s="5">
        <f>VLOOKUP(A397, Orders!$A:$B, 2, 0)</f>
        <v>45869.786585648151</v>
      </c>
      <c r="H397" t="str">
        <f>VLOOKUP(A397, Orders!$A:$C, 3, 0)</f>
        <v>Plant 2 Canteen</v>
      </c>
    </row>
    <row r="398" spans="1:8" x14ac:dyDescent="0.3">
      <c r="A398" t="s">
        <v>194</v>
      </c>
      <c r="B398" t="s">
        <v>407</v>
      </c>
      <c r="C398">
        <v>3</v>
      </c>
      <c r="D398">
        <f>VLOOKUP(B398, Menu!$A:$F, 6, 0)</f>
        <v>246.09</v>
      </c>
      <c r="E398">
        <f>VLOOKUP(B398, Menu!$A:$F, 5, 0)</f>
        <v>112.08</v>
      </c>
      <c r="F398" t="str">
        <f>VLOOKUP(B398, Menu!$A:$F, 3, 0)</f>
        <v>Hot Meal</v>
      </c>
      <c r="G398" s="5">
        <f>VLOOKUP(A398, Orders!$A:$B, 2, 0)</f>
        <v>45869.786585648151</v>
      </c>
      <c r="H398" t="str">
        <f>VLOOKUP(A398, Orders!$A:$C, 3, 0)</f>
        <v>Plant 2 Canteen</v>
      </c>
    </row>
    <row r="399" spans="1:8" x14ac:dyDescent="0.3">
      <c r="A399" t="s">
        <v>194</v>
      </c>
      <c r="B399" t="s">
        <v>412</v>
      </c>
      <c r="C399">
        <v>1</v>
      </c>
      <c r="D399">
        <f>VLOOKUP(B399, Menu!$A:$F, 6, 0)</f>
        <v>57.07</v>
      </c>
      <c r="E399">
        <f>VLOOKUP(B399, Menu!$A:$F, 5, 0)</f>
        <v>29.14</v>
      </c>
      <c r="F399" t="str">
        <f>VLOOKUP(B399, Menu!$A:$F, 3, 0)</f>
        <v>Dessert</v>
      </c>
      <c r="G399" s="5">
        <f>VLOOKUP(A399, Orders!$A:$B, 2, 0)</f>
        <v>45869.786585648151</v>
      </c>
      <c r="H399" t="str">
        <f>VLOOKUP(A399, Orders!$A:$C, 3, 0)</f>
        <v>Plant 2 Canteen</v>
      </c>
    </row>
    <row r="400" spans="1:8" x14ac:dyDescent="0.3">
      <c r="A400" t="s">
        <v>195</v>
      </c>
      <c r="B400" t="s">
        <v>410</v>
      </c>
      <c r="C400">
        <v>1</v>
      </c>
      <c r="D400">
        <f>VLOOKUP(B400, Menu!$A:$F, 6, 0)</f>
        <v>20.11</v>
      </c>
      <c r="E400">
        <f>VLOOKUP(B400, Menu!$A:$F, 5, 0)</f>
        <v>8</v>
      </c>
      <c r="F400" t="str">
        <f>VLOOKUP(B400, Menu!$A:$F, 3, 0)</f>
        <v>Beverage</v>
      </c>
      <c r="G400" s="5">
        <f>VLOOKUP(A400, Orders!$A:$B, 2, 0)</f>
        <v>45889.212337962963</v>
      </c>
      <c r="H400" t="str">
        <f>VLOOKUP(A400, Orders!$A:$C, 3, 0)</f>
        <v>Plant 1 Canteen</v>
      </c>
    </row>
    <row r="401" spans="1:8" x14ac:dyDescent="0.3">
      <c r="A401" t="s">
        <v>195</v>
      </c>
      <c r="B401" t="s">
        <v>413</v>
      </c>
      <c r="C401">
        <v>2</v>
      </c>
      <c r="D401">
        <f>VLOOKUP(B401, Menu!$A:$F, 6, 0)</f>
        <v>54.2</v>
      </c>
      <c r="E401">
        <f>VLOOKUP(B401, Menu!$A:$F, 5, 0)</f>
        <v>21.95</v>
      </c>
      <c r="F401" t="str">
        <f>VLOOKUP(B401, Menu!$A:$F, 3, 0)</f>
        <v>Dessert</v>
      </c>
      <c r="G401" s="5">
        <f>VLOOKUP(A401, Orders!$A:$B, 2, 0)</f>
        <v>45889.212337962963</v>
      </c>
      <c r="H401" t="str">
        <f>VLOOKUP(A401, Orders!$A:$C, 3, 0)</f>
        <v>Plant 1 Canteen</v>
      </c>
    </row>
    <row r="402" spans="1:8" x14ac:dyDescent="0.3">
      <c r="A402" t="s">
        <v>195</v>
      </c>
      <c r="B402" t="s">
        <v>412</v>
      </c>
      <c r="C402">
        <v>3</v>
      </c>
      <c r="D402">
        <f>VLOOKUP(B402, Menu!$A:$F, 6, 0)</f>
        <v>57.07</v>
      </c>
      <c r="E402">
        <f>VLOOKUP(B402, Menu!$A:$F, 5, 0)</f>
        <v>29.14</v>
      </c>
      <c r="F402" t="str">
        <f>VLOOKUP(B402, Menu!$A:$F, 3, 0)</f>
        <v>Dessert</v>
      </c>
      <c r="G402" s="5">
        <f>VLOOKUP(A402, Orders!$A:$B, 2, 0)</f>
        <v>45889.212337962963</v>
      </c>
      <c r="H402" t="str">
        <f>VLOOKUP(A402, Orders!$A:$C, 3, 0)</f>
        <v>Plant 1 Canteen</v>
      </c>
    </row>
    <row r="403" spans="1:8" x14ac:dyDescent="0.3">
      <c r="A403" t="s">
        <v>195</v>
      </c>
      <c r="B403" t="s">
        <v>406</v>
      </c>
      <c r="C403">
        <v>1</v>
      </c>
      <c r="D403">
        <f>VLOOKUP(B403, Menu!$A:$F, 6, 0)</f>
        <v>38.06</v>
      </c>
      <c r="E403">
        <f>VLOOKUP(B403, Menu!$A:$F, 5, 0)</f>
        <v>19.55</v>
      </c>
      <c r="F403" t="str">
        <f>VLOOKUP(B403, Menu!$A:$F, 3, 0)</f>
        <v>Snack</v>
      </c>
      <c r="G403" s="5">
        <f>VLOOKUP(A403, Orders!$A:$B, 2, 0)</f>
        <v>45889.212337962963</v>
      </c>
      <c r="H403" t="str">
        <f>VLOOKUP(A403, Orders!$A:$C, 3, 0)</f>
        <v>Plant 1 Canteen</v>
      </c>
    </row>
    <row r="404" spans="1:8" x14ac:dyDescent="0.3">
      <c r="A404" t="s">
        <v>196</v>
      </c>
      <c r="B404" t="s">
        <v>407</v>
      </c>
      <c r="C404">
        <v>1</v>
      </c>
      <c r="D404">
        <f>VLOOKUP(B404, Menu!$A:$F, 6, 0)</f>
        <v>246.09</v>
      </c>
      <c r="E404">
        <f>VLOOKUP(B404, Menu!$A:$F, 5, 0)</f>
        <v>112.08</v>
      </c>
      <c r="F404" t="str">
        <f>VLOOKUP(B404, Menu!$A:$F, 3, 0)</f>
        <v>Hot Meal</v>
      </c>
      <c r="G404" s="5">
        <f>VLOOKUP(A404, Orders!$A:$B, 2, 0)</f>
        <v>45879.372349537043</v>
      </c>
      <c r="H404" t="str">
        <f>VLOOKUP(A404, Orders!$A:$C, 3, 0)</f>
        <v>Plant 1 Canteen</v>
      </c>
    </row>
    <row r="405" spans="1:8" x14ac:dyDescent="0.3">
      <c r="A405" t="s">
        <v>197</v>
      </c>
      <c r="B405" t="s">
        <v>405</v>
      </c>
      <c r="C405">
        <v>2</v>
      </c>
      <c r="D405">
        <f>VLOOKUP(B405, Menu!$A:$F, 6, 0)</f>
        <v>170.83</v>
      </c>
      <c r="E405">
        <f>VLOOKUP(B405, Menu!$A:$F, 5, 0)</f>
        <v>74.069999999999993</v>
      </c>
      <c r="F405" t="str">
        <f>VLOOKUP(B405, Menu!$A:$F, 3, 0)</f>
        <v>Hot Meal</v>
      </c>
      <c r="G405" s="5">
        <f>VLOOKUP(A405, Orders!$A:$B, 2, 0)</f>
        <v>45887.648877314823</v>
      </c>
      <c r="H405" t="str">
        <f>VLOOKUP(A405, Orders!$A:$C, 3, 0)</f>
        <v>Head Office Café</v>
      </c>
    </row>
    <row r="406" spans="1:8" x14ac:dyDescent="0.3">
      <c r="A406" t="s">
        <v>198</v>
      </c>
      <c r="B406" t="s">
        <v>412</v>
      </c>
      <c r="C406">
        <v>1</v>
      </c>
      <c r="D406">
        <f>VLOOKUP(B406, Menu!$A:$F, 6, 0)</f>
        <v>57.07</v>
      </c>
      <c r="E406">
        <f>VLOOKUP(B406, Menu!$A:$F, 5, 0)</f>
        <v>29.14</v>
      </c>
      <c r="F406" t="str">
        <f>VLOOKUP(B406, Menu!$A:$F, 3, 0)</f>
        <v>Dessert</v>
      </c>
      <c r="G406" s="5">
        <f>VLOOKUP(A406, Orders!$A:$B, 2, 0)</f>
        <v>45865.178587962961</v>
      </c>
      <c r="H406" t="str">
        <f>VLOOKUP(A406, Orders!$A:$C, 3, 0)</f>
        <v>Head Office Café</v>
      </c>
    </row>
    <row r="407" spans="1:8" x14ac:dyDescent="0.3">
      <c r="A407" t="s">
        <v>198</v>
      </c>
      <c r="B407" t="s">
        <v>415</v>
      </c>
      <c r="C407">
        <v>2</v>
      </c>
      <c r="D407">
        <f>VLOOKUP(B407, Menu!$A:$F, 6, 0)</f>
        <v>256.91000000000003</v>
      </c>
      <c r="E407">
        <f>VLOOKUP(B407, Menu!$A:$F, 5, 0)</f>
        <v>121.24</v>
      </c>
      <c r="F407" t="str">
        <f>VLOOKUP(B407, Menu!$A:$F, 3, 0)</f>
        <v>Hot Meal</v>
      </c>
      <c r="G407" s="5">
        <f>VLOOKUP(A407, Orders!$A:$B, 2, 0)</f>
        <v>45865.178587962961</v>
      </c>
      <c r="H407" t="str">
        <f>VLOOKUP(A407, Orders!$A:$C, 3, 0)</f>
        <v>Head Office Café</v>
      </c>
    </row>
    <row r="408" spans="1:8" x14ac:dyDescent="0.3">
      <c r="A408" t="s">
        <v>198</v>
      </c>
      <c r="B408" t="s">
        <v>409</v>
      </c>
      <c r="C408">
        <v>1</v>
      </c>
      <c r="D408">
        <f>VLOOKUP(B408, Menu!$A:$F, 6, 0)</f>
        <v>28.43</v>
      </c>
      <c r="E408">
        <f>VLOOKUP(B408, Menu!$A:$F, 5, 0)</f>
        <v>13.89</v>
      </c>
      <c r="F408" t="str">
        <f>VLOOKUP(B408, Menu!$A:$F, 3, 0)</f>
        <v>Beverage</v>
      </c>
      <c r="G408" s="5">
        <f>VLOOKUP(A408, Orders!$A:$B, 2, 0)</f>
        <v>45865.178587962961</v>
      </c>
      <c r="H408" t="str">
        <f>VLOOKUP(A408, Orders!$A:$C, 3, 0)</f>
        <v>Head Office Café</v>
      </c>
    </row>
    <row r="409" spans="1:8" x14ac:dyDescent="0.3">
      <c r="A409" t="s">
        <v>198</v>
      </c>
      <c r="B409" t="s">
        <v>413</v>
      </c>
      <c r="C409">
        <v>2</v>
      </c>
      <c r="D409">
        <f>VLOOKUP(B409, Menu!$A:$F, 6, 0)</f>
        <v>54.2</v>
      </c>
      <c r="E409">
        <f>VLOOKUP(B409, Menu!$A:$F, 5, 0)</f>
        <v>21.95</v>
      </c>
      <c r="F409" t="str">
        <f>VLOOKUP(B409, Menu!$A:$F, 3, 0)</f>
        <v>Dessert</v>
      </c>
      <c r="G409" s="5">
        <f>VLOOKUP(A409, Orders!$A:$B, 2, 0)</f>
        <v>45865.178587962961</v>
      </c>
      <c r="H409" t="str">
        <f>VLOOKUP(A409, Orders!$A:$C, 3, 0)</f>
        <v>Head Office Café</v>
      </c>
    </row>
    <row r="410" spans="1:8" x14ac:dyDescent="0.3">
      <c r="A410" t="s">
        <v>199</v>
      </c>
      <c r="B410" t="s">
        <v>418</v>
      </c>
      <c r="C410">
        <v>2</v>
      </c>
      <c r="D410">
        <f>VLOOKUP(B410, Menu!$A:$F, 6, 0)</f>
        <v>39.950000000000003</v>
      </c>
      <c r="E410">
        <f>VLOOKUP(B410, Menu!$A:$F, 5, 0)</f>
        <v>15.51</v>
      </c>
      <c r="F410" t="str">
        <f>VLOOKUP(B410, Menu!$A:$F, 3, 0)</f>
        <v>Snack</v>
      </c>
      <c r="G410" s="5">
        <f>VLOOKUP(A410, Orders!$A:$B, 2, 0)</f>
        <v>45886.310844907413</v>
      </c>
      <c r="H410" t="str">
        <f>VLOOKUP(A410, Orders!$A:$C, 3, 0)</f>
        <v>Plant 1 Canteen</v>
      </c>
    </row>
    <row r="411" spans="1:8" x14ac:dyDescent="0.3">
      <c r="A411" t="s">
        <v>199</v>
      </c>
      <c r="B411" t="s">
        <v>412</v>
      </c>
      <c r="C411">
        <v>3</v>
      </c>
      <c r="D411">
        <f>VLOOKUP(B411, Menu!$A:$F, 6, 0)</f>
        <v>57.07</v>
      </c>
      <c r="E411">
        <f>VLOOKUP(B411, Menu!$A:$F, 5, 0)</f>
        <v>29.14</v>
      </c>
      <c r="F411" t="str">
        <f>VLOOKUP(B411, Menu!$A:$F, 3, 0)</f>
        <v>Dessert</v>
      </c>
      <c r="G411" s="5">
        <f>VLOOKUP(A411, Orders!$A:$B, 2, 0)</f>
        <v>45886.310844907413</v>
      </c>
      <c r="H411" t="str">
        <f>VLOOKUP(A411, Orders!$A:$C, 3, 0)</f>
        <v>Plant 1 Canteen</v>
      </c>
    </row>
    <row r="412" spans="1:8" x14ac:dyDescent="0.3">
      <c r="A412" t="s">
        <v>199</v>
      </c>
      <c r="B412" t="s">
        <v>417</v>
      </c>
      <c r="C412">
        <v>1</v>
      </c>
      <c r="D412">
        <f>VLOOKUP(B412, Menu!$A:$F, 6, 0)</f>
        <v>146.4</v>
      </c>
      <c r="E412">
        <f>VLOOKUP(B412, Menu!$A:$F, 5, 0)</f>
        <v>80.92</v>
      </c>
      <c r="F412" t="str">
        <f>VLOOKUP(B412, Menu!$A:$F, 3, 0)</f>
        <v>Hot Meal</v>
      </c>
      <c r="G412" s="5">
        <f>VLOOKUP(A412, Orders!$A:$B, 2, 0)</f>
        <v>45886.310844907413</v>
      </c>
      <c r="H412" t="str">
        <f>VLOOKUP(A412, Orders!$A:$C, 3, 0)</f>
        <v>Plant 1 Canteen</v>
      </c>
    </row>
    <row r="413" spans="1:8" x14ac:dyDescent="0.3">
      <c r="A413" t="s">
        <v>199</v>
      </c>
      <c r="B413" t="s">
        <v>413</v>
      </c>
      <c r="C413">
        <v>1</v>
      </c>
      <c r="D413">
        <f>VLOOKUP(B413, Menu!$A:$F, 6, 0)</f>
        <v>54.2</v>
      </c>
      <c r="E413">
        <f>VLOOKUP(B413, Menu!$A:$F, 5, 0)</f>
        <v>21.95</v>
      </c>
      <c r="F413" t="str">
        <f>VLOOKUP(B413, Menu!$A:$F, 3, 0)</f>
        <v>Dessert</v>
      </c>
      <c r="G413" s="5">
        <f>VLOOKUP(A413, Orders!$A:$B, 2, 0)</f>
        <v>45886.310844907413</v>
      </c>
      <c r="H413" t="str">
        <f>VLOOKUP(A413, Orders!$A:$C, 3, 0)</f>
        <v>Plant 1 Canteen</v>
      </c>
    </row>
    <row r="414" spans="1:8" x14ac:dyDescent="0.3">
      <c r="A414" t="s">
        <v>200</v>
      </c>
      <c r="B414" t="s">
        <v>415</v>
      </c>
      <c r="C414">
        <v>2</v>
      </c>
      <c r="D414">
        <f>VLOOKUP(B414, Menu!$A:$F, 6, 0)</f>
        <v>256.91000000000003</v>
      </c>
      <c r="E414">
        <f>VLOOKUP(B414, Menu!$A:$F, 5, 0)</f>
        <v>121.24</v>
      </c>
      <c r="F414" t="str">
        <f>VLOOKUP(B414, Menu!$A:$F, 3, 0)</f>
        <v>Hot Meal</v>
      </c>
      <c r="G414" s="5">
        <f>VLOOKUP(A414, Orders!$A:$B, 2, 0)</f>
        <v>45854.62699074074</v>
      </c>
      <c r="H414" t="str">
        <f>VLOOKUP(A414, Orders!$A:$C, 3, 0)</f>
        <v>Plant 2 Canteen</v>
      </c>
    </row>
    <row r="415" spans="1:8" x14ac:dyDescent="0.3">
      <c r="A415" t="s">
        <v>200</v>
      </c>
      <c r="B415" t="s">
        <v>418</v>
      </c>
      <c r="C415">
        <v>3</v>
      </c>
      <c r="D415">
        <f>VLOOKUP(B415, Menu!$A:$F, 6, 0)</f>
        <v>39.950000000000003</v>
      </c>
      <c r="E415">
        <f>VLOOKUP(B415, Menu!$A:$F, 5, 0)</f>
        <v>15.51</v>
      </c>
      <c r="F415" t="str">
        <f>VLOOKUP(B415, Menu!$A:$F, 3, 0)</f>
        <v>Snack</v>
      </c>
      <c r="G415" s="5">
        <f>VLOOKUP(A415, Orders!$A:$B, 2, 0)</f>
        <v>45854.62699074074</v>
      </c>
      <c r="H415" t="str">
        <f>VLOOKUP(A415, Orders!$A:$C, 3, 0)</f>
        <v>Plant 2 Canteen</v>
      </c>
    </row>
    <row r="416" spans="1:8" x14ac:dyDescent="0.3">
      <c r="A416" t="s">
        <v>201</v>
      </c>
      <c r="B416" t="s">
        <v>408</v>
      </c>
      <c r="C416">
        <v>2</v>
      </c>
      <c r="D416">
        <f>VLOOKUP(B416, Menu!$A:$F, 6, 0)</f>
        <v>70.540000000000006</v>
      </c>
      <c r="E416">
        <f>VLOOKUP(B416, Menu!$A:$F, 5, 0)</f>
        <v>35.81</v>
      </c>
      <c r="F416" t="str">
        <f>VLOOKUP(B416, Menu!$A:$F, 3, 0)</f>
        <v>Snack</v>
      </c>
      <c r="G416" s="5">
        <f>VLOOKUP(A416, Orders!$A:$B, 2, 0)</f>
        <v>45878.861956018518</v>
      </c>
      <c r="H416" t="str">
        <f>VLOOKUP(A416, Orders!$A:$C, 3, 0)</f>
        <v>Plant 1 Canteen</v>
      </c>
    </row>
    <row r="417" spans="1:8" x14ac:dyDescent="0.3">
      <c r="A417" t="s">
        <v>201</v>
      </c>
      <c r="B417" t="s">
        <v>412</v>
      </c>
      <c r="C417">
        <v>1</v>
      </c>
      <c r="D417">
        <f>VLOOKUP(B417, Menu!$A:$F, 6, 0)</f>
        <v>57.07</v>
      </c>
      <c r="E417">
        <f>VLOOKUP(B417, Menu!$A:$F, 5, 0)</f>
        <v>29.14</v>
      </c>
      <c r="F417" t="str">
        <f>VLOOKUP(B417, Menu!$A:$F, 3, 0)</f>
        <v>Dessert</v>
      </c>
      <c r="G417" s="5">
        <f>VLOOKUP(A417, Orders!$A:$B, 2, 0)</f>
        <v>45878.861956018518</v>
      </c>
      <c r="H417" t="str">
        <f>VLOOKUP(A417, Orders!$A:$C, 3, 0)</f>
        <v>Plant 1 Canteen</v>
      </c>
    </row>
    <row r="418" spans="1:8" x14ac:dyDescent="0.3">
      <c r="A418" t="s">
        <v>202</v>
      </c>
      <c r="B418" t="s">
        <v>411</v>
      </c>
      <c r="C418">
        <v>1</v>
      </c>
      <c r="D418">
        <f>VLOOKUP(B418, Menu!$A:$F, 6, 0)</f>
        <v>22.2</v>
      </c>
      <c r="E418">
        <f>VLOOKUP(B418, Menu!$A:$F, 5, 0)</f>
        <v>9.3800000000000008</v>
      </c>
      <c r="F418" t="str">
        <f>VLOOKUP(B418, Menu!$A:$F, 3, 0)</f>
        <v>Beverage</v>
      </c>
      <c r="G418" s="5">
        <f>VLOOKUP(A418, Orders!$A:$B, 2, 0)</f>
        <v>45850.654826388891</v>
      </c>
      <c r="H418" t="str">
        <f>VLOOKUP(A418, Orders!$A:$C, 3, 0)</f>
        <v>Head Office Café</v>
      </c>
    </row>
    <row r="419" spans="1:8" x14ac:dyDescent="0.3">
      <c r="A419" t="s">
        <v>202</v>
      </c>
      <c r="B419" t="s">
        <v>404</v>
      </c>
      <c r="C419">
        <v>2</v>
      </c>
      <c r="D419">
        <f>VLOOKUP(B419, Menu!$A:$F, 6, 0)</f>
        <v>32.979999999999997</v>
      </c>
      <c r="E419">
        <f>VLOOKUP(B419, Menu!$A:$F, 5, 0)</f>
        <v>11.84</v>
      </c>
      <c r="F419" t="str">
        <f>VLOOKUP(B419, Menu!$A:$F, 3, 0)</f>
        <v>Beverage</v>
      </c>
      <c r="G419" s="5">
        <f>VLOOKUP(A419, Orders!$A:$B, 2, 0)</f>
        <v>45850.654826388891</v>
      </c>
      <c r="H419" t="str">
        <f>VLOOKUP(A419, Orders!$A:$C, 3, 0)</f>
        <v>Head Office Café</v>
      </c>
    </row>
    <row r="420" spans="1:8" x14ac:dyDescent="0.3">
      <c r="A420" t="s">
        <v>202</v>
      </c>
      <c r="B420" t="s">
        <v>408</v>
      </c>
      <c r="C420">
        <v>1</v>
      </c>
      <c r="D420">
        <f>VLOOKUP(B420, Menu!$A:$F, 6, 0)</f>
        <v>70.540000000000006</v>
      </c>
      <c r="E420">
        <f>VLOOKUP(B420, Menu!$A:$F, 5, 0)</f>
        <v>35.81</v>
      </c>
      <c r="F420" t="str">
        <f>VLOOKUP(B420, Menu!$A:$F, 3, 0)</f>
        <v>Snack</v>
      </c>
      <c r="G420" s="5">
        <f>VLOOKUP(A420, Orders!$A:$B, 2, 0)</f>
        <v>45850.654826388891</v>
      </c>
      <c r="H420" t="str">
        <f>VLOOKUP(A420, Orders!$A:$C, 3, 0)</f>
        <v>Head Office Café</v>
      </c>
    </row>
    <row r="421" spans="1:8" x14ac:dyDescent="0.3">
      <c r="A421" t="s">
        <v>203</v>
      </c>
      <c r="B421" t="s">
        <v>404</v>
      </c>
      <c r="C421">
        <v>3</v>
      </c>
      <c r="D421">
        <f>VLOOKUP(B421, Menu!$A:$F, 6, 0)</f>
        <v>32.979999999999997</v>
      </c>
      <c r="E421">
        <f>VLOOKUP(B421, Menu!$A:$F, 5, 0)</f>
        <v>11.84</v>
      </c>
      <c r="F421" t="str">
        <f>VLOOKUP(B421, Menu!$A:$F, 3, 0)</f>
        <v>Beverage</v>
      </c>
      <c r="G421" s="5">
        <f>VLOOKUP(A421, Orders!$A:$B, 2, 0)</f>
        <v>45888.6565625</v>
      </c>
      <c r="H421" t="str">
        <f>VLOOKUP(A421, Orders!$A:$C, 3, 0)</f>
        <v>Head Office Café</v>
      </c>
    </row>
    <row r="422" spans="1:8" x14ac:dyDescent="0.3">
      <c r="A422" t="s">
        <v>204</v>
      </c>
      <c r="B422" t="s">
        <v>410</v>
      </c>
      <c r="C422">
        <v>2</v>
      </c>
      <c r="D422">
        <f>VLOOKUP(B422, Menu!$A:$F, 6, 0)</f>
        <v>20.11</v>
      </c>
      <c r="E422">
        <f>VLOOKUP(B422, Menu!$A:$F, 5, 0)</f>
        <v>8</v>
      </c>
      <c r="F422" t="str">
        <f>VLOOKUP(B422, Menu!$A:$F, 3, 0)</f>
        <v>Beverage</v>
      </c>
      <c r="G422" s="5">
        <f>VLOOKUP(A422, Orders!$A:$B, 2, 0)</f>
        <v>45885.097986111112</v>
      </c>
      <c r="H422" t="str">
        <f>VLOOKUP(A422, Orders!$A:$C, 3, 0)</f>
        <v>Plant 1 Canteen</v>
      </c>
    </row>
    <row r="423" spans="1:8" x14ac:dyDescent="0.3">
      <c r="A423" t="s">
        <v>205</v>
      </c>
      <c r="B423" t="s">
        <v>417</v>
      </c>
      <c r="C423">
        <v>2</v>
      </c>
      <c r="D423">
        <f>VLOOKUP(B423, Menu!$A:$F, 6, 0)</f>
        <v>146.4</v>
      </c>
      <c r="E423">
        <f>VLOOKUP(B423, Menu!$A:$F, 5, 0)</f>
        <v>80.92</v>
      </c>
      <c r="F423" t="str">
        <f>VLOOKUP(B423, Menu!$A:$F, 3, 0)</f>
        <v>Hot Meal</v>
      </c>
      <c r="G423" s="5">
        <f>VLOOKUP(A423, Orders!$A:$B, 2, 0)</f>
        <v>45876.4925</v>
      </c>
      <c r="H423" t="str">
        <f>VLOOKUP(A423, Orders!$A:$C, 3, 0)</f>
        <v>Plant 1 Canteen</v>
      </c>
    </row>
    <row r="424" spans="1:8" x14ac:dyDescent="0.3">
      <c r="A424" t="s">
        <v>205</v>
      </c>
      <c r="B424" t="s">
        <v>419</v>
      </c>
      <c r="C424">
        <v>1</v>
      </c>
      <c r="D424">
        <f>VLOOKUP(B424, Menu!$A:$F, 6, 0)</f>
        <v>50.19</v>
      </c>
      <c r="E424">
        <f>VLOOKUP(B424, Menu!$A:$F, 5, 0)</f>
        <v>22.61</v>
      </c>
      <c r="F424" t="str">
        <f>VLOOKUP(B424, Menu!$A:$F, 3, 0)</f>
        <v>Snack</v>
      </c>
      <c r="G424" s="5">
        <f>VLOOKUP(A424, Orders!$A:$B, 2, 0)</f>
        <v>45876.4925</v>
      </c>
      <c r="H424" t="str">
        <f>VLOOKUP(A424, Orders!$A:$C, 3, 0)</f>
        <v>Plant 1 Canteen</v>
      </c>
    </row>
    <row r="425" spans="1:8" x14ac:dyDescent="0.3">
      <c r="A425" t="s">
        <v>205</v>
      </c>
      <c r="B425" t="s">
        <v>403</v>
      </c>
      <c r="C425">
        <v>1</v>
      </c>
      <c r="D425">
        <f>VLOOKUP(B425, Menu!$A:$F, 6, 0)</f>
        <v>76.55</v>
      </c>
      <c r="E425">
        <f>VLOOKUP(B425, Menu!$A:$F, 5, 0)</f>
        <v>38.229999999999997</v>
      </c>
      <c r="F425" t="str">
        <f>VLOOKUP(B425, Menu!$A:$F, 3, 0)</f>
        <v>Dessert</v>
      </c>
      <c r="G425" s="5">
        <f>VLOOKUP(A425, Orders!$A:$B, 2, 0)</f>
        <v>45876.4925</v>
      </c>
      <c r="H425" t="str">
        <f>VLOOKUP(A425, Orders!$A:$C, 3, 0)</f>
        <v>Plant 1 Canteen</v>
      </c>
    </row>
    <row r="426" spans="1:8" x14ac:dyDescent="0.3">
      <c r="A426" t="s">
        <v>206</v>
      </c>
      <c r="B426" t="s">
        <v>412</v>
      </c>
      <c r="C426">
        <v>1</v>
      </c>
      <c r="D426">
        <f>VLOOKUP(B426, Menu!$A:$F, 6, 0)</f>
        <v>57.07</v>
      </c>
      <c r="E426">
        <f>VLOOKUP(B426, Menu!$A:$F, 5, 0)</f>
        <v>29.14</v>
      </c>
      <c r="F426" t="str">
        <f>VLOOKUP(B426, Menu!$A:$F, 3, 0)</f>
        <v>Dessert</v>
      </c>
      <c r="G426" s="5">
        <f>VLOOKUP(A426, Orders!$A:$B, 2, 0)</f>
        <v>45846.027881944443</v>
      </c>
      <c r="H426" t="str">
        <f>VLOOKUP(A426, Orders!$A:$C, 3, 0)</f>
        <v>Plant 2 Canteen</v>
      </c>
    </row>
    <row r="427" spans="1:8" x14ac:dyDescent="0.3">
      <c r="A427" t="s">
        <v>206</v>
      </c>
      <c r="B427" t="s">
        <v>404</v>
      </c>
      <c r="C427">
        <v>1</v>
      </c>
      <c r="D427">
        <f>VLOOKUP(B427, Menu!$A:$F, 6, 0)</f>
        <v>32.979999999999997</v>
      </c>
      <c r="E427">
        <f>VLOOKUP(B427, Menu!$A:$F, 5, 0)</f>
        <v>11.84</v>
      </c>
      <c r="F427" t="str">
        <f>VLOOKUP(B427, Menu!$A:$F, 3, 0)</f>
        <v>Beverage</v>
      </c>
      <c r="G427" s="5">
        <f>VLOOKUP(A427, Orders!$A:$B, 2, 0)</f>
        <v>45846.027881944443</v>
      </c>
      <c r="H427" t="str">
        <f>VLOOKUP(A427, Orders!$A:$C, 3, 0)</f>
        <v>Plant 2 Canteen</v>
      </c>
    </row>
    <row r="428" spans="1:8" x14ac:dyDescent="0.3">
      <c r="A428" t="s">
        <v>206</v>
      </c>
      <c r="B428" t="s">
        <v>416</v>
      </c>
      <c r="C428">
        <v>1</v>
      </c>
      <c r="D428">
        <f>VLOOKUP(B428, Menu!$A:$F, 6, 0)</f>
        <v>227.61</v>
      </c>
      <c r="E428">
        <f>VLOOKUP(B428, Menu!$A:$F, 5, 0)</f>
        <v>96.22</v>
      </c>
      <c r="F428" t="str">
        <f>VLOOKUP(B428, Menu!$A:$F, 3, 0)</f>
        <v>Hot Meal</v>
      </c>
      <c r="G428" s="5">
        <f>VLOOKUP(A428, Orders!$A:$B, 2, 0)</f>
        <v>45846.027881944443</v>
      </c>
      <c r="H428" t="str">
        <f>VLOOKUP(A428, Orders!$A:$C, 3, 0)</f>
        <v>Plant 2 Canteen</v>
      </c>
    </row>
    <row r="429" spans="1:8" x14ac:dyDescent="0.3">
      <c r="A429" t="s">
        <v>206</v>
      </c>
      <c r="B429" t="s">
        <v>409</v>
      </c>
      <c r="C429">
        <v>1</v>
      </c>
      <c r="D429">
        <f>VLOOKUP(B429, Menu!$A:$F, 6, 0)</f>
        <v>28.43</v>
      </c>
      <c r="E429">
        <f>VLOOKUP(B429, Menu!$A:$F, 5, 0)</f>
        <v>13.89</v>
      </c>
      <c r="F429" t="str">
        <f>VLOOKUP(B429, Menu!$A:$F, 3, 0)</f>
        <v>Beverage</v>
      </c>
      <c r="G429" s="5">
        <f>VLOOKUP(A429, Orders!$A:$B, 2, 0)</f>
        <v>45846.027881944443</v>
      </c>
      <c r="H429" t="str">
        <f>VLOOKUP(A429, Orders!$A:$C, 3, 0)</f>
        <v>Plant 2 Canteen</v>
      </c>
    </row>
    <row r="430" spans="1:8" x14ac:dyDescent="0.3">
      <c r="A430" t="s">
        <v>207</v>
      </c>
      <c r="B430" t="s">
        <v>406</v>
      </c>
      <c r="C430">
        <v>1</v>
      </c>
      <c r="D430">
        <f>VLOOKUP(B430, Menu!$A:$F, 6, 0)</f>
        <v>38.06</v>
      </c>
      <c r="E430">
        <f>VLOOKUP(B430, Menu!$A:$F, 5, 0)</f>
        <v>19.55</v>
      </c>
      <c r="F430" t="str">
        <f>VLOOKUP(B430, Menu!$A:$F, 3, 0)</f>
        <v>Snack</v>
      </c>
      <c r="G430" s="5">
        <f>VLOOKUP(A430, Orders!$A:$B, 2, 0)</f>
        <v>45865.189884259264</v>
      </c>
      <c r="H430" t="str">
        <f>VLOOKUP(A430, Orders!$A:$C, 3, 0)</f>
        <v>Plant 1 Canteen</v>
      </c>
    </row>
    <row r="431" spans="1:8" x14ac:dyDescent="0.3">
      <c r="A431" t="s">
        <v>207</v>
      </c>
      <c r="B431" t="s">
        <v>411</v>
      </c>
      <c r="C431">
        <v>2</v>
      </c>
      <c r="D431">
        <f>VLOOKUP(B431, Menu!$A:$F, 6, 0)</f>
        <v>22.2</v>
      </c>
      <c r="E431">
        <f>VLOOKUP(B431, Menu!$A:$F, 5, 0)</f>
        <v>9.3800000000000008</v>
      </c>
      <c r="F431" t="str">
        <f>VLOOKUP(B431, Menu!$A:$F, 3, 0)</f>
        <v>Beverage</v>
      </c>
      <c r="G431" s="5">
        <f>VLOOKUP(A431, Orders!$A:$B, 2, 0)</f>
        <v>45865.189884259264</v>
      </c>
      <c r="H431" t="str">
        <f>VLOOKUP(A431, Orders!$A:$C, 3, 0)</f>
        <v>Plant 1 Canteen</v>
      </c>
    </row>
    <row r="432" spans="1:8" x14ac:dyDescent="0.3">
      <c r="A432" t="s">
        <v>207</v>
      </c>
      <c r="B432" t="s">
        <v>419</v>
      </c>
      <c r="C432">
        <v>1</v>
      </c>
      <c r="D432">
        <f>VLOOKUP(B432, Menu!$A:$F, 6, 0)</f>
        <v>50.19</v>
      </c>
      <c r="E432">
        <f>VLOOKUP(B432, Menu!$A:$F, 5, 0)</f>
        <v>22.61</v>
      </c>
      <c r="F432" t="str">
        <f>VLOOKUP(B432, Menu!$A:$F, 3, 0)</f>
        <v>Snack</v>
      </c>
      <c r="G432" s="5">
        <f>VLOOKUP(A432, Orders!$A:$B, 2, 0)</f>
        <v>45865.189884259264</v>
      </c>
      <c r="H432" t="str">
        <f>VLOOKUP(A432, Orders!$A:$C, 3, 0)</f>
        <v>Plant 1 Canteen</v>
      </c>
    </row>
    <row r="433" spans="1:8" x14ac:dyDescent="0.3">
      <c r="A433" t="s">
        <v>207</v>
      </c>
      <c r="B433" t="s">
        <v>418</v>
      </c>
      <c r="C433">
        <v>1</v>
      </c>
      <c r="D433">
        <f>VLOOKUP(B433, Menu!$A:$F, 6, 0)</f>
        <v>39.950000000000003</v>
      </c>
      <c r="E433">
        <f>VLOOKUP(B433, Menu!$A:$F, 5, 0)</f>
        <v>15.51</v>
      </c>
      <c r="F433" t="str">
        <f>VLOOKUP(B433, Menu!$A:$F, 3, 0)</f>
        <v>Snack</v>
      </c>
      <c r="G433" s="5">
        <f>VLOOKUP(A433, Orders!$A:$B, 2, 0)</f>
        <v>45865.189884259264</v>
      </c>
      <c r="H433" t="str">
        <f>VLOOKUP(A433, Orders!$A:$C, 3, 0)</f>
        <v>Plant 1 Canteen</v>
      </c>
    </row>
    <row r="434" spans="1:8" x14ac:dyDescent="0.3">
      <c r="A434" t="s">
        <v>208</v>
      </c>
      <c r="B434" t="s">
        <v>417</v>
      </c>
      <c r="C434">
        <v>1</v>
      </c>
      <c r="D434">
        <f>VLOOKUP(B434, Menu!$A:$F, 6, 0)</f>
        <v>146.4</v>
      </c>
      <c r="E434">
        <f>VLOOKUP(B434, Menu!$A:$F, 5, 0)</f>
        <v>80.92</v>
      </c>
      <c r="F434" t="str">
        <f>VLOOKUP(B434, Menu!$A:$F, 3, 0)</f>
        <v>Hot Meal</v>
      </c>
      <c r="G434" s="5">
        <f>VLOOKUP(A434, Orders!$A:$B, 2, 0)</f>
        <v>45896.235995370371</v>
      </c>
      <c r="H434" t="str">
        <f>VLOOKUP(A434, Orders!$A:$C, 3, 0)</f>
        <v>Head Office Café</v>
      </c>
    </row>
    <row r="435" spans="1:8" x14ac:dyDescent="0.3">
      <c r="A435" t="s">
        <v>208</v>
      </c>
      <c r="B435" t="s">
        <v>408</v>
      </c>
      <c r="C435">
        <v>1</v>
      </c>
      <c r="D435">
        <f>VLOOKUP(B435, Menu!$A:$F, 6, 0)</f>
        <v>70.540000000000006</v>
      </c>
      <c r="E435">
        <f>VLOOKUP(B435, Menu!$A:$F, 5, 0)</f>
        <v>35.81</v>
      </c>
      <c r="F435" t="str">
        <f>VLOOKUP(B435, Menu!$A:$F, 3, 0)</f>
        <v>Snack</v>
      </c>
      <c r="G435" s="5">
        <f>VLOOKUP(A435, Orders!$A:$B, 2, 0)</f>
        <v>45896.235995370371</v>
      </c>
      <c r="H435" t="str">
        <f>VLOOKUP(A435, Orders!$A:$C, 3, 0)</f>
        <v>Head Office Café</v>
      </c>
    </row>
    <row r="436" spans="1:8" x14ac:dyDescent="0.3">
      <c r="A436" t="s">
        <v>208</v>
      </c>
      <c r="B436" t="s">
        <v>405</v>
      </c>
      <c r="C436">
        <v>2</v>
      </c>
      <c r="D436">
        <f>VLOOKUP(B436, Menu!$A:$F, 6, 0)</f>
        <v>170.83</v>
      </c>
      <c r="E436">
        <f>VLOOKUP(B436, Menu!$A:$F, 5, 0)</f>
        <v>74.069999999999993</v>
      </c>
      <c r="F436" t="str">
        <f>VLOOKUP(B436, Menu!$A:$F, 3, 0)</f>
        <v>Hot Meal</v>
      </c>
      <c r="G436" s="5">
        <f>VLOOKUP(A436, Orders!$A:$B, 2, 0)</f>
        <v>45896.235995370371</v>
      </c>
      <c r="H436" t="str">
        <f>VLOOKUP(A436, Orders!$A:$C, 3, 0)</f>
        <v>Head Office Café</v>
      </c>
    </row>
    <row r="437" spans="1:8" x14ac:dyDescent="0.3">
      <c r="A437" t="s">
        <v>209</v>
      </c>
      <c r="B437" t="s">
        <v>416</v>
      </c>
      <c r="C437">
        <v>2</v>
      </c>
      <c r="D437">
        <f>VLOOKUP(B437, Menu!$A:$F, 6, 0)</f>
        <v>227.61</v>
      </c>
      <c r="E437">
        <f>VLOOKUP(B437, Menu!$A:$F, 5, 0)</f>
        <v>96.22</v>
      </c>
      <c r="F437" t="str">
        <f>VLOOKUP(B437, Menu!$A:$F, 3, 0)</f>
        <v>Hot Meal</v>
      </c>
      <c r="G437" s="5">
        <f>VLOOKUP(A437, Orders!$A:$B, 2, 0)</f>
        <v>45882.605451388888</v>
      </c>
      <c r="H437" t="str">
        <f>VLOOKUP(A437, Orders!$A:$C, 3, 0)</f>
        <v>Head Office Café</v>
      </c>
    </row>
    <row r="438" spans="1:8" x14ac:dyDescent="0.3">
      <c r="A438" t="s">
        <v>210</v>
      </c>
      <c r="B438" t="s">
        <v>415</v>
      </c>
      <c r="C438">
        <v>2</v>
      </c>
      <c r="D438">
        <f>VLOOKUP(B438, Menu!$A:$F, 6, 0)</f>
        <v>256.91000000000003</v>
      </c>
      <c r="E438">
        <f>VLOOKUP(B438, Menu!$A:$F, 5, 0)</f>
        <v>121.24</v>
      </c>
      <c r="F438" t="str">
        <f>VLOOKUP(B438, Menu!$A:$F, 3, 0)</f>
        <v>Hot Meal</v>
      </c>
      <c r="G438" s="5">
        <f>VLOOKUP(A438, Orders!$A:$B, 2, 0)</f>
        <v>45892.835856481477</v>
      </c>
      <c r="H438" t="str">
        <f>VLOOKUP(A438, Orders!$A:$C, 3, 0)</f>
        <v>Head Office Café</v>
      </c>
    </row>
    <row r="439" spans="1:8" x14ac:dyDescent="0.3">
      <c r="A439" t="s">
        <v>211</v>
      </c>
      <c r="B439" t="s">
        <v>410</v>
      </c>
      <c r="C439">
        <v>2</v>
      </c>
      <c r="D439">
        <f>VLOOKUP(B439, Menu!$A:$F, 6, 0)</f>
        <v>20.11</v>
      </c>
      <c r="E439">
        <f>VLOOKUP(B439, Menu!$A:$F, 5, 0)</f>
        <v>8</v>
      </c>
      <c r="F439" t="str">
        <f>VLOOKUP(B439, Menu!$A:$F, 3, 0)</f>
        <v>Beverage</v>
      </c>
      <c r="G439" s="5">
        <f>VLOOKUP(A439, Orders!$A:$B, 2, 0)</f>
        <v>45857.566319444442</v>
      </c>
      <c r="H439" t="str">
        <f>VLOOKUP(A439, Orders!$A:$C, 3, 0)</f>
        <v>Head Office Café</v>
      </c>
    </row>
    <row r="440" spans="1:8" x14ac:dyDescent="0.3">
      <c r="A440" t="s">
        <v>211</v>
      </c>
      <c r="B440" t="s">
        <v>403</v>
      </c>
      <c r="C440">
        <v>1</v>
      </c>
      <c r="D440">
        <f>VLOOKUP(B440, Menu!$A:$F, 6, 0)</f>
        <v>76.55</v>
      </c>
      <c r="E440">
        <f>VLOOKUP(B440, Menu!$A:$F, 5, 0)</f>
        <v>38.229999999999997</v>
      </c>
      <c r="F440" t="str">
        <f>VLOOKUP(B440, Menu!$A:$F, 3, 0)</f>
        <v>Dessert</v>
      </c>
      <c r="G440" s="5">
        <f>VLOOKUP(A440, Orders!$A:$B, 2, 0)</f>
        <v>45857.566319444442</v>
      </c>
      <c r="H440" t="str">
        <f>VLOOKUP(A440, Orders!$A:$C, 3, 0)</f>
        <v>Head Office Café</v>
      </c>
    </row>
    <row r="441" spans="1:8" x14ac:dyDescent="0.3">
      <c r="A441" t="s">
        <v>211</v>
      </c>
      <c r="B441" t="s">
        <v>404</v>
      </c>
      <c r="C441">
        <v>2</v>
      </c>
      <c r="D441">
        <f>VLOOKUP(B441, Menu!$A:$F, 6, 0)</f>
        <v>32.979999999999997</v>
      </c>
      <c r="E441">
        <f>VLOOKUP(B441, Menu!$A:$F, 5, 0)</f>
        <v>11.84</v>
      </c>
      <c r="F441" t="str">
        <f>VLOOKUP(B441, Menu!$A:$F, 3, 0)</f>
        <v>Beverage</v>
      </c>
      <c r="G441" s="5">
        <f>VLOOKUP(A441, Orders!$A:$B, 2, 0)</f>
        <v>45857.566319444442</v>
      </c>
      <c r="H441" t="str">
        <f>VLOOKUP(A441, Orders!$A:$C, 3, 0)</f>
        <v>Head Office Café</v>
      </c>
    </row>
    <row r="442" spans="1:8" x14ac:dyDescent="0.3">
      <c r="A442" t="s">
        <v>211</v>
      </c>
      <c r="B442" t="s">
        <v>409</v>
      </c>
      <c r="C442">
        <v>3</v>
      </c>
      <c r="D442">
        <f>VLOOKUP(B442, Menu!$A:$F, 6, 0)</f>
        <v>28.43</v>
      </c>
      <c r="E442">
        <f>VLOOKUP(B442, Menu!$A:$F, 5, 0)</f>
        <v>13.89</v>
      </c>
      <c r="F442" t="str">
        <f>VLOOKUP(B442, Menu!$A:$F, 3, 0)</f>
        <v>Beverage</v>
      </c>
      <c r="G442" s="5">
        <f>VLOOKUP(A442, Orders!$A:$B, 2, 0)</f>
        <v>45857.566319444442</v>
      </c>
      <c r="H442" t="str">
        <f>VLOOKUP(A442, Orders!$A:$C, 3, 0)</f>
        <v>Head Office Café</v>
      </c>
    </row>
    <row r="443" spans="1:8" x14ac:dyDescent="0.3">
      <c r="A443" t="s">
        <v>212</v>
      </c>
      <c r="B443" t="s">
        <v>419</v>
      </c>
      <c r="C443">
        <v>2</v>
      </c>
      <c r="D443">
        <f>VLOOKUP(B443, Menu!$A:$F, 6, 0)</f>
        <v>50.19</v>
      </c>
      <c r="E443">
        <f>VLOOKUP(B443, Menu!$A:$F, 5, 0)</f>
        <v>22.61</v>
      </c>
      <c r="F443" t="str">
        <f>VLOOKUP(B443, Menu!$A:$F, 3, 0)</f>
        <v>Snack</v>
      </c>
      <c r="G443" s="5">
        <f>VLOOKUP(A443, Orders!$A:$B, 2, 0)</f>
        <v>45861.926655092589</v>
      </c>
      <c r="H443" t="str">
        <f>VLOOKUP(A443, Orders!$A:$C, 3, 0)</f>
        <v>Plant 2 Canteen</v>
      </c>
    </row>
    <row r="444" spans="1:8" x14ac:dyDescent="0.3">
      <c r="A444" t="s">
        <v>212</v>
      </c>
      <c r="B444" t="s">
        <v>416</v>
      </c>
      <c r="C444">
        <v>1</v>
      </c>
      <c r="D444">
        <f>VLOOKUP(B444, Menu!$A:$F, 6, 0)</f>
        <v>227.61</v>
      </c>
      <c r="E444">
        <f>VLOOKUP(B444, Menu!$A:$F, 5, 0)</f>
        <v>96.22</v>
      </c>
      <c r="F444" t="str">
        <f>VLOOKUP(B444, Menu!$A:$F, 3, 0)</f>
        <v>Hot Meal</v>
      </c>
      <c r="G444" s="5">
        <f>VLOOKUP(A444, Orders!$A:$B, 2, 0)</f>
        <v>45861.926655092589</v>
      </c>
      <c r="H444" t="str">
        <f>VLOOKUP(A444, Orders!$A:$C, 3, 0)</f>
        <v>Plant 2 Canteen</v>
      </c>
    </row>
    <row r="445" spans="1:8" x14ac:dyDescent="0.3">
      <c r="A445" t="s">
        <v>213</v>
      </c>
      <c r="B445" t="s">
        <v>410</v>
      </c>
      <c r="C445">
        <v>1</v>
      </c>
      <c r="D445">
        <f>VLOOKUP(B445, Menu!$A:$F, 6, 0)</f>
        <v>20.11</v>
      </c>
      <c r="E445">
        <f>VLOOKUP(B445, Menu!$A:$F, 5, 0)</f>
        <v>8</v>
      </c>
      <c r="F445" t="str">
        <f>VLOOKUP(B445, Menu!$A:$F, 3, 0)</f>
        <v>Beverage</v>
      </c>
      <c r="G445" s="5">
        <f>VLOOKUP(A445, Orders!$A:$B, 2, 0)</f>
        <v>45876.263865740737</v>
      </c>
      <c r="H445" t="str">
        <f>VLOOKUP(A445, Orders!$A:$C, 3, 0)</f>
        <v>Plant 2 Canteen</v>
      </c>
    </row>
    <row r="446" spans="1:8" x14ac:dyDescent="0.3">
      <c r="A446" t="s">
        <v>213</v>
      </c>
      <c r="B446" t="s">
        <v>415</v>
      </c>
      <c r="C446">
        <v>1</v>
      </c>
      <c r="D446">
        <f>VLOOKUP(B446, Menu!$A:$F, 6, 0)</f>
        <v>256.91000000000003</v>
      </c>
      <c r="E446">
        <f>VLOOKUP(B446, Menu!$A:$F, 5, 0)</f>
        <v>121.24</v>
      </c>
      <c r="F446" t="str">
        <f>VLOOKUP(B446, Menu!$A:$F, 3, 0)</f>
        <v>Hot Meal</v>
      </c>
      <c r="G446" s="5">
        <f>VLOOKUP(A446, Orders!$A:$B, 2, 0)</f>
        <v>45876.263865740737</v>
      </c>
      <c r="H446" t="str">
        <f>VLOOKUP(A446, Orders!$A:$C, 3, 0)</f>
        <v>Plant 2 Canteen</v>
      </c>
    </row>
    <row r="447" spans="1:8" x14ac:dyDescent="0.3">
      <c r="A447" t="s">
        <v>213</v>
      </c>
      <c r="B447" t="s">
        <v>416</v>
      </c>
      <c r="C447">
        <v>1</v>
      </c>
      <c r="D447">
        <f>VLOOKUP(B447, Menu!$A:$F, 6, 0)</f>
        <v>227.61</v>
      </c>
      <c r="E447">
        <f>VLOOKUP(B447, Menu!$A:$F, 5, 0)</f>
        <v>96.22</v>
      </c>
      <c r="F447" t="str">
        <f>VLOOKUP(B447, Menu!$A:$F, 3, 0)</f>
        <v>Hot Meal</v>
      </c>
      <c r="G447" s="5">
        <f>VLOOKUP(A447, Orders!$A:$B, 2, 0)</f>
        <v>45876.263865740737</v>
      </c>
      <c r="H447" t="str">
        <f>VLOOKUP(A447, Orders!$A:$C, 3, 0)</f>
        <v>Plant 2 Canteen</v>
      </c>
    </row>
    <row r="448" spans="1:8" x14ac:dyDescent="0.3">
      <c r="A448" t="s">
        <v>214</v>
      </c>
      <c r="B448" t="s">
        <v>412</v>
      </c>
      <c r="C448">
        <v>1</v>
      </c>
      <c r="D448">
        <f>VLOOKUP(B448, Menu!$A:$F, 6, 0)</f>
        <v>57.07</v>
      </c>
      <c r="E448">
        <f>VLOOKUP(B448, Menu!$A:$F, 5, 0)</f>
        <v>29.14</v>
      </c>
      <c r="F448" t="str">
        <f>VLOOKUP(B448, Menu!$A:$F, 3, 0)</f>
        <v>Dessert</v>
      </c>
      <c r="G448" s="5">
        <f>VLOOKUP(A448, Orders!$A:$B, 2, 0)</f>
        <v>45887.341631944437</v>
      </c>
      <c r="H448" t="str">
        <f>VLOOKUP(A448, Orders!$A:$C, 3, 0)</f>
        <v>Plant 1 Canteen</v>
      </c>
    </row>
    <row r="449" spans="1:8" x14ac:dyDescent="0.3">
      <c r="A449" t="s">
        <v>214</v>
      </c>
      <c r="B449" t="s">
        <v>409</v>
      </c>
      <c r="C449">
        <v>2</v>
      </c>
      <c r="D449">
        <f>VLOOKUP(B449, Menu!$A:$F, 6, 0)</f>
        <v>28.43</v>
      </c>
      <c r="E449">
        <f>VLOOKUP(B449, Menu!$A:$F, 5, 0)</f>
        <v>13.89</v>
      </c>
      <c r="F449" t="str">
        <f>VLOOKUP(B449, Menu!$A:$F, 3, 0)</f>
        <v>Beverage</v>
      </c>
      <c r="G449" s="5">
        <f>VLOOKUP(A449, Orders!$A:$B, 2, 0)</f>
        <v>45887.341631944437</v>
      </c>
      <c r="H449" t="str">
        <f>VLOOKUP(A449, Orders!$A:$C, 3, 0)</f>
        <v>Plant 1 Canteen</v>
      </c>
    </row>
    <row r="450" spans="1:8" x14ac:dyDescent="0.3">
      <c r="A450" t="s">
        <v>214</v>
      </c>
      <c r="B450" t="s">
        <v>406</v>
      </c>
      <c r="C450">
        <v>1</v>
      </c>
      <c r="D450">
        <f>VLOOKUP(B450, Menu!$A:$F, 6, 0)</f>
        <v>38.06</v>
      </c>
      <c r="E450">
        <f>VLOOKUP(B450, Menu!$A:$F, 5, 0)</f>
        <v>19.55</v>
      </c>
      <c r="F450" t="str">
        <f>VLOOKUP(B450, Menu!$A:$F, 3, 0)</f>
        <v>Snack</v>
      </c>
      <c r="G450" s="5">
        <f>VLOOKUP(A450, Orders!$A:$B, 2, 0)</f>
        <v>45887.341631944437</v>
      </c>
      <c r="H450" t="str">
        <f>VLOOKUP(A450, Orders!$A:$C, 3, 0)</f>
        <v>Plant 1 Canteen</v>
      </c>
    </row>
    <row r="451" spans="1:8" x14ac:dyDescent="0.3">
      <c r="A451" t="s">
        <v>215</v>
      </c>
      <c r="B451" t="s">
        <v>405</v>
      </c>
      <c r="C451">
        <v>2</v>
      </c>
      <c r="D451">
        <f>VLOOKUP(B451, Menu!$A:$F, 6, 0)</f>
        <v>170.83</v>
      </c>
      <c r="E451">
        <f>VLOOKUP(B451, Menu!$A:$F, 5, 0)</f>
        <v>74.069999999999993</v>
      </c>
      <c r="F451" t="str">
        <f>VLOOKUP(B451, Menu!$A:$F, 3, 0)</f>
        <v>Hot Meal</v>
      </c>
      <c r="G451" s="5">
        <f>VLOOKUP(A451, Orders!$A:$B, 2, 0)</f>
        <v>45848.994432870371</v>
      </c>
      <c r="H451" t="str">
        <f>VLOOKUP(A451, Orders!$A:$C, 3, 0)</f>
        <v>Plant 2 Canteen</v>
      </c>
    </row>
    <row r="452" spans="1:8" x14ac:dyDescent="0.3">
      <c r="A452" t="s">
        <v>215</v>
      </c>
      <c r="B452" t="s">
        <v>413</v>
      </c>
      <c r="C452">
        <v>1</v>
      </c>
      <c r="D452">
        <f>VLOOKUP(B452, Menu!$A:$F, 6, 0)</f>
        <v>54.2</v>
      </c>
      <c r="E452">
        <f>VLOOKUP(B452, Menu!$A:$F, 5, 0)</f>
        <v>21.95</v>
      </c>
      <c r="F452" t="str">
        <f>VLOOKUP(B452, Menu!$A:$F, 3, 0)</f>
        <v>Dessert</v>
      </c>
      <c r="G452" s="5">
        <f>VLOOKUP(A452, Orders!$A:$B, 2, 0)</f>
        <v>45848.994432870371</v>
      </c>
      <c r="H452" t="str">
        <f>VLOOKUP(A452, Orders!$A:$C, 3, 0)</f>
        <v>Plant 2 Canteen</v>
      </c>
    </row>
    <row r="453" spans="1:8" x14ac:dyDescent="0.3">
      <c r="A453" t="s">
        <v>215</v>
      </c>
      <c r="B453" t="s">
        <v>417</v>
      </c>
      <c r="C453">
        <v>2</v>
      </c>
      <c r="D453">
        <f>VLOOKUP(B453, Menu!$A:$F, 6, 0)</f>
        <v>146.4</v>
      </c>
      <c r="E453">
        <f>VLOOKUP(B453, Menu!$A:$F, 5, 0)</f>
        <v>80.92</v>
      </c>
      <c r="F453" t="str">
        <f>VLOOKUP(B453, Menu!$A:$F, 3, 0)</f>
        <v>Hot Meal</v>
      </c>
      <c r="G453" s="5">
        <f>VLOOKUP(A453, Orders!$A:$B, 2, 0)</f>
        <v>45848.994432870371</v>
      </c>
      <c r="H453" t="str">
        <f>VLOOKUP(A453, Orders!$A:$C, 3, 0)</f>
        <v>Plant 2 Canteen</v>
      </c>
    </row>
    <row r="454" spans="1:8" x14ac:dyDescent="0.3">
      <c r="A454" t="s">
        <v>215</v>
      </c>
      <c r="B454" t="s">
        <v>414</v>
      </c>
      <c r="C454">
        <v>3</v>
      </c>
      <c r="D454">
        <f>VLOOKUP(B454, Menu!$A:$F, 6, 0)</f>
        <v>116.8</v>
      </c>
      <c r="E454">
        <f>VLOOKUP(B454, Menu!$A:$F, 5, 0)</f>
        <v>48.97</v>
      </c>
      <c r="F454" t="str">
        <f>VLOOKUP(B454, Menu!$A:$F, 3, 0)</f>
        <v>Dessert</v>
      </c>
      <c r="G454" s="5">
        <f>VLOOKUP(A454, Orders!$A:$B, 2, 0)</f>
        <v>45848.994432870371</v>
      </c>
      <c r="H454" t="str">
        <f>VLOOKUP(A454, Orders!$A:$C, 3, 0)</f>
        <v>Plant 2 Canteen</v>
      </c>
    </row>
    <row r="455" spans="1:8" x14ac:dyDescent="0.3">
      <c r="A455" t="s">
        <v>216</v>
      </c>
      <c r="B455" t="s">
        <v>407</v>
      </c>
      <c r="C455">
        <v>1</v>
      </c>
      <c r="D455">
        <f>VLOOKUP(B455, Menu!$A:$F, 6, 0)</f>
        <v>246.09</v>
      </c>
      <c r="E455">
        <f>VLOOKUP(B455, Menu!$A:$F, 5, 0)</f>
        <v>112.08</v>
      </c>
      <c r="F455" t="str">
        <f>VLOOKUP(B455, Menu!$A:$F, 3, 0)</f>
        <v>Hot Meal</v>
      </c>
      <c r="G455" s="5">
        <f>VLOOKUP(A455, Orders!$A:$B, 2, 0)</f>
        <v>45840.74009259259</v>
      </c>
      <c r="H455" t="str">
        <f>VLOOKUP(A455, Orders!$A:$C, 3, 0)</f>
        <v>Head Office Café</v>
      </c>
    </row>
    <row r="456" spans="1:8" x14ac:dyDescent="0.3">
      <c r="A456" t="s">
        <v>216</v>
      </c>
      <c r="B456" t="s">
        <v>419</v>
      </c>
      <c r="C456">
        <v>2</v>
      </c>
      <c r="D456">
        <f>VLOOKUP(B456, Menu!$A:$F, 6, 0)</f>
        <v>50.19</v>
      </c>
      <c r="E456">
        <f>VLOOKUP(B456, Menu!$A:$F, 5, 0)</f>
        <v>22.61</v>
      </c>
      <c r="F456" t="str">
        <f>VLOOKUP(B456, Menu!$A:$F, 3, 0)</f>
        <v>Snack</v>
      </c>
      <c r="G456" s="5">
        <f>VLOOKUP(A456, Orders!$A:$B, 2, 0)</f>
        <v>45840.74009259259</v>
      </c>
      <c r="H456" t="str">
        <f>VLOOKUP(A456, Orders!$A:$C, 3, 0)</f>
        <v>Head Office Café</v>
      </c>
    </row>
    <row r="457" spans="1:8" x14ac:dyDescent="0.3">
      <c r="A457" t="s">
        <v>216</v>
      </c>
      <c r="B457" t="s">
        <v>401</v>
      </c>
      <c r="C457">
        <v>1</v>
      </c>
      <c r="D457">
        <f>VLOOKUP(B457, Menu!$A:$F, 6, 0)</f>
        <v>52.45</v>
      </c>
      <c r="E457">
        <f>VLOOKUP(B457, Menu!$A:$F, 5, 0)</f>
        <v>25.8</v>
      </c>
      <c r="F457" t="str">
        <f>VLOOKUP(B457, Menu!$A:$F, 3, 0)</f>
        <v>Snack</v>
      </c>
      <c r="G457" s="5">
        <f>VLOOKUP(A457, Orders!$A:$B, 2, 0)</f>
        <v>45840.74009259259</v>
      </c>
      <c r="H457" t="str">
        <f>VLOOKUP(A457, Orders!$A:$C, 3, 0)</f>
        <v>Head Office Café</v>
      </c>
    </row>
    <row r="458" spans="1:8" x14ac:dyDescent="0.3">
      <c r="A458" t="s">
        <v>217</v>
      </c>
      <c r="B458" t="s">
        <v>409</v>
      </c>
      <c r="C458">
        <v>1</v>
      </c>
      <c r="D458">
        <f>VLOOKUP(B458, Menu!$A:$F, 6, 0)</f>
        <v>28.43</v>
      </c>
      <c r="E458">
        <f>VLOOKUP(B458, Menu!$A:$F, 5, 0)</f>
        <v>13.89</v>
      </c>
      <c r="F458" t="str">
        <f>VLOOKUP(B458, Menu!$A:$F, 3, 0)</f>
        <v>Beverage</v>
      </c>
      <c r="G458" s="5">
        <f>VLOOKUP(A458, Orders!$A:$B, 2, 0)</f>
        <v>45846.515092592592</v>
      </c>
      <c r="H458" t="str">
        <f>VLOOKUP(A458, Orders!$A:$C, 3, 0)</f>
        <v>Plant 2 Canteen</v>
      </c>
    </row>
    <row r="459" spans="1:8" x14ac:dyDescent="0.3">
      <c r="A459" t="s">
        <v>218</v>
      </c>
      <c r="B459" t="s">
        <v>416</v>
      </c>
      <c r="C459">
        <v>3</v>
      </c>
      <c r="D459">
        <f>VLOOKUP(B459, Menu!$A:$F, 6, 0)</f>
        <v>227.61</v>
      </c>
      <c r="E459">
        <f>VLOOKUP(B459, Menu!$A:$F, 5, 0)</f>
        <v>96.22</v>
      </c>
      <c r="F459" t="str">
        <f>VLOOKUP(B459, Menu!$A:$F, 3, 0)</f>
        <v>Hot Meal</v>
      </c>
      <c r="G459" s="5">
        <f>VLOOKUP(A459, Orders!$A:$B, 2, 0)</f>
        <v>45847.047835648147</v>
      </c>
      <c r="H459" t="str">
        <f>VLOOKUP(A459, Orders!$A:$C, 3, 0)</f>
        <v>Plant 2 Canteen</v>
      </c>
    </row>
    <row r="460" spans="1:8" x14ac:dyDescent="0.3">
      <c r="A460" t="s">
        <v>218</v>
      </c>
      <c r="B460" t="s">
        <v>407</v>
      </c>
      <c r="C460">
        <v>1</v>
      </c>
      <c r="D460">
        <f>VLOOKUP(B460, Menu!$A:$F, 6, 0)</f>
        <v>246.09</v>
      </c>
      <c r="E460">
        <f>VLOOKUP(B460, Menu!$A:$F, 5, 0)</f>
        <v>112.08</v>
      </c>
      <c r="F460" t="str">
        <f>VLOOKUP(B460, Menu!$A:$F, 3, 0)</f>
        <v>Hot Meal</v>
      </c>
      <c r="G460" s="5">
        <f>VLOOKUP(A460, Orders!$A:$B, 2, 0)</f>
        <v>45847.047835648147</v>
      </c>
      <c r="H460" t="str">
        <f>VLOOKUP(A460, Orders!$A:$C, 3, 0)</f>
        <v>Plant 2 Canteen</v>
      </c>
    </row>
    <row r="461" spans="1:8" x14ac:dyDescent="0.3">
      <c r="A461" t="s">
        <v>218</v>
      </c>
      <c r="B461" t="s">
        <v>415</v>
      </c>
      <c r="C461">
        <v>1</v>
      </c>
      <c r="D461">
        <f>VLOOKUP(B461, Menu!$A:$F, 6, 0)</f>
        <v>256.91000000000003</v>
      </c>
      <c r="E461">
        <f>VLOOKUP(B461, Menu!$A:$F, 5, 0)</f>
        <v>121.24</v>
      </c>
      <c r="F461" t="str">
        <f>VLOOKUP(B461, Menu!$A:$F, 3, 0)</f>
        <v>Hot Meal</v>
      </c>
      <c r="G461" s="5">
        <f>VLOOKUP(A461, Orders!$A:$B, 2, 0)</f>
        <v>45847.047835648147</v>
      </c>
      <c r="H461" t="str">
        <f>VLOOKUP(A461, Orders!$A:$C, 3, 0)</f>
        <v>Plant 2 Canteen</v>
      </c>
    </row>
    <row r="462" spans="1:8" x14ac:dyDescent="0.3">
      <c r="A462" t="s">
        <v>218</v>
      </c>
      <c r="B462" t="s">
        <v>412</v>
      </c>
      <c r="C462">
        <v>2</v>
      </c>
      <c r="D462">
        <f>VLOOKUP(B462, Menu!$A:$F, 6, 0)</f>
        <v>57.07</v>
      </c>
      <c r="E462">
        <f>VLOOKUP(B462, Menu!$A:$F, 5, 0)</f>
        <v>29.14</v>
      </c>
      <c r="F462" t="str">
        <f>VLOOKUP(B462, Menu!$A:$F, 3, 0)</f>
        <v>Dessert</v>
      </c>
      <c r="G462" s="5">
        <f>VLOOKUP(A462, Orders!$A:$B, 2, 0)</f>
        <v>45847.047835648147</v>
      </c>
      <c r="H462" t="str">
        <f>VLOOKUP(A462, Orders!$A:$C, 3, 0)</f>
        <v>Plant 2 Canteen</v>
      </c>
    </row>
    <row r="463" spans="1:8" x14ac:dyDescent="0.3">
      <c r="A463" t="s">
        <v>219</v>
      </c>
      <c r="B463" t="s">
        <v>401</v>
      </c>
      <c r="C463">
        <v>1</v>
      </c>
      <c r="D463">
        <f>VLOOKUP(B463, Menu!$A:$F, 6, 0)</f>
        <v>52.45</v>
      </c>
      <c r="E463">
        <f>VLOOKUP(B463, Menu!$A:$F, 5, 0)</f>
        <v>25.8</v>
      </c>
      <c r="F463" t="str">
        <f>VLOOKUP(B463, Menu!$A:$F, 3, 0)</f>
        <v>Snack</v>
      </c>
      <c r="G463" s="5">
        <f>VLOOKUP(A463, Orders!$A:$B, 2, 0)</f>
        <v>45869.994745370372</v>
      </c>
      <c r="H463" t="str">
        <f>VLOOKUP(A463, Orders!$A:$C, 3, 0)</f>
        <v>Head Office Café</v>
      </c>
    </row>
    <row r="464" spans="1:8" x14ac:dyDescent="0.3">
      <c r="A464" t="s">
        <v>220</v>
      </c>
      <c r="B464" t="s">
        <v>402</v>
      </c>
      <c r="C464">
        <v>3</v>
      </c>
      <c r="D464">
        <f>VLOOKUP(B464, Menu!$A:$F, 6, 0)</f>
        <v>30.34</v>
      </c>
      <c r="E464">
        <f>VLOOKUP(B464, Menu!$A:$F, 5, 0)</f>
        <v>14.18</v>
      </c>
      <c r="F464" t="str">
        <f>VLOOKUP(B464, Menu!$A:$F, 3, 0)</f>
        <v>Beverage</v>
      </c>
      <c r="G464" s="5">
        <f>VLOOKUP(A464, Orders!$A:$B, 2, 0)</f>
        <v>45842.735451388893</v>
      </c>
      <c r="H464" t="str">
        <f>VLOOKUP(A464, Orders!$A:$C, 3, 0)</f>
        <v>Head Office Café</v>
      </c>
    </row>
    <row r="465" spans="1:8" x14ac:dyDescent="0.3">
      <c r="A465" t="s">
        <v>220</v>
      </c>
      <c r="B465" t="s">
        <v>404</v>
      </c>
      <c r="C465">
        <v>2</v>
      </c>
      <c r="D465">
        <f>VLOOKUP(B465, Menu!$A:$F, 6, 0)</f>
        <v>32.979999999999997</v>
      </c>
      <c r="E465">
        <f>VLOOKUP(B465, Menu!$A:$F, 5, 0)</f>
        <v>11.84</v>
      </c>
      <c r="F465" t="str">
        <f>VLOOKUP(B465, Menu!$A:$F, 3, 0)</f>
        <v>Beverage</v>
      </c>
      <c r="G465" s="5">
        <f>VLOOKUP(A465, Orders!$A:$B, 2, 0)</f>
        <v>45842.735451388893</v>
      </c>
      <c r="H465" t="str">
        <f>VLOOKUP(A465, Orders!$A:$C, 3, 0)</f>
        <v>Head Office Café</v>
      </c>
    </row>
    <row r="466" spans="1:8" x14ac:dyDescent="0.3">
      <c r="A466" t="s">
        <v>221</v>
      </c>
      <c r="B466" t="s">
        <v>406</v>
      </c>
      <c r="C466">
        <v>1</v>
      </c>
      <c r="D466">
        <f>VLOOKUP(B466, Menu!$A:$F, 6, 0)</f>
        <v>38.06</v>
      </c>
      <c r="E466">
        <f>VLOOKUP(B466, Menu!$A:$F, 5, 0)</f>
        <v>19.55</v>
      </c>
      <c r="F466" t="str">
        <f>VLOOKUP(B466, Menu!$A:$F, 3, 0)</f>
        <v>Snack</v>
      </c>
      <c r="G466" s="5">
        <f>VLOOKUP(A466, Orders!$A:$B, 2, 0)</f>
        <v>45861.336724537039</v>
      </c>
      <c r="H466" t="str">
        <f>VLOOKUP(A466, Orders!$A:$C, 3, 0)</f>
        <v>Head Office Café</v>
      </c>
    </row>
    <row r="467" spans="1:8" x14ac:dyDescent="0.3">
      <c r="A467" t="s">
        <v>221</v>
      </c>
      <c r="B467" t="s">
        <v>419</v>
      </c>
      <c r="C467">
        <v>1</v>
      </c>
      <c r="D467">
        <f>VLOOKUP(B467, Menu!$A:$F, 6, 0)</f>
        <v>50.19</v>
      </c>
      <c r="E467">
        <f>VLOOKUP(B467, Menu!$A:$F, 5, 0)</f>
        <v>22.61</v>
      </c>
      <c r="F467" t="str">
        <f>VLOOKUP(B467, Menu!$A:$F, 3, 0)</f>
        <v>Snack</v>
      </c>
      <c r="G467" s="5">
        <f>VLOOKUP(A467, Orders!$A:$B, 2, 0)</f>
        <v>45861.336724537039</v>
      </c>
      <c r="H467" t="str">
        <f>VLOOKUP(A467, Orders!$A:$C, 3, 0)</f>
        <v>Head Office Café</v>
      </c>
    </row>
    <row r="468" spans="1:8" x14ac:dyDescent="0.3">
      <c r="A468" t="s">
        <v>221</v>
      </c>
      <c r="B468" t="s">
        <v>412</v>
      </c>
      <c r="C468">
        <v>1</v>
      </c>
      <c r="D468">
        <f>VLOOKUP(B468, Menu!$A:$F, 6, 0)</f>
        <v>57.07</v>
      </c>
      <c r="E468">
        <f>VLOOKUP(B468, Menu!$A:$F, 5, 0)</f>
        <v>29.14</v>
      </c>
      <c r="F468" t="str">
        <f>VLOOKUP(B468, Menu!$A:$F, 3, 0)</f>
        <v>Dessert</v>
      </c>
      <c r="G468" s="5">
        <f>VLOOKUP(A468, Orders!$A:$B, 2, 0)</f>
        <v>45861.336724537039</v>
      </c>
      <c r="H468" t="str">
        <f>VLOOKUP(A468, Orders!$A:$C, 3, 0)</f>
        <v>Head Office Café</v>
      </c>
    </row>
    <row r="469" spans="1:8" x14ac:dyDescent="0.3">
      <c r="A469" t="s">
        <v>222</v>
      </c>
      <c r="B469" t="s">
        <v>408</v>
      </c>
      <c r="C469">
        <v>1</v>
      </c>
      <c r="D469">
        <f>VLOOKUP(B469, Menu!$A:$F, 6, 0)</f>
        <v>70.540000000000006</v>
      </c>
      <c r="E469">
        <f>VLOOKUP(B469, Menu!$A:$F, 5, 0)</f>
        <v>35.81</v>
      </c>
      <c r="F469" t="str">
        <f>VLOOKUP(B469, Menu!$A:$F, 3, 0)</f>
        <v>Snack</v>
      </c>
      <c r="G469" s="5">
        <f>VLOOKUP(A469, Orders!$A:$B, 2, 0)</f>
        <v>45849.008275462962</v>
      </c>
      <c r="H469" t="str">
        <f>VLOOKUP(A469, Orders!$A:$C, 3, 0)</f>
        <v>Plant 2 Canteen</v>
      </c>
    </row>
    <row r="470" spans="1:8" x14ac:dyDescent="0.3">
      <c r="A470" t="s">
        <v>222</v>
      </c>
      <c r="B470" t="s">
        <v>412</v>
      </c>
      <c r="C470">
        <v>1</v>
      </c>
      <c r="D470">
        <f>VLOOKUP(B470, Menu!$A:$F, 6, 0)</f>
        <v>57.07</v>
      </c>
      <c r="E470">
        <f>VLOOKUP(B470, Menu!$A:$F, 5, 0)</f>
        <v>29.14</v>
      </c>
      <c r="F470" t="str">
        <f>VLOOKUP(B470, Menu!$A:$F, 3, 0)</f>
        <v>Dessert</v>
      </c>
      <c r="G470" s="5">
        <f>VLOOKUP(A470, Orders!$A:$B, 2, 0)</f>
        <v>45849.008275462962</v>
      </c>
      <c r="H470" t="str">
        <f>VLOOKUP(A470, Orders!$A:$C, 3, 0)</f>
        <v>Plant 2 Canteen</v>
      </c>
    </row>
    <row r="471" spans="1:8" x14ac:dyDescent="0.3">
      <c r="A471" t="s">
        <v>222</v>
      </c>
      <c r="B471" t="s">
        <v>410</v>
      </c>
      <c r="C471">
        <v>1</v>
      </c>
      <c r="D471">
        <f>VLOOKUP(B471, Menu!$A:$F, 6, 0)</f>
        <v>20.11</v>
      </c>
      <c r="E471">
        <f>VLOOKUP(B471, Menu!$A:$F, 5, 0)</f>
        <v>8</v>
      </c>
      <c r="F471" t="str">
        <f>VLOOKUP(B471, Menu!$A:$F, 3, 0)</f>
        <v>Beverage</v>
      </c>
      <c r="G471" s="5">
        <f>VLOOKUP(A471, Orders!$A:$B, 2, 0)</f>
        <v>45849.008275462962</v>
      </c>
      <c r="H471" t="str">
        <f>VLOOKUP(A471, Orders!$A:$C, 3, 0)</f>
        <v>Plant 2 Canteen</v>
      </c>
    </row>
    <row r="472" spans="1:8" x14ac:dyDescent="0.3">
      <c r="A472" t="s">
        <v>223</v>
      </c>
      <c r="B472" t="s">
        <v>402</v>
      </c>
      <c r="C472">
        <v>2</v>
      </c>
      <c r="D472">
        <f>VLOOKUP(B472, Menu!$A:$F, 6, 0)</f>
        <v>30.34</v>
      </c>
      <c r="E472">
        <f>VLOOKUP(B472, Menu!$A:$F, 5, 0)</f>
        <v>14.18</v>
      </c>
      <c r="F472" t="str">
        <f>VLOOKUP(B472, Menu!$A:$F, 3, 0)</f>
        <v>Beverage</v>
      </c>
      <c r="G472" s="5">
        <f>VLOOKUP(A472, Orders!$A:$B, 2, 0)</f>
        <v>45842.060497685183</v>
      </c>
      <c r="H472" t="str">
        <f>VLOOKUP(A472, Orders!$A:$C, 3, 0)</f>
        <v>Plant 1 Canteen</v>
      </c>
    </row>
    <row r="473" spans="1:8" x14ac:dyDescent="0.3">
      <c r="A473" t="s">
        <v>224</v>
      </c>
      <c r="B473" t="s">
        <v>408</v>
      </c>
      <c r="C473">
        <v>1</v>
      </c>
      <c r="D473">
        <f>VLOOKUP(B473, Menu!$A:$F, 6, 0)</f>
        <v>70.540000000000006</v>
      </c>
      <c r="E473">
        <f>VLOOKUP(B473, Menu!$A:$F, 5, 0)</f>
        <v>35.81</v>
      </c>
      <c r="F473" t="str">
        <f>VLOOKUP(B473, Menu!$A:$F, 3, 0)</f>
        <v>Snack</v>
      </c>
      <c r="G473" s="5">
        <f>VLOOKUP(A473, Orders!$A:$B, 2, 0)</f>
        <v>45874.053333333337</v>
      </c>
      <c r="H473" t="str">
        <f>VLOOKUP(A473, Orders!$A:$C, 3, 0)</f>
        <v>Plant 2 Canteen</v>
      </c>
    </row>
    <row r="474" spans="1:8" x14ac:dyDescent="0.3">
      <c r="A474" t="s">
        <v>224</v>
      </c>
      <c r="B474" t="s">
        <v>404</v>
      </c>
      <c r="C474">
        <v>2</v>
      </c>
      <c r="D474">
        <f>VLOOKUP(B474, Menu!$A:$F, 6, 0)</f>
        <v>32.979999999999997</v>
      </c>
      <c r="E474">
        <f>VLOOKUP(B474, Menu!$A:$F, 5, 0)</f>
        <v>11.84</v>
      </c>
      <c r="F474" t="str">
        <f>VLOOKUP(B474, Menu!$A:$F, 3, 0)</f>
        <v>Beverage</v>
      </c>
      <c r="G474" s="5">
        <f>VLOOKUP(A474, Orders!$A:$B, 2, 0)</f>
        <v>45874.053333333337</v>
      </c>
      <c r="H474" t="str">
        <f>VLOOKUP(A474, Orders!$A:$C, 3, 0)</f>
        <v>Plant 2 Canteen</v>
      </c>
    </row>
    <row r="475" spans="1:8" x14ac:dyDescent="0.3">
      <c r="A475" t="s">
        <v>224</v>
      </c>
      <c r="B475" t="s">
        <v>413</v>
      </c>
      <c r="C475">
        <v>2</v>
      </c>
      <c r="D475">
        <f>VLOOKUP(B475, Menu!$A:$F, 6, 0)</f>
        <v>54.2</v>
      </c>
      <c r="E475">
        <f>VLOOKUP(B475, Menu!$A:$F, 5, 0)</f>
        <v>21.95</v>
      </c>
      <c r="F475" t="str">
        <f>VLOOKUP(B475, Menu!$A:$F, 3, 0)</f>
        <v>Dessert</v>
      </c>
      <c r="G475" s="5">
        <f>VLOOKUP(A475, Orders!$A:$B, 2, 0)</f>
        <v>45874.053333333337</v>
      </c>
      <c r="H475" t="str">
        <f>VLOOKUP(A475, Orders!$A:$C, 3, 0)</f>
        <v>Plant 2 Canteen</v>
      </c>
    </row>
    <row r="476" spans="1:8" x14ac:dyDescent="0.3">
      <c r="A476" t="s">
        <v>224</v>
      </c>
      <c r="B476" t="s">
        <v>405</v>
      </c>
      <c r="C476">
        <v>1</v>
      </c>
      <c r="D476">
        <f>VLOOKUP(B476, Menu!$A:$F, 6, 0)</f>
        <v>170.83</v>
      </c>
      <c r="E476">
        <f>VLOOKUP(B476, Menu!$A:$F, 5, 0)</f>
        <v>74.069999999999993</v>
      </c>
      <c r="F476" t="str">
        <f>VLOOKUP(B476, Menu!$A:$F, 3, 0)</f>
        <v>Hot Meal</v>
      </c>
      <c r="G476" s="5">
        <f>VLOOKUP(A476, Orders!$A:$B, 2, 0)</f>
        <v>45874.053333333337</v>
      </c>
      <c r="H476" t="str">
        <f>VLOOKUP(A476, Orders!$A:$C, 3, 0)</f>
        <v>Plant 2 Canteen</v>
      </c>
    </row>
    <row r="477" spans="1:8" x14ac:dyDescent="0.3">
      <c r="A477" t="s">
        <v>225</v>
      </c>
      <c r="B477" t="s">
        <v>411</v>
      </c>
      <c r="C477">
        <v>2</v>
      </c>
      <c r="D477">
        <f>VLOOKUP(B477, Menu!$A:$F, 6, 0)</f>
        <v>22.2</v>
      </c>
      <c r="E477">
        <f>VLOOKUP(B477, Menu!$A:$F, 5, 0)</f>
        <v>9.3800000000000008</v>
      </c>
      <c r="F477" t="str">
        <f>VLOOKUP(B477, Menu!$A:$F, 3, 0)</f>
        <v>Beverage</v>
      </c>
      <c r="G477" s="5">
        <f>VLOOKUP(A477, Orders!$A:$B, 2, 0)</f>
        <v>45890.821134259262</v>
      </c>
      <c r="H477" t="str">
        <f>VLOOKUP(A477, Orders!$A:$C, 3, 0)</f>
        <v>Plant 2 Canteen</v>
      </c>
    </row>
    <row r="478" spans="1:8" x14ac:dyDescent="0.3">
      <c r="A478" t="s">
        <v>225</v>
      </c>
      <c r="B478" t="s">
        <v>410</v>
      </c>
      <c r="C478">
        <v>2</v>
      </c>
      <c r="D478">
        <f>VLOOKUP(B478, Menu!$A:$F, 6, 0)</f>
        <v>20.11</v>
      </c>
      <c r="E478">
        <f>VLOOKUP(B478, Menu!$A:$F, 5, 0)</f>
        <v>8</v>
      </c>
      <c r="F478" t="str">
        <f>VLOOKUP(B478, Menu!$A:$F, 3, 0)</f>
        <v>Beverage</v>
      </c>
      <c r="G478" s="5">
        <f>VLOOKUP(A478, Orders!$A:$B, 2, 0)</f>
        <v>45890.821134259262</v>
      </c>
      <c r="H478" t="str">
        <f>VLOOKUP(A478, Orders!$A:$C, 3, 0)</f>
        <v>Plant 2 Canteen</v>
      </c>
    </row>
    <row r="479" spans="1:8" x14ac:dyDescent="0.3">
      <c r="A479" t="s">
        <v>225</v>
      </c>
      <c r="B479" t="s">
        <v>408</v>
      </c>
      <c r="C479">
        <v>1</v>
      </c>
      <c r="D479">
        <f>VLOOKUP(B479, Menu!$A:$F, 6, 0)</f>
        <v>70.540000000000006</v>
      </c>
      <c r="E479">
        <f>VLOOKUP(B479, Menu!$A:$F, 5, 0)</f>
        <v>35.81</v>
      </c>
      <c r="F479" t="str">
        <f>VLOOKUP(B479, Menu!$A:$F, 3, 0)</f>
        <v>Snack</v>
      </c>
      <c r="G479" s="5">
        <f>VLOOKUP(A479, Orders!$A:$B, 2, 0)</f>
        <v>45890.821134259262</v>
      </c>
      <c r="H479" t="str">
        <f>VLOOKUP(A479, Orders!$A:$C, 3, 0)</f>
        <v>Plant 2 Canteen</v>
      </c>
    </row>
    <row r="480" spans="1:8" x14ac:dyDescent="0.3">
      <c r="A480" t="s">
        <v>225</v>
      </c>
      <c r="B480" t="s">
        <v>419</v>
      </c>
      <c r="C480">
        <v>1</v>
      </c>
      <c r="D480">
        <f>VLOOKUP(B480, Menu!$A:$F, 6, 0)</f>
        <v>50.19</v>
      </c>
      <c r="E480">
        <f>VLOOKUP(B480, Menu!$A:$F, 5, 0)</f>
        <v>22.61</v>
      </c>
      <c r="F480" t="str">
        <f>VLOOKUP(B480, Menu!$A:$F, 3, 0)</f>
        <v>Snack</v>
      </c>
      <c r="G480" s="5">
        <f>VLOOKUP(A480, Orders!$A:$B, 2, 0)</f>
        <v>45890.821134259262</v>
      </c>
      <c r="H480" t="str">
        <f>VLOOKUP(A480, Orders!$A:$C, 3, 0)</f>
        <v>Plant 2 Canteen</v>
      </c>
    </row>
    <row r="481" spans="1:8" x14ac:dyDescent="0.3">
      <c r="A481" t="s">
        <v>226</v>
      </c>
      <c r="B481" t="s">
        <v>408</v>
      </c>
      <c r="C481">
        <v>1</v>
      </c>
      <c r="D481">
        <f>VLOOKUP(B481, Menu!$A:$F, 6, 0)</f>
        <v>70.540000000000006</v>
      </c>
      <c r="E481">
        <f>VLOOKUP(B481, Menu!$A:$F, 5, 0)</f>
        <v>35.81</v>
      </c>
      <c r="F481" t="str">
        <f>VLOOKUP(B481, Menu!$A:$F, 3, 0)</f>
        <v>Snack</v>
      </c>
      <c r="G481" s="5">
        <f>VLOOKUP(A481, Orders!$A:$B, 2, 0)</f>
        <v>45855.75377314815</v>
      </c>
      <c r="H481" t="str">
        <f>VLOOKUP(A481, Orders!$A:$C, 3, 0)</f>
        <v>Plant 1 Canteen</v>
      </c>
    </row>
    <row r="482" spans="1:8" x14ac:dyDescent="0.3">
      <c r="A482" t="s">
        <v>226</v>
      </c>
      <c r="B482" t="s">
        <v>410</v>
      </c>
      <c r="C482">
        <v>2</v>
      </c>
      <c r="D482">
        <f>VLOOKUP(B482, Menu!$A:$F, 6, 0)</f>
        <v>20.11</v>
      </c>
      <c r="E482">
        <f>VLOOKUP(B482, Menu!$A:$F, 5, 0)</f>
        <v>8</v>
      </c>
      <c r="F482" t="str">
        <f>VLOOKUP(B482, Menu!$A:$F, 3, 0)</f>
        <v>Beverage</v>
      </c>
      <c r="G482" s="5">
        <f>VLOOKUP(A482, Orders!$A:$B, 2, 0)</f>
        <v>45855.75377314815</v>
      </c>
      <c r="H482" t="str">
        <f>VLOOKUP(A482, Orders!$A:$C, 3, 0)</f>
        <v>Plant 1 Canteen</v>
      </c>
    </row>
    <row r="483" spans="1:8" x14ac:dyDescent="0.3">
      <c r="A483" t="s">
        <v>226</v>
      </c>
      <c r="B483" t="s">
        <v>407</v>
      </c>
      <c r="C483">
        <v>2</v>
      </c>
      <c r="D483">
        <f>VLOOKUP(B483, Menu!$A:$F, 6, 0)</f>
        <v>246.09</v>
      </c>
      <c r="E483">
        <f>VLOOKUP(B483, Menu!$A:$F, 5, 0)</f>
        <v>112.08</v>
      </c>
      <c r="F483" t="str">
        <f>VLOOKUP(B483, Menu!$A:$F, 3, 0)</f>
        <v>Hot Meal</v>
      </c>
      <c r="G483" s="5">
        <f>VLOOKUP(A483, Orders!$A:$B, 2, 0)</f>
        <v>45855.75377314815</v>
      </c>
      <c r="H483" t="str">
        <f>VLOOKUP(A483, Orders!$A:$C, 3, 0)</f>
        <v>Plant 1 Canteen</v>
      </c>
    </row>
    <row r="484" spans="1:8" x14ac:dyDescent="0.3">
      <c r="A484" t="s">
        <v>227</v>
      </c>
      <c r="B484" t="s">
        <v>417</v>
      </c>
      <c r="C484">
        <v>1</v>
      </c>
      <c r="D484">
        <f>VLOOKUP(B484, Menu!$A:$F, 6, 0)</f>
        <v>146.4</v>
      </c>
      <c r="E484">
        <f>VLOOKUP(B484, Menu!$A:$F, 5, 0)</f>
        <v>80.92</v>
      </c>
      <c r="F484" t="str">
        <f>VLOOKUP(B484, Menu!$A:$F, 3, 0)</f>
        <v>Hot Meal</v>
      </c>
      <c r="G484" s="5">
        <f>VLOOKUP(A484, Orders!$A:$B, 2, 0)</f>
        <v>45862.632245370369</v>
      </c>
      <c r="H484" t="str">
        <f>VLOOKUP(A484, Orders!$A:$C, 3, 0)</f>
        <v>Plant 2 Canteen</v>
      </c>
    </row>
    <row r="485" spans="1:8" x14ac:dyDescent="0.3">
      <c r="A485" t="s">
        <v>228</v>
      </c>
      <c r="B485" t="s">
        <v>419</v>
      </c>
      <c r="C485">
        <v>2</v>
      </c>
      <c r="D485">
        <f>VLOOKUP(B485, Menu!$A:$F, 6, 0)</f>
        <v>50.19</v>
      </c>
      <c r="E485">
        <f>VLOOKUP(B485, Menu!$A:$F, 5, 0)</f>
        <v>22.61</v>
      </c>
      <c r="F485" t="str">
        <f>VLOOKUP(B485, Menu!$A:$F, 3, 0)</f>
        <v>Snack</v>
      </c>
      <c r="G485" s="5">
        <f>VLOOKUP(A485, Orders!$A:$B, 2, 0)</f>
        <v>45884.023206018523</v>
      </c>
      <c r="H485" t="str">
        <f>VLOOKUP(A485, Orders!$A:$C, 3, 0)</f>
        <v>Head Office Café</v>
      </c>
    </row>
    <row r="486" spans="1:8" x14ac:dyDescent="0.3">
      <c r="A486" t="s">
        <v>228</v>
      </c>
      <c r="B486" t="s">
        <v>412</v>
      </c>
      <c r="C486">
        <v>3</v>
      </c>
      <c r="D486">
        <f>VLOOKUP(B486, Menu!$A:$F, 6, 0)</f>
        <v>57.07</v>
      </c>
      <c r="E486">
        <f>VLOOKUP(B486, Menu!$A:$F, 5, 0)</f>
        <v>29.14</v>
      </c>
      <c r="F486" t="str">
        <f>VLOOKUP(B486, Menu!$A:$F, 3, 0)</f>
        <v>Dessert</v>
      </c>
      <c r="G486" s="5">
        <f>VLOOKUP(A486, Orders!$A:$B, 2, 0)</f>
        <v>45884.023206018523</v>
      </c>
      <c r="H486" t="str">
        <f>VLOOKUP(A486, Orders!$A:$C, 3, 0)</f>
        <v>Head Office Café</v>
      </c>
    </row>
    <row r="487" spans="1:8" x14ac:dyDescent="0.3">
      <c r="A487" t="s">
        <v>229</v>
      </c>
      <c r="B487" t="s">
        <v>415</v>
      </c>
      <c r="C487">
        <v>2</v>
      </c>
      <c r="D487">
        <f>VLOOKUP(B487, Menu!$A:$F, 6, 0)</f>
        <v>256.91000000000003</v>
      </c>
      <c r="E487">
        <f>VLOOKUP(B487, Menu!$A:$F, 5, 0)</f>
        <v>121.24</v>
      </c>
      <c r="F487" t="str">
        <f>VLOOKUP(B487, Menu!$A:$F, 3, 0)</f>
        <v>Hot Meal</v>
      </c>
      <c r="G487" s="5">
        <f>VLOOKUP(A487, Orders!$A:$B, 2, 0)</f>
        <v>45840.162395833337</v>
      </c>
      <c r="H487" t="str">
        <f>VLOOKUP(A487, Orders!$A:$C, 3, 0)</f>
        <v>Plant 2 Canteen</v>
      </c>
    </row>
    <row r="488" spans="1:8" x14ac:dyDescent="0.3">
      <c r="A488" t="s">
        <v>230</v>
      </c>
      <c r="B488" t="s">
        <v>410</v>
      </c>
      <c r="C488">
        <v>1</v>
      </c>
      <c r="D488">
        <f>VLOOKUP(B488, Menu!$A:$F, 6, 0)</f>
        <v>20.11</v>
      </c>
      <c r="E488">
        <f>VLOOKUP(B488, Menu!$A:$F, 5, 0)</f>
        <v>8</v>
      </c>
      <c r="F488" t="str">
        <f>VLOOKUP(B488, Menu!$A:$F, 3, 0)</f>
        <v>Beverage</v>
      </c>
      <c r="G488" s="5">
        <f>VLOOKUP(A488, Orders!$A:$B, 2, 0)</f>
        <v>45854.587905092587</v>
      </c>
      <c r="H488" t="str">
        <f>VLOOKUP(A488, Orders!$A:$C, 3, 0)</f>
        <v>Plant 1 Canteen</v>
      </c>
    </row>
    <row r="489" spans="1:8" x14ac:dyDescent="0.3">
      <c r="A489" t="s">
        <v>230</v>
      </c>
      <c r="B489" t="s">
        <v>408</v>
      </c>
      <c r="C489">
        <v>1</v>
      </c>
      <c r="D489">
        <f>VLOOKUP(B489, Menu!$A:$F, 6, 0)</f>
        <v>70.540000000000006</v>
      </c>
      <c r="E489">
        <f>VLOOKUP(B489, Menu!$A:$F, 5, 0)</f>
        <v>35.81</v>
      </c>
      <c r="F489" t="str">
        <f>VLOOKUP(B489, Menu!$A:$F, 3, 0)</f>
        <v>Snack</v>
      </c>
      <c r="G489" s="5">
        <f>VLOOKUP(A489, Orders!$A:$B, 2, 0)</f>
        <v>45854.587905092587</v>
      </c>
      <c r="H489" t="str">
        <f>VLOOKUP(A489, Orders!$A:$C, 3, 0)</f>
        <v>Plant 1 Canteen</v>
      </c>
    </row>
    <row r="490" spans="1:8" x14ac:dyDescent="0.3">
      <c r="A490" t="s">
        <v>230</v>
      </c>
      <c r="B490" t="s">
        <v>404</v>
      </c>
      <c r="C490">
        <v>3</v>
      </c>
      <c r="D490">
        <f>VLOOKUP(B490, Menu!$A:$F, 6, 0)</f>
        <v>32.979999999999997</v>
      </c>
      <c r="E490">
        <f>VLOOKUP(B490, Menu!$A:$F, 5, 0)</f>
        <v>11.84</v>
      </c>
      <c r="F490" t="str">
        <f>VLOOKUP(B490, Menu!$A:$F, 3, 0)</f>
        <v>Beverage</v>
      </c>
      <c r="G490" s="5">
        <f>VLOOKUP(A490, Orders!$A:$B, 2, 0)</f>
        <v>45854.587905092587</v>
      </c>
      <c r="H490" t="str">
        <f>VLOOKUP(A490, Orders!$A:$C, 3, 0)</f>
        <v>Plant 1 Canteen</v>
      </c>
    </row>
    <row r="491" spans="1:8" x14ac:dyDescent="0.3">
      <c r="A491" t="s">
        <v>230</v>
      </c>
      <c r="B491" t="s">
        <v>412</v>
      </c>
      <c r="C491">
        <v>1</v>
      </c>
      <c r="D491">
        <f>VLOOKUP(B491, Menu!$A:$F, 6, 0)</f>
        <v>57.07</v>
      </c>
      <c r="E491">
        <f>VLOOKUP(B491, Menu!$A:$F, 5, 0)</f>
        <v>29.14</v>
      </c>
      <c r="F491" t="str">
        <f>VLOOKUP(B491, Menu!$A:$F, 3, 0)</f>
        <v>Dessert</v>
      </c>
      <c r="G491" s="5">
        <f>VLOOKUP(A491, Orders!$A:$B, 2, 0)</f>
        <v>45854.587905092587</v>
      </c>
      <c r="H491" t="str">
        <f>VLOOKUP(A491, Orders!$A:$C, 3, 0)</f>
        <v>Plant 1 Canteen</v>
      </c>
    </row>
    <row r="492" spans="1:8" x14ac:dyDescent="0.3">
      <c r="A492" t="s">
        <v>231</v>
      </c>
      <c r="B492" t="s">
        <v>411</v>
      </c>
      <c r="C492">
        <v>2</v>
      </c>
      <c r="D492">
        <f>VLOOKUP(B492, Menu!$A:$F, 6, 0)</f>
        <v>22.2</v>
      </c>
      <c r="E492">
        <f>VLOOKUP(B492, Menu!$A:$F, 5, 0)</f>
        <v>9.3800000000000008</v>
      </c>
      <c r="F492" t="str">
        <f>VLOOKUP(B492, Menu!$A:$F, 3, 0)</f>
        <v>Beverage</v>
      </c>
      <c r="G492" s="5">
        <f>VLOOKUP(A492, Orders!$A:$B, 2, 0)</f>
        <v>45880.44630787037</v>
      </c>
      <c r="H492" t="str">
        <f>VLOOKUP(A492, Orders!$A:$C, 3, 0)</f>
        <v>Head Office Café</v>
      </c>
    </row>
    <row r="493" spans="1:8" x14ac:dyDescent="0.3">
      <c r="A493" t="s">
        <v>231</v>
      </c>
      <c r="B493" t="s">
        <v>419</v>
      </c>
      <c r="C493">
        <v>2</v>
      </c>
      <c r="D493">
        <f>VLOOKUP(B493, Menu!$A:$F, 6, 0)</f>
        <v>50.19</v>
      </c>
      <c r="E493">
        <f>VLOOKUP(B493, Menu!$A:$F, 5, 0)</f>
        <v>22.61</v>
      </c>
      <c r="F493" t="str">
        <f>VLOOKUP(B493, Menu!$A:$F, 3, 0)</f>
        <v>Snack</v>
      </c>
      <c r="G493" s="5">
        <f>VLOOKUP(A493, Orders!$A:$B, 2, 0)</f>
        <v>45880.44630787037</v>
      </c>
      <c r="H493" t="str">
        <f>VLOOKUP(A493, Orders!$A:$C, 3, 0)</f>
        <v>Head Office Café</v>
      </c>
    </row>
    <row r="494" spans="1:8" x14ac:dyDescent="0.3">
      <c r="A494" t="s">
        <v>231</v>
      </c>
      <c r="B494" t="s">
        <v>401</v>
      </c>
      <c r="C494">
        <v>2</v>
      </c>
      <c r="D494">
        <f>VLOOKUP(B494, Menu!$A:$F, 6, 0)</f>
        <v>52.45</v>
      </c>
      <c r="E494">
        <f>VLOOKUP(B494, Menu!$A:$F, 5, 0)</f>
        <v>25.8</v>
      </c>
      <c r="F494" t="str">
        <f>VLOOKUP(B494, Menu!$A:$F, 3, 0)</f>
        <v>Snack</v>
      </c>
      <c r="G494" s="5">
        <f>VLOOKUP(A494, Orders!$A:$B, 2, 0)</f>
        <v>45880.44630787037</v>
      </c>
      <c r="H494" t="str">
        <f>VLOOKUP(A494, Orders!$A:$C, 3, 0)</f>
        <v>Head Office Café</v>
      </c>
    </row>
    <row r="495" spans="1:8" x14ac:dyDescent="0.3">
      <c r="A495" t="s">
        <v>232</v>
      </c>
      <c r="B495" t="s">
        <v>414</v>
      </c>
      <c r="C495">
        <v>1</v>
      </c>
      <c r="D495">
        <f>VLOOKUP(B495, Menu!$A:$F, 6, 0)</f>
        <v>116.8</v>
      </c>
      <c r="E495">
        <f>VLOOKUP(B495, Menu!$A:$F, 5, 0)</f>
        <v>48.97</v>
      </c>
      <c r="F495" t="str">
        <f>VLOOKUP(B495, Menu!$A:$F, 3, 0)</f>
        <v>Dessert</v>
      </c>
      <c r="G495" s="5">
        <f>VLOOKUP(A495, Orders!$A:$B, 2, 0)</f>
        <v>45858.592048611114</v>
      </c>
      <c r="H495" t="str">
        <f>VLOOKUP(A495, Orders!$A:$C, 3, 0)</f>
        <v>Plant 2 Canteen</v>
      </c>
    </row>
    <row r="496" spans="1:8" x14ac:dyDescent="0.3">
      <c r="A496" t="s">
        <v>232</v>
      </c>
      <c r="B496" t="s">
        <v>419</v>
      </c>
      <c r="C496">
        <v>2</v>
      </c>
      <c r="D496">
        <f>VLOOKUP(B496, Menu!$A:$F, 6, 0)</f>
        <v>50.19</v>
      </c>
      <c r="E496">
        <f>VLOOKUP(B496, Menu!$A:$F, 5, 0)</f>
        <v>22.61</v>
      </c>
      <c r="F496" t="str">
        <f>VLOOKUP(B496, Menu!$A:$F, 3, 0)</f>
        <v>Snack</v>
      </c>
      <c r="G496" s="5">
        <f>VLOOKUP(A496, Orders!$A:$B, 2, 0)</f>
        <v>45858.592048611114</v>
      </c>
      <c r="H496" t="str">
        <f>VLOOKUP(A496, Orders!$A:$C, 3, 0)</f>
        <v>Plant 2 Canteen</v>
      </c>
    </row>
    <row r="497" spans="1:8" x14ac:dyDescent="0.3">
      <c r="A497" t="s">
        <v>232</v>
      </c>
      <c r="B497" t="s">
        <v>415</v>
      </c>
      <c r="C497">
        <v>2</v>
      </c>
      <c r="D497">
        <f>VLOOKUP(B497, Menu!$A:$F, 6, 0)</f>
        <v>256.91000000000003</v>
      </c>
      <c r="E497">
        <f>VLOOKUP(B497, Menu!$A:$F, 5, 0)</f>
        <v>121.24</v>
      </c>
      <c r="F497" t="str">
        <f>VLOOKUP(B497, Menu!$A:$F, 3, 0)</f>
        <v>Hot Meal</v>
      </c>
      <c r="G497" s="5">
        <f>VLOOKUP(A497, Orders!$A:$B, 2, 0)</f>
        <v>45858.592048611114</v>
      </c>
      <c r="H497" t="str">
        <f>VLOOKUP(A497, Orders!$A:$C, 3, 0)</f>
        <v>Plant 2 Canteen</v>
      </c>
    </row>
    <row r="498" spans="1:8" x14ac:dyDescent="0.3">
      <c r="A498" t="s">
        <v>233</v>
      </c>
      <c r="B498" t="s">
        <v>403</v>
      </c>
      <c r="C498">
        <v>1</v>
      </c>
      <c r="D498">
        <f>VLOOKUP(B498, Menu!$A:$F, 6, 0)</f>
        <v>76.55</v>
      </c>
      <c r="E498">
        <f>VLOOKUP(B498, Menu!$A:$F, 5, 0)</f>
        <v>38.229999999999997</v>
      </c>
      <c r="F498" t="str">
        <f>VLOOKUP(B498, Menu!$A:$F, 3, 0)</f>
        <v>Dessert</v>
      </c>
      <c r="G498" s="5">
        <f>VLOOKUP(A498, Orders!$A:$B, 2, 0)</f>
        <v>45876.27679398148</v>
      </c>
      <c r="H498" t="str">
        <f>VLOOKUP(A498, Orders!$A:$C, 3, 0)</f>
        <v>Head Office Café</v>
      </c>
    </row>
    <row r="499" spans="1:8" x14ac:dyDescent="0.3">
      <c r="A499" t="s">
        <v>233</v>
      </c>
      <c r="B499" t="s">
        <v>418</v>
      </c>
      <c r="C499">
        <v>3</v>
      </c>
      <c r="D499">
        <f>VLOOKUP(B499, Menu!$A:$F, 6, 0)</f>
        <v>39.950000000000003</v>
      </c>
      <c r="E499">
        <f>VLOOKUP(B499, Menu!$A:$F, 5, 0)</f>
        <v>15.51</v>
      </c>
      <c r="F499" t="str">
        <f>VLOOKUP(B499, Menu!$A:$F, 3, 0)</f>
        <v>Snack</v>
      </c>
      <c r="G499" s="5">
        <f>VLOOKUP(A499, Orders!$A:$B, 2, 0)</f>
        <v>45876.27679398148</v>
      </c>
      <c r="H499" t="str">
        <f>VLOOKUP(A499, Orders!$A:$C, 3, 0)</f>
        <v>Head Office Café</v>
      </c>
    </row>
    <row r="500" spans="1:8" x14ac:dyDescent="0.3">
      <c r="A500" t="s">
        <v>233</v>
      </c>
      <c r="B500" t="s">
        <v>417</v>
      </c>
      <c r="C500">
        <v>1</v>
      </c>
      <c r="D500">
        <f>VLOOKUP(B500, Menu!$A:$F, 6, 0)</f>
        <v>146.4</v>
      </c>
      <c r="E500">
        <f>VLOOKUP(B500, Menu!$A:$F, 5, 0)</f>
        <v>80.92</v>
      </c>
      <c r="F500" t="str">
        <f>VLOOKUP(B500, Menu!$A:$F, 3, 0)</f>
        <v>Hot Meal</v>
      </c>
      <c r="G500" s="5">
        <f>VLOOKUP(A500, Orders!$A:$B, 2, 0)</f>
        <v>45876.27679398148</v>
      </c>
      <c r="H500" t="str">
        <f>VLOOKUP(A500, Orders!$A:$C, 3, 0)</f>
        <v>Head Office Café</v>
      </c>
    </row>
    <row r="501" spans="1:8" x14ac:dyDescent="0.3">
      <c r="A501" t="s">
        <v>234</v>
      </c>
      <c r="B501" t="s">
        <v>402</v>
      </c>
      <c r="C501">
        <v>2</v>
      </c>
      <c r="D501">
        <f>VLOOKUP(B501, Menu!$A:$F, 6, 0)</f>
        <v>30.34</v>
      </c>
      <c r="E501">
        <f>VLOOKUP(B501, Menu!$A:$F, 5, 0)</f>
        <v>14.18</v>
      </c>
      <c r="F501" t="str">
        <f>VLOOKUP(B501, Menu!$A:$F, 3, 0)</f>
        <v>Beverage</v>
      </c>
      <c r="G501" s="5">
        <f>VLOOKUP(A501, Orders!$A:$B, 2, 0)</f>
        <v>45867.9140625</v>
      </c>
      <c r="H501" t="str">
        <f>VLOOKUP(A501, Orders!$A:$C, 3, 0)</f>
        <v>Plant 1 Canteen</v>
      </c>
    </row>
    <row r="502" spans="1:8" x14ac:dyDescent="0.3">
      <c r="A502" t="s">
        <v>234</v>
      </c>
      <c r="B502" t="s">
        <v>415</v>
      </c>
      <c r="C502">
        <v>1</v>
      </c>
      <c r="D502">
        <f>VLOOKUP(B502, Menu!$A:$F, 6, 0)</f>
        <v>256.91000000000003</v>
      </c>
      <c r="E502">
        <f>VLOOKUP(B502, Menu!$A:$F, 5, 0)</f>
        <v>121.24</v>
      </c>
      <c r="F502" t="str">
        <f>VLOOKUP(B502, Menu!$A:$F, 3, 0)</f>
        <v>Hot Meal</v>
      </c>
      <c r="G502" s="5">
        <f>VLOOKUP(A502, Orders!$A:$B, 2, 0)</f>
        <v>45867.9140625</v>
      </c>
      <c r="H502" t="str">
        <f>VLOOKUP(A502, Orders!$A:$C, 3, 0)</f>
        <v>Plant 1 Canteen</v>
      </c>
    </row>
    <row r="503" spans="1:8" x14ac:dyDescent="0.3">
      <c r="A503" t="s">
        <v>235</v>
      </c>
      <c r="B503" t="s">
        <v>412</v>
      </c>
      <c r="C503">
        <v>1</v>
      </c>
      <c r="D503">
        <f>VLOOKUP(B503, Menu!$A:$F, 6, 0)</f>
        <v>57.07</v>
      </c>
      <c r="E503">
        <f>VLOOKUP(B503, Menu!$A:$F, 5, 0)</f>
        <v>29.14</v>
      </c>
      <c r="F503" t="str">
        <f>VLOOKUP(B503, Menu!$A:$F, 3, 0)</f>
        <v>Dessert</v>
      </c>
      <c r="G503" s="5">
        <f>VLOOKUP(A503, Orders!$A:$B, 2, 0)</f>
        <v>45840.036226851851</v>
      </c>
      <c r="H503" t="str">
        <f>VLOOKUP(A503, Orders!$A:$C, 3, 0)</f>
        <v>Head Office Café</v>
      </c>
    </row>
    <row r="504" spans="1:8" x14ac:dyDescent="0.3">
      <c r="A504" t="s">
        <v>235</v>
      </c>
      <c r="B504" t="s">
        <v>402</v>
      </c>
      <c r="C504">
        <v>2</v>
      </c>
      <c r="D504">
        <f>VLOOKUP(B504, Menu!$A:$F, 6, 0)</f>
        <v>30.34</v>
      </c>
      <c r="E504">
        <f>VLOOKUP(B504, Menu!$A:$F, 5, 0)</f>
        <v>14.18</v>
      </c>
      <c r="F504" t="str">
        <f>VLOOKUP(B504, Menu!$A:$F, 3, 0)</f>
        <v>Beverage</v>
      </c>
      <c r="G504" s="5">
        <f>VLOOKUP(A504, Orders!$A:$B, 2, 0)</f>
        <v>45840.036226851851</v>
      </c>
      <c r="H504" t="str">
        <f>VLOOKUP(A504, Orders!$A:$C, 3, 0)</f>
        <v>Head Office Café</v>
      </c>
    </row>
    <row r="505" spans="1:8" x14ac:dyDescent="0.3">
      <c r="A505" t="s">
        <v>236</v>
      </c>
      <c r="B505" t="s">
        <v>407</v>
      </c>
      <c r="C505">
        <v>1</v>
      </c>
      <c r="D505">
        <f>VLOOKUP(B505, Menu!$A:$F, 6, 0)</f>
        <v>246.09</v>
      </c>
      <c r="E505">
        <f>VLOOKUP(B505, Menu!$A:$F, 5, 0)</f>
        <v>112.08</v>
      </c>
      <c r="F505" t="str">
        <f>VLOOKUP(B505, Menu!$A:$F, 3, 0)</f>
        <v>Hot Meal</v>
      </c>
      <c r="G505" s="5">
        <f>VLOOKUP(A505, Orders!$A:$B, 2, 0)</f>
        <v>45898.126226851848</v>
      </c>
      <c r="H505" t="str">
        <f>VLOOKUP(A505, Orders!$A:$C, 3, 0)</f>
        <v>Head Office Café</v>
      </c>
    </row>
    <row r="506" spans="1:8" x14ac:dyDescent="0.3">
      <c r="A506" t="s">
        <v>236</v>
      </c>
      <c r="B506" t="s">
        <v>415</v>
      </c>
      <c r="C506">
        <v>1</v>
      </c>
      <c r="D506">
        <f>VLOOKUP(B506, Menu!$A:$F, 6, 0)</f>
        <v>256.91000000000003</v>
      </c>
      <c r="E506">
        <f>VLOOKUP(B506, Menu!$A:$F, 5, 0)</f>
        <v>121.24</v>
      </c>
      <c r="F506" t="str">
        <f>VLOOKUP(B506, Menu!$A:$F, 3, 0)</f>
        <v>Hot Meal</v>
      </c>
      <c r="G506" s="5">
        <f>VLOOKUP(A506, Orders!$A:$B, 2, 0)</f>
        <v>45898.126226851848</v>
      </c>
      <c r="H506" t="str">
        <f>VLOOKUP(A506, Orders!$A:$C, 3, 0)</f>
        <v>Head Office Café</v>
      </c>
    </row>
    <row r="507" spans="1:8" x14ac:dyDescent="0.3">
      <c r="A507" t="s">
        <v>236</v>
      </c>
      <c r="B507" t="s">
        <v>405</v>
      </c>
      <c r="C507">
        <v>2</v>
      </c>
      <c r="D507">
        <f>VLOOKUP(B507, Menu!$A:$F, 6, 0)</f>
        <v>170.83</v>
      </c>
      <c r="E507">
        <f>VLOOKUP(B507, Menu!$A:$F, 5, 0)</f>
        <v>74.069999999999993</v>
      </c>
      <c r="F507" t="str">
        <f>VLOOKUP(B507, Menu!$A:$F, 3, 0)</f>
        <v>Hot Meal</v>
      </c>
      <c r="G507" s="5">
        <f>VLOOKUP(A507, Orders!$A:$B, 2, 0)</f>
        <v>45898.126226851848</v>
      </c>
      <c r="H507" t="str">
        <f>VLOOKUP(A507, Orders!$A:$C, 3, 0)</f>
        <v>Head Office Café</v>
      </c>
    </row>
    <row r="508" spans="1:8" x14ac:dyDescent="0.3">
      <c r="A508" t="s">
        <v>236</v>
      </c>
      <c r="B508" t="s">
        <v>404</v>
      </c>
      <c r="C508">
        <v>1</v>
      </c>
      <c r="D508">
        <f>VLOOKUP(B508, Menu!$A:$F, 6, 0)</f>
        <v>32.979999999999997</v>
      </c>
      <c r="E508">
        <f>VLOOKUP(B508, Menu!$A:$F, 5, 0)</f>
        <v>11.84</v>
      </c>
      <c r="F508" t="str">
        <f>VLOOKUP(B508, Menu!$A:$F, 3, 0)</f>
        <v>Beverage</v>
      </c>
      <c r="G508" s="5">
        <f>VLOOKUP(A508, Orders!$A:$B, 2, 0)</f>
        <v>45898.126226851848</v>
      </c>
      <c r="H508" t="str">
        <f>VLOOKUP(A508, Orders!$A:$C, 3, 0)</f>
        <v>Head Office Café</v>
      </c>
    </row>
    <row r="509" spans="1:8" x14ac:dyDescent="0.3">
      <c r="A509" t="s">
        <v>237</v>
      </c>
      <c r="B509" t="s">
        <v>418</v>
      </c>
      <c r="C509">
        <v>1</v>
      </c>
      <c r="D509">
        <f>VLOOKUP(B509, Menu!$A:$F, 6, 0)</f>
        <v>39.950000000000003</v>
      </c>
      <c r="E509">
        <f>VLOOKUP(B509, Menu!$A:$F, 5, 0)</f>
        <v>15.51</v>
      </c>
      <c r="F509" t="str">
        <f>VLOOKUP(B509, Menu!$A:$F, 3, 0)</f>
        <v>Snack</v>
      </c>
      <c r="G509" s="5">
        <f>VLOOKUP(A509, Orders!$A:$B, 2, 0)</f>
        <v>45898.190162037034</v>
      </c>
      <c r="H509" t="str">
        <f>VLOOKUP(A509, Orders!$A:$C, 3, 0)</f>
        <v>Plant 2 Canteen</v>
      </c>
    </row>
    <row r="510" spans="1:8" x14ac:dyDescent="0.3">
      <c r="A510" t="s">
        <v>238</v>
      </c>
      <c r="B510" t="s">
        <v>406</v>
      </c>
      <c r="C510">
        <v>1</v>
      </c>
      <c r="D510">
        <f>VLOOKUP(B510, Menu!$A:$F, 6, 0)</f>
        <v>38.06</v>
      </c>
      <c r="E510">
        <f>VLOOKUP(B510, Menu!$A:$F, 5, 0)</f>
        <v>19.55</v>
      </c>
      <c r="F510" t="str">
        <f>VLOOKUP(B510, Menu!$A:$F, 3, 0)</f>
        <v>Snack</v>
      </c>
      <c r="G510" s="5">
        <f>VLOOKUP(A510, Orders!$A:$B, 2, 0)</f>
        <v>45863.583437499998</v>
      </c>
      <c r="H510" t="str">
        <f>VLOOKUP(A510, Orders!$A:$C, 3, 0)</f>
        <v>Head Office Café</v>
      </c>
    </row>
    <row r="511" spans="1:8" x14ac:dyDescent="0.3">
      <c r="A511" t="s">
        <v>239</v>
      </c>
      <c r="B511" t="s">
        <v>405</v>
      </c>
      <c r="C511">
        <v>1</v>
      </c>
      <c r="D511">
        <f>VLOOKUP(B511, Menu!$A:$F, 6, 0)</f>
        <v>170.83</v>
      </c>
      <c r="E511">
        <f>VLOOKUP(B511, Menu!$A:$F, 5, 0)</f>
        <v>74.069999999999993</v>
      </c>
      <c r="F511" t="str">
        <f>VLOOKUP(B511, Menu!$A:$F, 3, 0)</f>
        <v>Hot Meal</v>
      </c>
      <c r="G511" s="5">
        <f>VLOOKUP(A511, Orders!$A:$B, 2, 0)</f>
        <v>45848.683680555558</v>
      </c>
      <c r="H511" t="str">
        <f>VLOOKUP(A511, Orders!$A:$C, 3, 0)</f>
        <v>Head Office Café</v>
      </c>
    </row>
    <row r="512" spans="1:8" x14ac:dyDescent="0.3">
      <c r="A512" t="s">
        <v>240</v>
      </c>
      <c r="B512" t="s">
        <v>417</v>
      </c>
      <c r="C512">
        <v>1</v>
      </c>
      <c r="D512">
        <f>VLOOKUP(B512, Menu!$A:$F, 6, 0)</f>
        <v>146.4</v>
      </c>
      <c r="E512">
        <f>VLOOKUP(B512, Menu!$A:$F, 5, 0)</f>
        <v>80.92</v>
      </c>
      <c r="F512" t="str">
        <f>VLOOKUP(B512, Menu!$A:$F, 3, 0)</f>
        <v>Hot Meal</v>
      </c>
      <c r="G512" s="5">
        <f>VLOOKUP(A512, Orders!$A:$B, 2, 0)</f>
        <v>45882.049675925933</v>
      </c>
      <c r="H512" t="str">
        <f>VLOOKUP(A512, Orders!$A:$C, 3, 0)</f>
        <v>Plant 1 Canteen</v>
      </c>
    </row>
    <row r="513" spans="1:8" x14ac:dyDescent="0.3">
      <c r="A513" t="s">
        <v>240</v>
      </c>
      <c r="B513" t="s">
        <v>413</v>
      </c>
      <c r="C513">
        <v>2</v>
      </c>
      <c r="D513">
        <f>VLOOKUP(B513, Menu!$A:$F, 6, 0)</f>
        <v>54.2</v>
      </c>
      <c r="E513">
        <f>VLOOKUP(B513, Menu!$A:$F, 5, 0)</f>
        <v>21.95</v>
      </c>
      <c r="F513" t="str">
        <f>VLOOKUP(B513, Menu!$A:$F, 3, 0)</f>
        <v>Dessert</v>
      </c>
      <c r="G513" s="5">
        <f>VLOOKUP(A513, Orders!$A:$B, 2, 0)</f>
        <v>45882.049675925933</v>
      </c>
      <c r="H513" t="str">
        <f>VLOOKUP(A513, Orders!$A:$C, 3, 0)</f>
        <v>Plant 1 Canteen</v>
      </c>
    </row>
    <row r="514" spans="1:8" x14ac:dyDescent="0.3">
      <c r="A514" t="s">
        <v>241</v>
      </c>
      <c r="B514" t="s">
        <v>411</v>
      </c>
      <c r="C514">
        <v>1</v>
      </c>
      <c r="D514">
        <f>VLOOKUP(B514, Menu!$A:$F, 6, 0)</f>
        <v>22.2</v>
      </c>
      <c r="E514">
        <f>VLOOKUP(B514, Menu!$A:$F, 5, 0)</f>
        <v>9.3800000000000008</v>
      </c>
      <c r="F514" t="str">
        <f>VLOOKUP(B514, Menu!$A:$F, 3, 0)</f>
        <v>Beverage</v>
      </c>
      <c r="G514" s="5">
        <f>VLOOKUP(A514, Orders!$A:$B, 2, 0)</f>
        <v>45848.001076388893</v>
      </c>
      <c r="H514" t="str">
        <f>VLOOKUP(A514, Orders!$A:$C, 3, 0)</f>
        <v>Plant 2 Canteen</v>
      </c>
    </row>
    <row r="515" spans="1:8" x14ac:dyDescent="0.3">
      <c r="A515" t="s">
        <v>241</v>
      </c>
      <c r="B515" t="s">
        <v>416</v>
      </c>
      <c r="C515">
        <v>3</v>
      </c>
      <c r="D515">
        <f>VLOOKUP(B515, Menu!$A:$F, 6, 0)</f>
        <v>227.61</v>
      </c>
      <c r="E515">
        <f>VLOOKUP(B515, Menu!$A:$F, 5, 0)</f>
        <v>96.22</v>
      </c>
      <c r="F515" t="str">
        <f>VLOOKUP(B515, Menu!$A:$F, 3, 0)</f>
        <v>Hot Meal</v>
      </c>
      <c r="G515" s="5">
        <f>VLOOKUP(A515, Orders!$A:$B, 2, 0)</f>
        <v>45848.001076388893</v>
      </c>
      <c r="H515" t="str">
        <f>VLOOKUP(A515, Orders!$A:$C, 3, 0)</f>
        <v>Plant 2 Canteen</v>
      </c>
    </row>
    <row r="516" spans="1:8" x14ac:dyDescent="0.3">
      <c r="A516" t="s">
        <v>241</v>
      </c>
      <c r="B516" t="s">
        <v>407</v>
      </c>
      <c r="C516">
        <v>1</v>
      </c>
      <c r="D516">
        <f>VLOOKUP(B516, Menu!$A:$F, 6, 0)</f>
        <v>246.09</v>
      </c>
      <c r="E516">
        <f>VLOOKUP(B516, Menu!$A:$F, 5, 0)</f>
        <v>112.08</v>
      </c>
      <c r="F516" t="str">
        <f>VLOOKUP(B516, Menu!$A:$F, 3, 0)</f>
        <v>Hot Meal</v>
      </c>
      <c r="G516" s="5">
        <f>VLOOKUP(A516, Orders!$A:$B, 2, 0)</f>
        <v>45848.001076388893</v>
      </c>
      <c r="H516" t="str">
        <f>VLOOKUP(A516, Orders!$A:$C, 3, 0)</f>
        <v>Plant 2 Canteen</v>
      </c>
    </row>
    <row r="517" spans="1:8" x14ac:dyDescent="0.3">
      <c r="A517" t="s">
        <v>242</v>
      </c>
      <c r="B517" t="s">
        <v>417</v>
      </c>
      <c r="C517">
        <v>1</v>
      </c>
      <c r="D517">
        <f>VLOOKUP(B517, Menu!$A:$F, 6, 0)</f>
        <v>146.4</v>
      </c>
      <c r="E517">
        <f>VLOOKUP(B517, Menu!$A:$F, 5, 0)</f>
        <v>80.92</v>
      </c>
      <c r="F517" t="str">
        <f>VLOOKUP(B517, Menu!$A:$F, 3, 0)</f>
        <v>Hot Meal</v>
      </c>
      <c r="G517" s="5">
        <f>VLOOKUP(A517, Orders!$A:$B, 2, 0)</f>
        <v>45856.302951388891</v>
      </c>
      <c r="H517" t="str">
        <f>VLOOKUP(A517, Orders!$A:$C, 3, 0)</f>
        <v>Plant 1 Canteen</v>
      </c>
    </row>
    <row r="518" spans="1:8" x14ac:dyDescent="0.3">
      <c r="A518" t="s">
        <v>242</v>
      </c>
      <c r="B518" t="s">
        <v>418</v>
      </c>
      <c r="C518">
        <v>2</v>
      </c>
      <c r="D518">
        <f>VLOOKUP(B518, Menu!$A:$F, 6, 0)</f>
        <v>39.950000000000003</v>
      </c>
      <c r="E518">
        <f>VLOOKUP(B518, Menu!$A:$F, 5, 0)</f>
        <v>15.51</v>
      </c>
      <c r="F518" t="str">
        <f>VLOOKUP(B518, Menu!$A:$F, 3, 0)</f>
        <v>Snack</v>
      </c>
      <c r="G518" s="5">
        <f>VLOOKUP(A518, Orders!$A:$B, 2, 0)</f>
        <v>45856.302951388891</v>
      </c>
      <c r="H518" t="str">
        <f>VLOOKUP(A518, Orders!$A:$C, 3, 0)</f>
        <v>Plant 1 Canteen</v>
      </c>
    </row>
    <row r="519" spans="1:8" x14ac:dyDescent="0.3">
      <c r="A519" t="s">
        <v>242</v>
      </c>
      <c r="B519" t="s">
        <v>402</v>
      </c>
      <c r="C519">
        <v>1</v>
      </c>
      <c r="D519">
        <f>VLOOKUP(B519, Menu!$A:$F, 6, 0)</f>
        <v>30.34</v>
      </c>
      <c r="E519">
        <f>VLOOKUP(B519, Menu!$A:$F, 5, 0)</f>
        <v>14.18</v>
      </c>
      <c r="F519" t="str">
        <f>VLOOKUP(B519, Menu!$A:$F, 3, 0)</f>
        <v>Beverage</v>
      </c>
      <c r="G519" s="5">
        <f>VLOOKUP(A519, Orders!$A:$B, 2, 0)</f>
        <v>45856.302951388891</v>
      </c>
      <c r="H519" t="str">
        <f>VLOOKUP(A519, Orders!$A:$C, 3, 0)</f>
        <v>Plant 1 Canteen</v>
      </c>
    </row>
    <row r="520" spans="1:8" x14ac:dyDescent="0.3">
      <c r="A520" t="s">
        <v>242</v>
      </c>
      <c r="B520" t="s">
        <v>401</v>
      </c>
      <c r="C520">
        <v>1</v>
      </c>
      <c r="D520">
        <f>VLOOKUP(B520, Menu!$A:$F, 6, 0)</f>
        <v>52.45</v>
      </c>
      <c r="E520">
        <f>VLOOKUP(B520, Menu!$A:$F, 5, 0)</f>
        <v>25.8</v>
      </c>
      <c r="F520" t="str">
        <f>VLOOKUP(B520, Menu!$A:$F, 3, 0)</f>
        <v>Snack</v>
      </c>
      <c r="G520" s="5">
        <f>VLOOKUP(A520, Orders!$A:$B, 2, 0)</f>
        <v>45856.302951388891</v>
      </c>
      <c r="H520" t="str">
        <f>VLOOKUP(A520, Orders!$A:$C, 3, 0)</f>
        <v>Plant 1 Canteen</v>
      </c>
    </row>
    <row r="521" spans="1:8" x14ac:dyDescent="0.3">
      <c r="A521" t="s">
        <v>243</v>
      </c>
      <c r="B521" t="s">
        <v>409</v>
      </c>
      <c r="C521">
        <v>3</v>
      </c>
      <c r="D521">
        <f>VLOOKUP(B521, Menu!$A:$F, 6, 0)</f>
        <v>28.43</v>
      </c>
      <c r="E521">
        <f>VLOOKUP(B521, Menu!$A:$F, 5, 0)</f>
        <v>13.89</v>
      </c>
      <c r="F521" t="str">
        <f>VLOOKUP(B521, Menu!$A:$F, 3, 0)</f>
        <v>Beverage</v>
      </c>
      <c r="G521" s="5">
        <f>VLOOKUP(A521, Orders!$A:$B, 2, 0)</f>
        <v>45890.790648148148</v>
      </c>
      <c r="H521" t="str">
        <f>VLOOKUP(A521, Orders!$A:$C, 3, 0)</f>
        <v>Head Office Café</v>
      </c>
    </row>
    <row r="522" spans="1:8" x14ac:dyDescent="0.3">
      <c r="A522" t="s">
        <v>243</v>
      </c>
      <c r="B522" t="s">
        <v>406</v>
      </c>
      <c r="C522">
        <v>1</v>
      </c>
      <c r="D522">
        <f>VLOOKUP(B522, Menu!$A:$F, 6, 0)</f>
        <v>38.06</v>
      </c>
      <c r="E522">
        <f>VLOOKUP(B522, Menu!$A:$F, 5, 0)</f>
        <v>19.55</v>
      </c>
      <c r="F522" t="str">
        <f>VLOOKUP(B522, Menu!$A:$F, 3, 0)</f>
        <v>Snack</v>
      </c>
      <c r="G522" s="5">
        <f>VLOOKUP(A522, Orders!$A:$B, 2, 0)</f>
        <v>45890.790648148148</v>
      </c>
      <c r="H522" t="str">
        <f>VLOOKUP(A522, Orders!$A:$C, 3, 0)</f>
        <v>Head Office Café</v>
      </c>
    </row>
    <row r="523" spans="1:8" x14ac:dyDescent="0.3">
      <c r="A523" t="s">
        <v>243</v>
      </c>
      <c r="B523" t="s">
        <v>404</v>
      </c>
      <c r="C523">
        <v>2</v>
      </c>
      <c r="D523">
        <f>VLOOKUP(B523, Menu!$A:$F, 6, 0)</f>
        <v>32.979999999999997</v>
      </c>
      <c r="E523">
        <f>VLOOKUP(B523, Menu!$A:$F, 5, 0)</f>
        <v>11.84</v>
      </c>
      <c r="F523" t="str">
        <f>VLOOKUP(B523, Menu!$A:$F, 3, 0)</f>
        <v>Beverage</v>
      </c>
      <c r="G523" s="5">
        <f>VLOOKUP(A523, Orders!$A:$B, 2, 0)</f>
        <v>45890.790648148148</v>
      </c>
      <c r="H523" t="str">
        <f>VLOOKUP(A523, Orders!$A:$C, 3, 0)</f>
        <v>Head Office Café</v>
      </c>
    </row>
    <row r="524" spans="1:8" x14ac:dyDescent="0.3">
      <c r="A524" t="s">
        <v>243</v>
      </c>
      <c r="B524" t="s">
        <v>402</v>
      </c>
      <c r="C524">
        <v>1</v>
      </c>
      <c r="D524">
        <f>VLOOKUP(B524, Menu!$A:$F, 6, 0)</f>
        <v>30.34</v>
      </c>
      <c r="E524">
        <f>VLOOKUP(B524, Menu!$A:$F, 5, 0)</f>
        <v>14.18</v>
      </c>
      <c r="F524" t="str">
        <f>VLOOKUP(B524, Menu!$A:$F, 3, 0)</f>
        <v>Beverage</v>
      </c>
      <c r="G524" s="5">
        <f>VLOOKUP(A524, Orders!$A:$B, 2, 0)</f>
        <v>45890.790648148148</v>
      </c>
      <c r="H524" t="str">
        <f>VLOOKUP(A524, Orders!$A:$C, 3, 0)</f>
        <v>Head Office Café</v>
      </c>
    </row>
    <row r="525" spans="1:8" x14ac:dyDescent="0.3">
      <c r="A525" t="s">
        <v>244</v>
      </c>
      <c r="B525" t="s">
        <v>407</v>
      </c>
      <c r="C525">
        <v>1</v>
      </c>
      <c r="D525">
        <f>VLOOKUP(B525, Menu!$A:$F, 6, 0)</f>
        <v>246.09</v>
      </c>
      <c r="E525">
        <f>VLOOKUP(B525, Menu!$A:$F, 5, 0)</f>
        <v>112.08</v>
      </c>
      <c r="F525" t="str">
        <f>VLOOKUP(B525, Menu!$A:$F, 3, 0)</f>
        <v>Hot Meal</v>
      </c>
      <c r="G525" s="5">
        <f>VLOOKUP(A525, Orders!$A:$B, 2, 0)</f>
        <v>45886.032777777778</v>
      </c>
      <c r="H525" t="str">
        <f>VLOOKUP(A525, Orders!$A:$C, 3, 0)</f>
        <v>Plant 2 Canteen</v>
      </c>
    </row>
    <row r="526" spans="1:8" x14ac:dyDescent="0.3">
      <c r="A526" t="s">
        <v>244</v>
      </c>
      <c r="B526" t="s">
        <v>412</v>
      </c>
      <c r="C526">
        <v>3</v>
      </c>
      <c r="D526">
        <f>VLOOKUP(B526, Menu!$A:$F, 6, 0)</f>
        <v>57.07</v>
      </c>
      <c r="E526">
        <f>VLOOKUP(B526, Menu!$A:$F, 5, 0)</f>
        <v>29.14</v>
      </c>
      <c r="F526" t="str">
        <f>VLOOKUP(B526, Menu!$A:$F, 3, 0)</f>
        <v>Dessert</v>
      </c>
      <c r="G526" s="5">
        <f>VLOOKUP(A526, Orders!$A:$B, 2, 0)</f>
        <v>45886.032777777778</v>
      </c>
      <c r="H526" t="str">
        <f>VLOOKUP(A526, Orders!$A:$C, 3, 0)</f>
        <v>Plant 2 Canteen</v>
      </c>
    </row>
    <row r="527" spans="1:8" x14ac:dyDescent="0.3">
      <c r="A527" t="s">
        <v>245</v>
      </c>
      <c r="B527" t="s">
        <v>411</v>
      </c>
      <c r="C527">
        <v>3</v>
      </c>
      <c r="D527">
        <f>VLOOKUP(B527, Menu!$A:$F, 6, 0)</f>
        <v>22.2</v>
      </c>
      <c r="E527">
        <f>VLOOKUP(B527, Menu!$A:$F, 5, 0)</f>
        <v>9.3800000000000008</v>
      </c>
      <c r="F527" t="str">
        <f>VLOOKUP(B527, Menu!$A:$F, 3, 0)</f>
        <v>Beverage</v>
      </c>
      <c r="G527" s="5">
        <f>VLOOKUP(A527, Orders!$A:$B, 2, 0)</f>
        <v>45884.720462962963</v>
      </c>
      <c r="H527" t="str">
        <f>VLOOKUP(A527, Orders!$A:$C, 3, 0)</f>
        <v>Plant 1 Canteen</v>
      </c>
    </row>
    <row r="528" spans="1:8" x14ac:dyDescent="0.3">
      <c r="A528" t="s">
        <v>245</v>
      </c>
      <c r="B528" t="s">
        <v>406</v>
      </c>
      <c r="C528">
        <v>2</v>
      </c>
      <c r="D528">
        <f>VLOOKUP(B528, Menu!$A:$F, 6, 0)</f>
        <v>38.06</v>
      </c>
      <c r="E528">
        <f>VLOOKUP(B528, Menu!$A:$F, 5, 0)</f>
        <v>19.55</v>
      </c>
      <c r="F528" t="str">
        <f>VLOOKUP(B528, Menu!$A:$F, 3, 0)</f>
        <v>Snack</v>
      </c>
      <c r="G528" s="5">
        <f>VLOOKUP(A528, Orders!$A:$B, 2, 0)</f>
        <v>45884.720462962963</v>
      </c>
      <c r="H528" t="str">
        <f>VLOOKUP(A528, Orders!$A:$C, 3, 0)</f>
        <v>Plant 1 Canteen</v>
      </c>
    </row>
    <row r="529" spans="1:8" x14ac:dyDescent="0.3">
      <c r="A529" t="s">
        <v>246</v>
      </c>
      <c r="B529" t="s">
        <v>419</v>
      </c>
      <c r="C529">
        <v>3</v>
      </c>
      <c r="D529">
        <f>VLOOKUP(B529, Menu!$A:$F, 6, 0)</f>
        <v>50.19</v>
      </c>
      <c r="E529">
        <f>VLOOKUP(B529, Menu!$A:$F, 5, 0)</f>
        <v>22.61</v>
      </c>
      <c r="F529" t="str">
        <f>VLOOKUP(B529, Menu!$A:$F, 3, 0)</f>
        <v>Snack</v>
      </c>
      <c r="G529" s="5">
        <f>VLOOKUP(A529, Orders!$A:$B, 2, 0)</f>
        <v>45893.3596875</v>
      </c>
      <c r="H529" t="str">
        <f>VLOOKUP(A529, Orders!$A:$C, 3, 0)</f>
        <v>Plant 2 Canteen</v>
      </c>
    </row>
    <row r="530" spans="1:8" x14ac:dyDescent="0.3">
      <c r="A530" t="s">
        <v>246</v>
      </c>
      <c r="B530" t="s">
        <v>410</v>
      </c>
      <c r="C530">
        <v>1</v>
      </c>
      <c r="D530">
        <f>VLOOKUP(B530, Menu!$A:$F, 6, 0)</f>
        <v>20.11</v>
      </c>
      <c r="E530">
        <f>VLOOKUP(B530, Menu!$A:$F, 5, 0)</f>
        <v>8</v>
      </c>
      <c r="F530" t="str">
        <f>VLOOKUP(B530, Menu!$A:$F, 3, 0)</f>
        <v>Beverage</v>
      </c>
      <c r="G530" s="5">
        <f>VLOOKUP(A530, Orders!$A:$B, 2, 0)</f>
        <v>45893.3596875</v>
      </c>
      <c r="H530" t="str">
        <f>VLOOKUP(A530, Orders!$A:$C, 3, 0)</f>
        <v>Plant 2 Canteen</v>
      </c>
    </row>
    <row r="531" spans="1:8" x14ac:dyDescent="0.3">
      <c r="A531" t="s">
        <v>246</v>
      </c>
      <c r="B531" t="s">
        <v>409</v>
      </c>
      <c r="C531">
        <v>2</v>
      </c>
      <c r="D531">
        <f>VLOOKUP(B531, Menu!$A:$F, 6, 0)</f>
        <v>28.43</v>
      </c>
      <c r="E531">
        <f>VLOOKUP(B531, Menu!$A:$F, 5, 0)</f>
        <v>13.89</v>
      </c>
      <c r="F531" t="str">
        <f>VLOOKUP(B531, Menu!$A:$F, 3, 0)</f>
        <v>Beverage</v>
      </c>
      <c r="G531" s="5">
        <f>VLOOKUP(A531, Orders!$A:$B, 2, 0)</f>
        <v>45893.3596875</v>
      </c>
      <c r="H531" t="str">
        <f>VLOOKUP(A531, Orders!$A:$C, 3, 0)</f>
        <v>Plant 2 Canteen</v>
      </c>
    </row>
    <row r="532" spans="1:8" x14ac:dyDescent="0.3">
      <c r="A532" t="s">
        <v>247</v>
      </c>
      <c r="B532" t="s">
        <v>410</v>
      </c>
      <c r="C532">
        <v>1</v>
      </c>
      <c r="D532">
        <f>VLOOKUP(B532, Menu!$A:$F, 6, 0)</f>
        <v>20.11</v>
      </c>
      <c r="E532">
        <f>VLOOKUP(B532, Menu!$A:$F, 5, 0)</f>
        <v>8</v>
      </c>
      <c r="F532" t="str">
        <f>VLOOKUP(B532, Menu!$A:$F, 3, 0)</f>
        <v>Beverage</v>
      </c>
      <c r="G532" s="5">
        <f>VLOOKUP(A532, Orders!$A:$B, 2, 0)</f>
        <v>45864.926377314812</v>
      </c>
      <c r="H532" t="str">
        <f>VLOOKUP(A532, Orders!$A:$C, 3, 0)</f>
        <v>Head Office Café</v>
      </c>
    </row>
    <row r="533" spans="1:8" x14ac:dyDescent="0.3">
      <c r="A533" t="s">
        <v>247</v>
      </c>
      <c r="B533" t="s">
        <v>407</v>
      </c>
      <c r="C533">
        <v>2</v>
      </c>
      <c r="D533">
        <f>VLOOKUP(B533, Menu!$A:$F, 6, 0)</f>
        <v>246.09</v>
      </c>
      <c r="E533">
        <f>VLOOKUP(B533, Menu!$A:$F, 5, 0)</f>
        <v>112.08</v>
      </c>
      <c r="F533" t="str">
        <f>VLOOKUP(B533, Menu!$A:$F, 3, 0)</f>
        <v>Hot Meal</v>
      </c>
      <c r="G533" s="5">
        <f>VLOOKUP(A533, Orders!$A:$B, 2, 0)</f>
        <v>45864.926377314812</v>
      </c>
      <c r="H533" t="str">
        <f>VLOOKUP(A533, Orders!$A:$C, 3, 0)</f>
        <v>Head Office Café</v>
      </c>
    </row>
    <row r="534" spans="1:8" x14ac:dyDescent="0.3">
      <c r="A534" t="s">
        <v>247</v>
      </c>
      <c r="B534" t="s">
        <v>411</v>
      </c>
      <c r="C534">
        <v>1</v>
      </c>
      <c r="D534">
        <f>VLOOKUP(B534, Menu!$A:$F, 6, 0)</f>
        <v>22.2</v>
      </c>
      <c r="E534">
        <f>VLOOKUP(B534, Menu!$A:$F, 5, 0)</f>
        <v>9.3800000000000008</v>
      </c>
      <c r="F534" t="str">
        <f>VLOOKUP(B534, Menu!$A:$F, 3, 0)</f>
        <v>Beverage</v>
      </c>
      <c r="G534" s="5">
        <f>VLOOKUP(A534, Orders!$A:$B, 2, 0)</f>
        <v>45864.926377314812</v>
      </c>
      <c r="H534" t="str">
        <f>VLOOKUP(A534, Orders!$A:$C, 3, 0)</f>
        <v>Head Office Café</v>
      </c>
    </row>
    <row r="535" spans="1:8" x14ac:dyDescent="0.3">
      <c r="A535" t="s">
        <v>248</v>
      </c>
      <c r="B535" t="s">
        <v>415</v>
      </c>
      <c r="C535">
        <v>3</v>
      </c>
      <c r="D535">
        <f>VLOOKUP(B535, Menu!$A:$F, 6, 0)</f>
        <v>256.91000000000003</v>
      </c>
      <c r="E535">
        <f>VLOOKUP(B535, Menu!$A:$F, 5, 0)</f>
        <v>121.24</v>
      </c>
      <c r="F535" t="str">
        <f>VLOOKUP(B535, Menu!$A:$F, 3, 0)</f>
        <v>Hot Meal</v>
      </c>
      <c r="G535" s="5">
        <f>VLOOKUP(A535, Orders!$A:$B, 2, 0)</f>
        <v>45864.703344907408</v>
      </c>
      <c r="H535" t="str">
        <f>VLOOKUP(A535, Orders!$A:$C, 3, 0)</f>
        <v>Head Office Café</v>
      </c>
    </row>
    <row r="536" spans="1:8" x14ac:dyDescent="0.3">
      <c r="A536" t="s">
        <v>248</v>
      </c>
      <c r="B536" t="s">
        <v>408</v>
      </c>
      <c r="C536">
        <v>3</v>
      </c>
      <c r="D536">
        <f>VLOOKUP(B536, Menu!$A:$F, 6, 0)</f>
        <v>70.540000000000006</v>
      </c>
      <c r="E536">
        <f>VLOOKUP(B536, Menu!$A:$F, 5, 0)</f>
        <v>35.81</v>
      </c>
      <c r="F536" t="str">
        <f>VLOOKUP(B536, Menu!$A:$F, 3, 0)</f>
        <v>Snack</v>
      </c>
      <c r="G536" s="5">
        <f>VLOOKUP(A536, Orders!$A:$B, 2, 0)</f>
        <v>45864.703344907408</v>
      </c>
      <c r="H536" t="str">
        <f>VLOOKUP(A536, Orders!$A:$C, 3, 0)</f>
        <v>Head Office Café</v>
      </c>
    </row>
    <row r="537" spans="1:8" x14ac:dyDescent="0.3">
      <c r="A537" t="s">
        <v>249</v>
      </c>
      <c r="B537" t="s">
        <v>418</v>
      </c>
      <c r="C537">
        <v>1</v>
      </c>
      <c r="D537">
        <f>VLOOKUP(B537, Menu!$A:$F, 6, 0)</f>
        <v>39.950000000000003</v>
      </c>
      <c r="E537">
        <f>VLOOKUP(B537, Menu!$A:$F, 5, 0)</f>
        <v>15.51</v>
      </c>
      <c r="F537" t="str">
        <f>VLOOKUP(B537, Menu!$A:$F, 3, 0)</f>
        <v>Snack</v>
      </c>
      <c r="G537" s="5">
        <f>VLOOKUP(A537, Orders!$A:$B, 2, 0)</f>
        <v>45849.76935185185</v>
      </c>
      <c r="H537" t="str">
        <f>VLOOKUP(A537, Orders!$A:$C, 3, 0)</f>
        <v>Head Office Café</v>
      </c>
    </row>
    <row r="538" spans="1:8" x14ac:dyDescent="0.3">
      <c r="A538" t="s">
        <v>249</v>
      </c>
      <c r="B538" t="s">
        <v>412</v>
      </c>
      <c r="C538">
        <v>1</v>
      </c>
      <c r="D538">
        <f>VLOOKUP(B538, Menu!$A:$F, 6, 0)</f>
        <v>57.07</v>
      </c>
      <c r="E538">
        <f>VLOOKUP(B538, Menu!$A:$F, 5, 0)</f>
        <v>29.14</v>
      </c>
      <c r="F538" t="str">
        <f>VLOOKUP(B538, Menu!$A:$F, 3, 0)</f>
        <v>Dessert</v>
      </c>
      <c r="G538" s="5">
        <f>VLOOKUP(A538, Orders!$A:$B, 2, 0)</f>
        <v>45849.76935185185</v>
      </c>
      <c r="H538" t="str">
        <f>VLOOKUP(A538, Orders!$A:$C, 3, 0)</f>
        <v>Head Office Café</v>
      </c>
    </row>
    <row r="539" spans="1:8" x14ac:dyDescent="0.3">
      <c r="A539" t="s">
        <v>249</v>
      </c>
      <c r="B539" t="s">
        <v>409</v>
      </c>
      <c r="C539">
        <v>1</v>
      </c>
      <c r="D539">
        <f>VLOOKUP(B539, Menu!$A:$F, 6, 0)</f>
        <v>28.43</v>
      </c>
      <c r="E539">
        <f>VLOOKUP(B539, Menu!$A:$F, 5, 0)</f>
        <v>13.89</v>
      </c>
      <c r="F539" t="str">
        <f>VLOOKUP(B539, Menu!$A:$F, 3, 0)</f>
        <v>Beverage</v>
      </c>
      <c r="G539" s="5">
        <f>VLOOKUP(A539, Orders!$A:$B, 2, 0)</f>
        <v>45849.76935185185</v>
      </c>
      <c r="H539" t="str">
        <f>VLOOKUP(A539, Orders!$A:$C, 3, 0)</f>
        <v>Head Office Café</v>
      </c>
    </row>
    <row r="540" spans="1:8" x14ac:dyDescent="0.3">
      <c r="A540" t="s">
        <v>249</v>
      </c>
      <c r="B540" t="s">
        <v>416</v>
      </c>
      <c r="C540">
        <v>1</v>
      </c>
      <c r="D540">
        <f>VLOOKUP(B540, Menu!$A:$F, 6, 0)</f>
        <v>227.61</v>
      </c>
      <c r="E540">
        <f>VLOOKUP(B540, Menu!$A:$F, 5, 0)</f>
        <v>96.22</v>
      </c>
      <c r="F540" t="str">
        <f>VLOOKUP(B540, Menu!$A:$F, 3, 0)</f>
        <v>Hot Meal</v>
      </c>
      <c r="G540" s="5">
        <f>VLOOKUP(A540, Orders!$A:$B, 2, 0)</f>
        <v>45849.76935185185</v>
      </c>
      <c r="H540" t="str">
        <f>VLOOKUP(A540, Orders!$A:$C, 3, 0)</f>
        <v>Head Office Café</v>
      </c>
    </row>
    <row r="541" spans="1:8" x14ac:dyDescent="0.3">
      <c r="A541" t="s">
        <v>250</v>
      </c>
      <c r="B541" t="s">
        <v>419</v>
      </c>
      <c r="C541">
        <v>2</v>
      </c>
      <c r="D541">
        <f>VLOOKUP(B541, Menu!$A:$F, 6, 0)</f>
        <v>50.19</v>
      </c>
      <c r="E541">
        <f>VLOOKUP(B541, Menu!$A:$F, 5, 0)</f>
        <v>22.61</v>
      </c>
      <c r="F541" t="str">
        <f>VLOOKUP(B541, Menu!$A:$F, 3, 0)</f>
        <v>Snack</v>
      </c>
      <c r="G541" s="5">
        <f>VLOOKUP(A541, Orders!$A:$B, 2, 0)</f>
        <v>45893.757245370369</v>
      </c>
      <c r="H541" t="str">
        <f>VLOOKUP(A541, Orders!$A:$C, 3, 0)</f>
        <v>Plant 2 Canteen</v>
      </c>
    </row>
    <row r="542" spans="1:8" x14ac:dyDescent="0.3">
      <c r="A542" t="s">
        <v>250</v>
      </c>
      <c r="B542" t="s">
        <v>406</v>
      </c>
      <c r="C542">
        <v>3</v>
      </c>
      <c r="D542">
        <f>VLOOKUP(B542, Menu!$A:$F, 6, 0)</f>
        <v>38.06</v>
      </c>
      <c r="E542">
        <f>VLOOKUP(B542, Menu!$A:$F, 5, 0)</f>
        <v>19.55</v>
      </c>
      <c r="F542" t="str">
        <f>VLOOKUP(B542, Menu!$A:$F, 3, 0)</f>
        <v>Snack</v>
      </c>
      <c r="G542" s="5">
        <f>VLOOKUP(A542, Orders!$A:$B, 2, 0)</f>
        <v>45893.757245370369</v>
      </c>
      <c r="H542" t="str">
        <f>VLOOKUP(A542, Orders!$A:$C, 3, 0)</f>
        <v>Plant 2 Canteen</v>
      </c>
    </row>
    <row r="543" spans="1:8" x14ac:dyDescent="0.3">
      <c r="A543" t="s">
        <v>250</v>
      </c>
      <c r="B543" t="s">
        <v>416</v>
      </c>
      <c r="C543">
        <v>1</v>
      </c>
      <c r="D543">
        <f>VLOOKUP(B543, Menu!$A:$F, 6, 0)</f>
        <v>227.61</v>
      </c>
      <c r="E543">
        <f>VLOOKUP(B543, Menu!$A:$F, 5, 0)</f>
        <v>96.22</v>
      </c>
      <c r="F543" t="str">
        <f>VLOOKUP(B543, Menu!$A:$F, 3, 0)</f>
        <v>Hot Meal</v>
      </c>
      <c r="G543" s="5">
        <f>VLOOKUP(A543, Orders!$A:$B, 2, 0)</f>
        <v>45893.757245370369</v>
      </c>
      <c r="H543" t="str">
        <f>VLOOKUP(A543, Orders!$A:$C, 3, 0)</f>
        <v>Plant 2 Canteen</v>
      </c>
    </row>
    <row r="544" spans="1:8" x14ac:dyDescent="0.3">
      <c r="A544" t="s">
        <v>251</v>
      </c>
      <c r="B544" t="s">
        <v>412</v>
      </c>
      <c r="C544">
        <v>1</v>
      </c>
      <c r="D544">
        <f>VLOOKUP(B544, Menu!$A:$F, 6, 0)</f>
        <v>57.07</v>
      </c>
      <c r="E544">
        <f>VLOOKUP(B544, Menu!$A:$F, 5, 0)</f>
        <v>29.14</v>
      </c>
      <c r="F544" t="str">
        <f>VLOOKUP(B544, Menu!$A:$F, 3, 0)</f>
        <v>Dessert</v>
      </c>
      <c r="G544" s="5">
        <f>VLOOKUP(A544, Orders!$A:$B, 2, 0)</f>
        <v>45884.325902777768</v>
      </c>
      <c r="H544" t="str">
        <f>VLOOKUP(A544, Orders!$A:$C, 3, 0)</f>
        <v>Head Office Café</v>
      </c>
    </row>
    <row r="545" spans="1:8" x14ac:dyDescent="0.3">
      <c r="A545" t="s">
        <v>251</v>
      </c>
      <c r="B545" t="s">
        <v>411</v>
      </c>
      <c r="C545">
        <v>1</v>
      </c>
      <c r="D545">
        <f>VLOOKUP(B545, Menu!$A:$F, 6, 0)</f>
        <v>22.2</v>
      </c>
      <c r="E545">
        <f>VLOOKUP(B545, Menu!$A:$F, 5, 0)</f>
        <v>9.3800000000000008</v>
      </c>
      <c r="F545" t="str">
        <f>VLOOKUP(B545, Menu!$A:$F, 3, 0)</f>
        <v>Beverage</v>
      </c>
      <c r="G545" s="5">
        <f>VLOOKUP(A545, Orders!$A:$B, 2, 0)</f>
        <v>45884.325902777768</v>
      </c>
      <c r="H545" t="str">
        <f>VLOOKUP(A545, Orders!$A:$C, 3, 0)</f>
        <v>Head Office Café</v>
      </c>
    </row>
    <row r="546" spans="1:8" x14ac:dyDescent="0.3">
      <c r="A546" t="s">
        <v>251</v>
      </c>
      <c r="B546" t="s">
        <v>416</v>
      </c>
      <c r="C546">
        <v>3</v>
      </c>
      <c r="D546">
        <f>VLOOKUP(B546, Menu!$A:$F, 6, 0)</f>
        <v>227.61</v>
      </c>
      <c r="E546">
        <f>VLOOKUP(B546, Menu!$A:$F, 5, 0)</f>
        <v>96.22</v>
      </c>
      <c r="F546" t="str">
        <f>VLOOKUP(B546, Menu!$A:$F, 3, 0)</f>
        <v>Hot Meal</v>
      </c>
      <c r="G546" s="5">
        <f>VLOOKUP(A546, Orders!$A:$B, 2, 0)</f>
        <v>45884.325902777768</v>
      </c>
      <c r="H546" t="str">
        <f>VLOOKUP(A546, Orders!$A:$C, 3, 0)</f>
        <v>Head Office Café</v>
      </c>
    </row>
    <row r="547" spans="1:8" x14ac:dyDescent="0.3">
      <c r="A547" t="s">
        <v>252</v>
      </c>
      <c r="B547" t="s">
        <v>419</v>
      </c>
      <c r="C547">
        <v>1</v>
      </c>
      <c r="D547">
        <f>VLOOKUP(B547, Menu!$A:$F, 6, 0)</f>
        <v>50.19</v>
      </c>
      <c r="E547">
        <f>VLOOKUP(B547, Menu!$A:$F, 5, 0)</f>
        <v>22.61</v>
      </c>
      <c r="F547" t="str">
        <f>VLOOKUP(B547, Menu!$A:$F, 3, 0)</f>
        <v>Snack</v>
      </c>
      <c r="G547" s="5">
        <f>VLOOKUP(A547, Orders!$A:$B, 2, 0)</f>
        <v>45850.578101851846</v>
      </c>
      <c r="H547" t="str">
        <f>VLOOKUP(A547, Orders!$A:$C, 3, 0)</f>
        <v>Plant 1 Canteen</v>
      </c>
    </row>
    <row r="548" spans="1:8" x14ac:dyDescent="0.3">
      <c r="A548" t="s">
        <v>252</v>
      </c>
      <c r="B548" t="s">
        <v>417</v>
      </c>
      <c r="C548">
        <v>1</v>
      </c>
      <c r="D548">
        <f>VLOOKUP(B548, Menu!$A:$F, 6, 0)</f>
        <v>146.4</v>
      </c>
      <c r="E548">
        <f>VLOOKUP(B548, Menu!$A:$F, 5, 0)</f>
        <v>80.92</v>
      </c>
      <c r="F548" t="str">
        <f>VLOOKUP(B548, Menu!$A:$F, 3, 0)</f>
        <v>Hot Meal</v>
      </c>
      <c r="G548" s="5">
        <f>VLOOKUP(A548, Orders!$A:$B, 2, 0)</f>
        <v>45850.578101851846</v>
      </c>
      <c r="H548" t="str">
        <f>VLOOKUP(A548, Orders!$A:$C, 3, 0)</f>
        <v>Plant 1 Canteen</v>
      </c>
    </row>
    <row r="549" spans="1:8" x14ac:dyDescent="0.3">
      <c r="A549" t="s">
        <v>252</v>
      </c>
      <c r="B549" t="s">
        <v>410</v>
      </c>
      <c r="C549">
        <v>1</v>
      </c>
      <c r="D549">
        <f>VLOOKUP(B549, Menu!$A:$F, 6, 0)</f>
        <v>20.11</v>
      </c>
      <c r="E549">
        <f>VLOOKUP(B549, Menu!$A:$F, 5, 0)</f>
        <v>8</v>
      </c>
      <c r="F549" t="str">
        <f>VLOOKUP(B549, Menu!$A:$F, 3, 0)</f>
        <v>Beverage</v>
      </c>
      <c r="G549" s="5">
        <f>VLOOKUP(A549, Orders!$A:$B, 2, 0)</f>
        <v>45850.578101851846</v>
      </c>
      <c r="H549" t="str">
        <f>VLOOKUP(A549, Orders!$A:$C, 3, 0)</f>
        <v>Plant 1 Canteen</v>
      </c>
    </row>
    <row r="550" spans="1:8" x14ac:dyDescent="0.3">
      <c r="A550" t="s">
        <v>252</v>
      </c>
      <c r="B550" t="s">
        <v>403</v>
      </c>
      <c r="C550">
        <v>2</v>
      </c>
      <c r="D550">
        <f>VLOOKUP(B550, Menu!$A:$F, 6, 0)</f>
        <v>76.55</v>
      </c>
      <c r="E550">
        <f>VLOOKUP(B550, Menu!$A:$F, 5, 0)</f>
        <v>38.229999999999997</v>
      </c>
      <c r="F550" t="str">
        <f>VLOOKUP(B550, Menu!$A:$F, 3, 0)</f>
        <v>Dessert</v>
      </c>
      <c r="G550" s="5">
        <f>VLOOKUP(A550, Orders!$A:$B, 2, 0)</f>
        <v>45850.578101851846</v>
      </c>
      <c r="H550" t="str">
        <f>VLOOKUP(A550, Orders!$A:$C, 3, 0)</f>
        <v>Plant 1 Canteen</v>
      </c>
    </row>
    <row r="551" spans="1:8" x14ac:dyDescent="0.3">
      <c r="A551" t="s">
        <v>253</v>
      </c>
      <c r="B551" t="s">
        <v>410</v>
      </c>
      <c r="C551">
        <v>2</v>
      </c>
      <c r="D551">
        <f>VLOOKUP(B551, Menu!$A:$F, 6, 0)</f>
        <v>20.11</v>
      </c>
      <c r="E551">
        <f>VLOOKUP(B551, Menu!$A:$F, 5, 0)</f>
        <v>8</v>
      </c>
      <c r="F551" t="str">
        <f>VLOOKUP(B551, Menu!$A:$F, 3, 0)</f>
        <v>Beverage</v>
      </c>
      <c r="G551" s="5">
        <f>VLOOKUP(A551, Orders!$A:$B, 2, 0)</f>
        <v>45887.079097222217</v>
      </c>
      <c r="H551" t="str">
        <f>VLOOKUP(A551, Orders!$A:$C, 3, 0)</f>
        <v>Plant 1 Canteen</v>
      </c>
    </row>
    <row r="552" spans="1:8" x14ac:dyDescent="0.3">
      <c r="A552" t="s">
        <v>253</v>
      </c>
      <c r="B552" t="s">
        <v>402</v>
      </c>
      <c r="C552">
        <v>2</v>
      </c>
      <c r="D552">
        <f>VLOOKUP(B552, Menu!$A:$F, 6, 0)</f>
        <v>30.34</v>
      </c>
      <c r="E552">
        <f>VLOOKUP(B552, Menu!$A:$F, 5, 0)</f>
        <v>14.18</v>
      </c>
      <c r="F552" t="str">
        <f>VLOOKUP(B552, Menu!$A:$F, 3, 0)</f>
        <v>Beverage</v>
      </c>
      <c r="G552" s="5">
        <f>VLOOKUP(A552, Orders!$A:$B, 2, 0)</f>
        <v>45887.079097222217</v>
      </c>
      <c r="H552" t="str">
        <f>VLOOKUP(A552, Orders!$A:$C, 3, 0)</f>
        <v>Plant 1 Canteen</v>
      </c>
    </row>
    <row r="553" spans="1:8" x14ac:dyDescent="0.3">
      <c r="A553" t="s">
        <v>253</v>
      </c>
      <c r="B553" t="s">
        <v>408</v>
      </c>
      <c r="C553">
        <v>1</v>
      </c>
      <c r="D553">
        <f>VLOOKUP(B553, Menu!$A:$F, 6, 0)</f>
        <v>70.540000000000006</v>
      </c>
      <c r="E553">
        <f>VLOOKUP(B553, Menu!$A:$F, 5, 0)</f>
        <v>35.81</v>
      </c>
      <c r="F553" t="str">
        <f>VLOOKUP(B553, Menu!$A:$F, 3, 0)</f>
        <v>Snack</v>
      </c>
      <c r="G553" s="5">
        <f>VLOOKUP(A553, Orders!$A:$B, 2, 0)</f>
        <v>45887.079097222217</v>
      </c>
      <c r="H553" t="str">
        <f>VLOOKUP(A553, Orders!$A:$C, 3, 0)</f>
        <v>Plant 1 Canteen</v>
      </c>
    </row>
    <row r="554" spans="1:8" x14ac:dyDescent="0.3">
      <c r="A554" t="s">
        <v>254</v>
      </c>
      <c r="B554" t="s">
        <v>405</v>
      </c>
      <c r="C554">
        <v>1</v>
      </c>
      <c r="D554">
        <f>VLOOKUP(B554, Menu!$A:$F, 6, 0)</f>
        <v>170.83</v>
      </c>
      <c r="E554">
        <f>VLOOKUP(B554, Menu!$A:$F, 5, 0)</f>
        <v>74.069999999999993</v>
      </c>
      <c r="F554" t="str">
        <f>VLOOKUP(B554, Menu!$A:$F, 3, 0)</f>
        <v>Hot Meal</v>
      </c>
      <c r="G554" s="5">
        <f>VLOOKUP(A554, Orders!$A:$B, 2, 0)</f>
        <v>45852.421666666669</v>
      </c>
      <c r="H554" t="str">
        <f>VLOOKUP(A554, Orders!$A:$C, 3, 0)</f>
        <v>Plant 2 Canteen</v>
      </c>
    </row>
    <row r="555" spans="1:8" x14ac:dyDescent="0.3">
      <c r="A555" t="s">
        <v>254</v>
      </c>
      <c r="B555" t="s">
        <v>415</v>
      </c>
      <c r="C555">
        <v>1</v>
      </c>
      <c r="D555">
        <f>VLOOKUP(B555, Menu!$A:$F, 6, 0)</f>
        <v>256.91000000000003</v>
      </c>
      <c r="E555">
        <f>VLOOKUP(B555, Menu!$A:$F, 5, 0)</f>
        <v>121.24</v>
      </c>
      <c r="F555" t="str">
        <f>VLOOKUP(B555, Menu!$A:$F, 3, 0)</f>
        <v>Hot Meal</v>
      </c>
      <c r="G555" s="5">
        <f>VLOOKUP(A555, Orders!$A:$B, 2, 0)</f>
        <v>45852.421666666669</v>
      </c>
      <c r="H555" t="str">
        <f>VLOOKUP(A555, Orders!$A:$C, 3, 0)</f>
        <v>Plant 2 Canteen</v>
      </c>
    </row>
    <row r="556" spans="1:8" x14ac:dyDescent="0.3">
      <c r="A556" t="s">
        <v>254</v>
      </c>
      <c r="B556" t="s">
        <v>418</v>
      </c>
      <c r="C556">
        <v>2</v>
      </c>
      <c r="D556">
        <f>VLOOKUP(B556, Menu!$A:$F, 6, 0)</f>
        <v>39.950000000000003</v>
      </c>
      <c r="E556">
        <f>VLOOKUP(B556, Menu!$A:$F, 5, 0)</f>
        <v>15.51</v>
      </c>
      <c r="F556" t="str">
        <f>VLOOKUP(B556, Menu!$A:$F, 3, 0)</f>
        <v>Snack</v>
      </c>
      <c r="G556" s="5">
        <f>VLOOKUP(A556, Orders!$A:$B, 2, 0)</f>
        <v>45852.421666666669</v>
      </c>
      <c r="H556" t="str">
        <f>VLOOKUP(A556, Orders!$A:$C, 3, 0)</f>
        <v>Plant 2 Canteen</v>
      </c>
    </row>
    <row r="557" spans="1:8" x14ac:dyDescent="0.3">
      <c r="A557" t="s">
        <v>254</v>
      </c>
      <c r="B557" t="s">
        <v>401</v>
      </c>
      <c r="C557">
        <v>3</v>
      </c>
      <c r="D557">
        <f>VLOOKUP(B557, Menu!$A:$F, 6, 0)</f>
        <v>52.45</v>
      </c>
      <c r="E557">
        <f>VLOOKUP(B557, Menu!$A:$F, 5, 0)</f>
        <v>25.8</v>
      </c>
      <c r="F557" t="str">
        <f>VLOOKUP(B557, Menu!$A:$F, 3, 0)</f>
        <v>Snack</v>
      </c>
      <c r="G557" s="5">
        <f>VLOOKUP(A557, Orders!$A:$B, 2, 0)</f>
        <v>45852.421666666669</v>
      </c>
      <c r="H557" t="str">
        <f>VLOOKUP(A557, Orders!$A:$C, 3, 0)</f>
        <v>Plant 2 Canteen</v>
      </c>
    </row>
    <row r="558" spans="1:8" x14ac:dyDescent="0.3">
      <c r="A558" t="s">
        <v>255</v>
      </c>
      <c r="B558" t="s">
        <v>409</v>
      </c>
      <c r="C558">
        <v>1</v>
      </c>
      <c r="D558">
        <f>VLOOKUP(B558, Menu!$A:$F, 6, 0)</f>
        <v>28.43</v>
      </c>
      <c r="E558">
        <f>VLOOKUP(B558, Menu!$A:$F, 5, 0)</f>
        <v>13.89</v>
      </c>
      <c r="F558" t="str">
        <f>VLOOKUP(B558, Menu!$A:$F, 3, 0)</f>
        <v>Beverage</v>
      </c>
      <c r="G558" s="5">
        <f>VLOOKUP(A558, Orders!$A:$B, 2, 0)</f>
        <v>45879.943171296298</v>
      </c>
      <c r="H558" t="str">
        <f>VLOOKUP(A558, Orders!$A:$C, 3, 0)</f>
        <v>Head Office Café</v>
      </c>
    </row>
    <row r="559" spans="1:8" x14ac:dyDescent="0.3">
      <c r="A559" t="s">
        <v>256</v>
      </c>
      <c r="B559" t="s">
        <v>412</v>
      </c>
      <c r="C559">
        <v>2</v>
      </c>
      <c r="D559">
        <f>VLOOKUP(B559, Menu!$A:$F, 6, 0)</f>
        <v>57.07</v>
      </c>
      <c r="E559">
        <f>VLOOKUP(B559, Menu!$A:$F, 5, 0)</f>
        <v>29.14</v>
      </c>
      <c r="F559" t="str">
        <f>VLOOKUP(B559, Menu!$A:$F, 3, 0)</f>
        <v>Dessert</v>
      </c>
      <c r="G559" s="5">
        <f>VLOOKUP(A559, Orders!$A:$B, 2, 0)</f>
        <v>45879.531284722223</v>
      </c>
      <c r="H559" t="str">
        <f>VLOOKUP(A559, Orders!$A:$C, 3, 0)</f>
        <v>Head Office Café</v>
      </c>
    </row>
    <row r="560" spans="1:8" x14ac:dyDescent="0.3">
      <c r="A560" t="s">
        <v>256</v>
      </c>
      <c r="B560" t="s">
        <v>416</v>
      </c>
      <c r="C560">
        <v>1</v>
      </c>
      <c r="D560">
        <f>VLOOKUP(B560, Menu!$A:$F, 6, 0)</f>
        <v>227.61</v>
      </c>
      <c r="E560">
        <f>VLOOKUP(B560, Menu!$A:$F, 5, 0)</f>
        <v>96.22</v>
      </c>
      <c r="F560" t="str">
        <f>VLOOKUP(B560, Menu!$A:$F, 3, 0)</f>
        <v>Hot Meal</v>
      </c>
      <c r="G560" s="5">
        <f>VLOOKUP(A560, Orders!$A:$B, 2, 0)</f>
        <v>45879.531284722223</v>
      </c>
      <c r="H560" t="str">
        <f>VLOOKUP(A560, Orders!$A:$C, 3, 0)</f>
        <v>Head Office Café</v>
      </c>
    </row>
    <row r="561" spans="1:8" x14ac:dyDescent="0.3">
      <c r="A561" t="s">
        <v>256</v>
      </c>
      <c r="B561" t="s">
        <v>405</v>
      </c>
      <c r="C561">
        <v>2</v>
      </c>
      <c r="D561">
        <f>VLOOKUP(B561, Menu!$A:$F, 6, 0)</f>
        <v>170.83</v>
      </c>
      <c r="E561">
        <f>VLOOKUP(B561, Menu!$A:$F, 5, 0)</f>
        <v>74.069999999999993</v>
      </c>
      <c r="F561" t="str">
        <f>VLOOKUP(B561, Menu!$A:$F, 3, 0)</f>
        <v>Hot Meal</v>
      </c>
      <c r="G561" s="5">
        <f>VLOOKUP(A561, Orders!$A:$B, 2, 0)</f>
        <v>45879.531284722223</v>
      </c>
      <c r="H561" t="str">
        <f>VLOOKUP(A561, Orders!$A:$C, 3, 0)</f>
        <v>Head Office Café</v>
      </c>
    </row>
    <row r="562" spans="1:8" x14ac:dyDescent="0.3">
      <c r="A562" t="s">
        <v>257</v>
      </c>
      <c r="B562" t="s">
        <v>403</v>
      </c>
      <c r="C562">
        <v>3</v>
      </c>
      <c r="D562">
        <f>VLOOKUP(B562, Menu!$A:$F, 6, 0)</f>
        <v>76.55</v>
      </c>
      <c r="E562">
        <f>VLOOKUP(B562, Menu!$A:$F, 5, 0)</f>
        <v>38.229999999999997</v>
      </c>
      <c r="F562" t="str">
        <f>VLOOKUP(B562, Menu!$A:$F, 3, 0)</f>
        <v>Dessert</v>
      </c>
      <c r="G562" s="5">
        <f>VLOOKUP(A562, Orders!$A:$B, 2, 0)</f>
        <v>45866.410069444442</v>
      </c>
      <c r="H562" t="str">
        <f>VLOOKUP(A562, Orders!$A:$C, 3, 0)</f>
        <v>Plant 1 Canteen</v>
      </c>
    </row>
    <row r="563" spans="1:8" x14ac:dyDescent="0.3">
      <c r="A563" t="s">
        <v>257</v>
      </c>
      <c r="B563" t="s">
        <v>416</v>
      </c>
      <c r="C563">
        <v>1</v>
      </c>
      <c r="D563">
        <f>VLOOKUP(B563, Menu!$A:$F, 6, 0)</f>
        <v>227.61</v>
      </c>
      <c r="E563">
        <f>VLOOKUP(B563, Menu!$A:$F, 5, 0)</f>
        <v>96.22</v>
      </c>
      <c r="F563" t="str">
        <f>VLOOKUP(B563, Menu!$A:$F, 3, 0)</f>
        <v>Hot Meal</v>
      </c>
      <c r="G563" s="5">
        <f>VLOOKUP(A563, Orders!$A:$B, 2, 0)</f>
        <v>45866.410069444442</v>
      </c>
      <c r="H563" t="str">
        <f>VLOOKUP(A563, Orders!$A:$C, 3, 0)</f>
        <v>Plant 1 Canteen</v>
      </c>
    </row>
    <row r="564" spans="1:8" x14ac:dyDescent="0.3">
      <c r="A564" t="s">
        <v>257</v>
      </c>
      <c r="B564" t="s">
        <v>413</v>
      </c>
      <c r="C564">
        <v>3</v>
      </c>
      <c r="D564">
        <f>VLOOKUP(B564, Menu!$A:$F, 6, 0)</f>
        <v>54.2</v>
      </c>
      <c r="E564">
        <f>VLOOKUP(B564, Menu!$A:$F, 5, 0)</f>
        <v>21.95</v>
      </c>
      <c r="F564" t="str">
        <f>VLOOKUP(B564, Menu!$A:$F, 3, 0)</f>
        <v>Dessert</v>
      </c>
      <c r="G564" s="5">
        <f>VLOOKUP(A564, Orders!$A:$B, 2, 0)</f>
        <v>45866.410069444442</v>
      </c>
      <c r="H564" t="str">
        <f>VLOOKUP(A564, Orders!$A:$C, 3, 0)</f>
        <v>Plant 1 Canteen</v>
      </c>
    </row>
    <row r="565" spans="1:8" x14ac:dyDescent="0.3">
      <c r="A565" t="s">
        <v>258</v>
      </c>
      <c r="B565" t="s">
        <v>412</v>
      </c>
      <c r="C565">
        <v>1</v>
      </c>
      <c r="D565">
        <f>VLOOKUP(B565, Menu!$A:$F, 6, 0)</f>
        <v>57.07</v>
      </c>
      <c r="E565">
        <f>VLOOKUP(B565, Menu!$A:$F, 5, 0)</f>
        <v>29.14</v>
      </c>
      <c r="F565" t="str">
        <f>VLOOKUP(B565, Menu!$A:$F, 3, 0)</f>
        <v>Dessert</v>
      </c>
      <c r="G565" s="5">
        <f>VLOOKUP(A565, Orders!$A:$B, 2, 0)</f>
        <v>45882.298217592594</v>
      </c>
      <c r="H565" t="str">
        <f>VLOOKUP(A565, Orders!$A:$C, 3, 0)</f>
        <v>Plant 2 Canteen</v>
      </c>
    </row>
    <row r="566" spans="1:8" x14ac:dyDescent="0.3">
      <c r="A566" t="s">
        <v>259</v>
      </c>
      <c r="B566" t="s">
        <v>418</v>
      </c>
      <c r="C566">
        <v>1</v>
      </c>
      <c r="D566">
        <f>VLOOKUP(B566, Menu!$A:$F, 6, 0)</f>
        <v>39.950000000000003</v>
      </c>
      <c r="E566">
        <f>VLOOKUP(B566, Menu!$A:$F, 5, 0)</f>
        <v>15.51</v>
      </c>
      <c r="F566" t="str">
        <f>VLOOKUP(B566, Menu!$A:$F, 3, 0)</f>
        <v>Snack</v>
      </c>
      <c r="G566" s="5">
        <f>VLOOKUP(A566, Orders!$A:$B, 2, 0)</f>
        <v>45874.914675925917</v>
      </c>
      <c r="H566" t="str">
        <f>VLOOKUP(A566, Orders!$A:$C, 3, 0)</f>
        <v>Head Office Café</v>
      </c>
    </row>
    <row r="567" spans="1:8" x14ac:dyDescent="0.3">
      <c r="A567" t="s">
        <v>259</v>
      </c>
      <c r="B567" t="s">
        <v>410</v>
      </c>
      <c r="C567">
        <v>2</v>
      </c>
      <c r="D567">
        <f>VLOOKUP(B567, Menu!$A:$F, 6, 0)</f>
        <v>20.11</v>
      </c>
      <c r="E567">
        <f>VLOOKUP(B567, Menu!$A:$F, 5, 0)</f>
        <v>8</v>
      </c>
      <c r="F567" t="str">
        <f>VLOOKUP(B567, Menu!$A:$F, 3, 0)</f>
        <v>Beverage</v>
      </c>
      <c r="G567" s="5">
        <f>VLOOKUP(A567, Orders!$A:$B, 2, 0)</f>
        <v>45874.914675925917</v>
      </c>
      <c r="H567" t="str">
        <f>VLOOKUP(A567, Orders!$A:$C, 3, 0)</f>
        <v>Head Office Café</v>
      </c>
    </row>
    <row r="568" spans="1:8" x14ac:dyDescent="0.3">
      <c r="A568" t="s">
        <v>259</v>
      </c>
      <c r="B568" t="s">
        <v>402</v>
      </c>
      <c r="C568">
        <v>2</v>
      </c>
      <c r="D568">
        <f>VLOOKUP(B568, Menu!$A:$F, 6, 0)</f>
        <v>30.34</v>
      </c>
      <c r="E568">
        <f>VLOOKUP(B568, Menu!$A:$F, 5, 0)</f>
        <v>14.18</v>
      </c>
      <c r="F568" t="str">
        <f>VLOOKUP(B568, Menu!$A:$F, 3, 0)</f>
        <v>Beverage</v>
      </c>
      <c r="G568" s="5">
        <f>VLOOKUP(A568, Orders!$A:$B, 2, 0)</f>
        <v>45874.914675925917</v>
      </c>
      <c r="H568" t="str">
        <f>VLOOKUP(A568, Orders!$A:$C, 3, 0)</f>
        <v>Head Office Café</v>
      </c>
    </row>
    <row r="569" spans="1:8" x14ac:dyDescent="0.3">
      <c r="A569" t="s">
        <v>259</v>
      </c>
      <c r="B569" t="s">
        <v>413</v>
      </c>
      <c r="C569">
        <v>3</v>
      </c>
      <c r="D569">
        <f>VLOOKUP(B569, Menu!$A:$F, 6, 0)</f>
        <v>54.2</v>
      </c>
      <c r="E569">
        <f>VLOOKUP(B569, Menu!$A:$F, 5, 0)</f>
        <v>21.95</v>
      </c>
      <c r="F569" t="str">
        <f>VLOOKUP(B569, Menu!$A:$F, 3, 0)</f>
        <v>Dessert</v>
      </c>
      <c r="G569" s="5">
        <f>VLOOKUP(A569, Orders!$A:$B, 2, 0)</f>
        <v>45874.914675925917</v>
      </c>
      <c r="H569" t="str">
        <f>VLOOKUP(A569, Orders!$A:$C, 3, 0)</f>
        <v>Head Office Café</v>
      </c>
    </row>
    <row r="570" spans="1:8" x14ac:dyDescent="0.3">
      <c r="A570" t="s">
        <v>260</v>
      </c>
      <c r="B570" t="s">
        <v>413</v>
      </c>
      <c r="C570">
        <v>2</v>
      </c>
      <c r="D570">
        <f>VLOOKUP(B570, Menu!$A:$F, 6, 0)</f>
        <v>54.2</v>
      </c>
      <c r="E570">
        <f>VLOOKUP(B570, Menu!$A:$F, 5, 0)</f>
        <v>21.95</v>
      </c>
      <c r="F570" t="str">
        <f>VLOOKUP(B570, Menu!$A:$F, 3, 0)</f>
        <v>Dessert</v>
      </c>
      <c r="G570" s="5">
        <f>VLOOKUP(A570, Orders!$A:$B, 2, 0)</f>
        <v>45877.90552083333</v>
      </c>
      <c r="H570" t="str">
        <f>VLOOKUP(A570, Orders!$A:$C, 3, 0)</f>
        <v>Plant 2 Canteen</v>
      </c>
    </row>
    <row r="571" spans="1:8" x14ac:dyDescent="0.3">
      <c r="A571" t="s">
        <v>260</v>
      </c>
      <c r="B571" t="s">
        <v>411</v>
      </c>
      <c r="C571">
        <v>1</v>
      </c>
      <c r="D571">
        <f>VLOOKUP(B571, Menu!$A:$F, 6, 0)</f>
        <v>22.2</v>
      </c>
      <c r="E571">
        <f>VLOOKUP(B571, Menu!$A:$F, 5, 0)</f>
        <v>9.3800000000000008</v>
      </c>
      <c r="F571" t="str">
        <f>VLOOKUP(B571, Menu!$A:$F, 3, 0)</f>
        <v>Beverage</v>
      </c>
      <c r="G571" s="5">
        <f>VLOOKUP(A571, Orders!$A:$B, 2, 0)</f>
        <v>45877.90552083333</v>
      </c>
      <c r="H571" t="str">
        <f>VLOOKUP(A571, Orders!$A:$C, 3, 0)</f>
        <v>Plant 2 Canteen</v>
      </c>
    </row>
    <row r="572" spans="1:8" x14ac:dyDescent="0.3">
      <c r="A572" t="s">
        <v>260</v>
      </c>
      <c r="B572" t="s">
        <v>409</v>
      </c>
      <c r="C572">
        <v>2</v>
      </c>
      <c r="D572">
        <f>VLOOKUP(B572, Menu!$A:$F, 6, 0)</f>
        <v>28.43</v>
      </c>
      <c r="E572">
        <f>VLOOKUP(B572, Menu!$A:$F, 5, 0)</f>
        <v>13.89</v>
      </c>
      <c r="F572" t="str">
        <f>VLOOKUP(B572, Menu!$A:$F, 3, 0)</f>
        <v>Beverage</v>
      </c>
      <c r="G572" s="5">
        <f>VLOOKUP(A572, Orders!$A:$B, 2, 0)</f>
        <v>45877.90552083333</v>
      </c>
      <c r="H572" t="str">
        <f>VLOOKUP(A572, Orders!$A:$C, 3, 0)</f>
        <v>Plant 2 Canteen</v>
      </c>
    </row>
    <row r="573" spans="1:8" x14ac:dyDescent="0.3">
      <c r="A573" t="s">
        <v>261</v>
      </c>
      <c r="B573" t="s">
        <v>401</v>
      </c>
      <c r="C573">
        <v>3</v>
      </c>
      <c r="D573">
        <f>VLOOKUP(B573, Menu!$A:$F, 6, 0)</f>
        <v>52.45</v>
      </c>
      <c r="E573">
        <f>VLOOKUP(B573, Menu!$A:$F, 5, 0)</f>
        <v>25.8</v>
      </c>
      <c r="F573" t="str">
        <f>VLOOKUP(B573, Menu!$A:$F, 3, 0)</f>
        <v>Snack</v>
      </c>
      <c r="G573" s="5">
        <f>VLOOKUP(A573, Orders!$A:$B, 2, 0)</f>
        <v>45848.150601851848</v>
      </c>
      <c r="H573" t="str">
        <f>VLOOKUP(A573, Orders!$A:$C, 3, 0)</f>
        <v>Head Office Café</v>
      </c>
    </row>
    <row r="574" spans="1:8" x14ac:dyDescent="0.3">
      <c r="A574" t="s">
        <v>262</v>
      </c>
      <c r="B574" t="s">
        <v>408</v>
      </c>
      <c r="C574">
        <v>1</v>
      </c>
      <c r="D574">
        <f>VLOOKUP(B574, Menu!$A:$F, 6, 0)</f>
        <v>70.540000000000006</v>
      </c>
      <c r="E574">
        <f>VLOOKUP(B574, Menu!$A:$F, 5, 0)</f>
        <v>35.81</v>
      </c>
      <c r="F574" t="str">
        <f>VLOOKUP(B574, Menu!$A:$F, 3, 0)</f>
        <v>Snack</v>
      </c>
      <c r="G574" s="5">
        <f>VLOOKUP(A574, Orders!$A:$B, 2, 0)</f>
        <v>45844.160682870373</v>
      </c>
      <c r="H574" t="str">
        <f>VLOOKUP(A574, Orders!$A:$C, 3, 0)</f>
        <v>Plant 2 Canteen</v>
      </c>
    </row>
    <row r="575" spans="1:8" x14ac:dyDescent="0.3">
      <c r="A575" t="s">
        <v>262</v>
      </c>
      <c r="B575" t="s">
        <v>409</v>
      </c>
      <c r="C575">
        <v>2</v>
      </c>
      <c r="D575">
        <f>VLOOKUP(B575, Menu!$A:$F, 6, 0)</f>
        <v>28.43</v>
      </c>
      <c r="E575">
        <f>VLOOKUP(B575, Menu!$A:$F, 5, 0)</f>
        <v>13.89</v>
      </c>
      <c r="F575" t="str">
        <f>VLOOKUP(B575, Menu!$A:$F, 3, 0)</f>
        <v>Beverage</v>
      </c>
      <c r="G575" s="5">
        <f>VLOOKUP(A575, Orders!$A:$B, 2, 0)</f>
        <v>45844.160682870373</v>
      </c>
      <c r="H575" t="str">
        <f>VLOOKUP(A575, Orders!$A:$C, 3, 0)</f>
        <v>Plant 2 Canteen</v>
      </c>
    </row>
    <row r="576" spans="1:8" x14ac:dyDescent="0.3">
      <c r="A576" t="s">
        <v>262</v>
      </c>
      <c r="B576" t="s">
        <v>415</v>
      </c>
      <c r="C576">
        <v>3</v>
      </c>
      <c r="D576">
        <f>VLOOKUP(B576, Menu!$A:$F, 6, 0)</f>
        <v>256.91000000000003</v>
      </c>
      <c r="E576">
        <f>VLOOKUP(B576, Menu!$A:$F, 5, 0)</f>
        <v>121.24</v>
      </c>
      <c r="F576" t="str">
        <f>VLOOKUP(B576, Menu!$A:$F, 3, 0)</f>
        <v>Hot Meal</v>
      </c>
      <c r="G576" s="5">
        <f>VLOOKUP(A576, Orders!$A:$B, 2, 0)</f>
        <v>45844.160682870373</v>
      </c>
      <c r="H576" t="str">
        <f>VLOOKUP(A576, Orders!$A:$C, 3, 0)</f>
        <v>Plant 2 Canteen</v>
      </c>
    </row>
    <row r="577" spans="1:8" x14ac:dyDescent="0.3">
      <c r="A577" t="s">
        <v>262</v>
      </c>
      <c r="B577" t="s">
        <v>402</v>
      </c>
      <c r="C577">
        <v>2</v>
      </c>
      <c r="D577">
        <f>VLOOKUP(B577, Menu!$A:$F, 6, 0)</f>
        <v>30.34</v>
      </c>
      <c r="E577">
        <f>VLOOKUP(B577, Menu!$A:$F, 5, 0)</f>
        <v>14.18</v>
      </c>
      <c r="F577" t="str">
        <f>VLOOKUP(B577, Menu!$A:$F, 3, 0)</f>
        <v>Beverage</v>
      </c>
      <c r="G577" s="5">
        <f>VLOOKUP(A577, Orders!$A:$B, 2, 0)</f>
        <v>45844.160682870373</v>
      </c>
      <c r="H577" t="str">
        <f>VLOOKUP(A577, Orders!$A:$C, 3, 0)</f>
        <v>Plant 2 Canteen</v>
      </c>
    </row>
    <row r="578" spans="1:8" x14ac:dyDescent="0.3">
      <c r="A578" t="s">
        <v>263</v>
      </c>
      <c r="B578" t="s">
        <v>402</v>
      </c>
      <c r="C578">
        <v>1</v>
      </c>
      <c r="D578">
        <f>VLOOKUP(B578, Menu!$A:$F, 6, 0)</f>
        <v>30.34</v>
      </c>
      <c r="E578">
        <f>VLOOKUP(B578, Menu!$A:$F, 5, 0)</f>
        <v>14.18</v>
      </c>
      <c r="F578" t="str">
        <f>VLOOKUP(B578, Menu!$A:$F, 3, 0)</f>
        <v>Beverage</v>
      </c>
      <c r="G578" s="5">
        <f>VLOOKUP(A578, Orders!$A:$B, 2, 0)</f>
        <v>45845.911377314813</v>
      </c>
      <c r="H578" t="str">
        <f>VLOOKUP(A578, Orders!$A:$C, 3, 0)</f>
        <v>Head Office Café</v>
      </c>
    </row>
    <row r="579" spans="1:8" x14ac:dyDescent="0.3">
      <c r="A579" t="s">
        <v>263</v>
      </c>
      <c r="B579" t="s">
        <v>417</v>
      </c>
      <c r="C579">
        <v>1</v>
      </c>
      <c r="D579">
        <f>VLOOKUP(B579, Menu!$A:$F, 6, 0)</f>
        <v>146.4</v>
      </c>
      <c r="E579">
        <f>VLOOKUP(B579, Menu!$A:$F, 5, 0)</f>
        <v>80.92</v>
      </c>
      <c r="F579" t="str">
        <f>VLOOKUP(B579, Menu!$A:$F, 3, 0)</f>
        <v>Hot Meal</v>
      </c>
      <c r="G579" s="5">
        <f>VLOOKUP(A579, Orders!$A:$B, 2, 0)</f>
        <v>45845.911377314813</v>
      </c>
      <c r="H579" t="str">
        <f>VLOOKUP(A579, Orders!$A:$C, 3, 0)</f>
        <v>Head Office Café</v>
      </c>
    </row>
    <row r="580" spans="1:8" x14ac:dyDescent="0.3">
      <c r="A580" t="s">
        <v>263</v>
      </c>
      <c r="B580" t="s">
        <v>403</v>
      </c>
      <c r="C580">
        <v>2</v>
      </c>
      <c r="D580">
        <f>VLOOKUP(B580, Menu!$A:$F, 6, 0)</f>
        <v>76.55</v>
      </c>
      <c r="E580">
        <f>VLOOKUP(B580, Menu!$A:$F, 5, 0)</f>
        <v>38.229999999999997</v>
      </c>
      <c r="F580" t="str">
        <f>VLOOKUP(B580, Menu!$A:$F, 3, 0)</f>
        <v>Dessert</v>
      </c>
      <c r="G580" s="5">
        <f>VLOOKUP(A580, Orders!$A:$B, 2, 0)</f>
        <v>45845.911377314813</v>
      </c>
      <c r="H580" t="str">
        <f>VLOOKUP(A580, Orders!$A:$C, 3, 0)</f>
        <v>Head Office Café</v>
      </c>
    </row>
    <row r="581" spans="1:8" x14ac:dyDescent="0.3">
      <c r="A581" t="s">
        <v>264</v>
      </c>
      <c r="B581" t="s">
        <v>405</v>
      </c>
      <c r="C581">
        <v>2</v>
      </c>
      <c r="D581">
        <f>VLOOKUP(B581, Menu!$A:$F, 6, 0)</f>
        <v>170.83</v>
      </c>
      <c r="E581">
        <f>VLOOKUP(B581, Menu!$A:$F, 5, 0)</f>
        <v>74.069999999999993</v>
      </c>
      <c r="F581" t="str">
        <f>VLOOKUP(B581, Menu!$A:$F, 3, 0)</f>
        <v>Hot Meal</v>
      </c>
      <c r="G581" s="5">
        <f>VLOOKUP(A581, Orders!$A:$B, 2, 0)</f>
        <v>45861.871921296297</v>
      </c>
      <c r="H581" t="str">
        <f>VLOOKUP(A581, Orders!$A:$C, 3, 0)</f>
        <v>Plant 2 Canteen</v>
      </c>
    </row>
    <row r="582" spans="1:8" x14ac:dyDescent="0.3">
      <c r="A582" t="s">
        <v>264</v>
      </c>
      <c r="B582" t="s">
        <v>413</v>
      </c>
      <c r="C582">
        <v>1</v>
      </c>
      <c r="D582">
        <f>VLOOKUP(B582, Menu!$A:$F, 6, 0)</f>
        <v>54.2</v>
      </c>
      <c r="E582">
        <f>VLOOKUP(B582, Menu!$A:$F, 5, 0)</f>
        <v>21.95</v>
      </c>
      <c r="F582" t="str">
        <f>VLOOKUP(B582, Menu!$A:$F, 3, 0)</f>
        <v>Dessert</v>
      </c>
      <c r="G582" s="5">
        <f>VLOOKUP(A582, Orders!$A:$B, 2, 0)</f>
        <v>45861.871921296297</v>
      </c>
      <c r="H582" t="str">
        <f>VLOOKUP(A582, Orders!$A:$C, 3, 0)</f>
        <v>Plant 2 Canteen</v>
      </c>
    </row>
    <row r="583" spans="1:8" x14ac:dyDescent="0.3">
      <c r="A583" t="s">
        <v>265</v>
      </c>
      <c r="B583" t="s">
        <v>413</v>
      </c>
      <c r="C583">
        <v>2</v>
      </c>
      <c r="D583">
        <f>VLOOKUP(B583, Menu!$A:$F, 6, 0)</f>
        <v>54.2</v>
      </c>
      <c r="E583">
        <f>VLOOKUP(B583, Menu!$A:$F, 5, 0)</f>
        <v>21.95</v>
      </c>
      <c r="F583" t="str">
        <f>VLOOKUP(B583, Menu!$A:$F, 3, 0)</f>
        <v>Dessert</v>
      </c>
      <c r="G583" s="5">
        <f>VLOOKUP(A583, Orders!$A:$B, 2, 0)</f>
        <v>45866.170706018522</v>
      </c>
      <c r="H583" t="str">
        <f>VLOOKUP(A583, Orders!$A:$C, 3, 0)</f>
        <v>Plant 1 Canteen</v>
      </c>
    </row>
    <row r="584" spans="1:8" x14ac:dyDescent="0.3">
      <c r="A584" t="s">
        <v>266</v>
      </c>
      <c r="B584" t="s">
        <v>407</v>
      </c>
      <c r="C584">
        <v>1</v>
      </c>
      <c r="D584">
        <f>VLOOKUP(B584, Menu!$A:$F, 6, 0)</f>
        <v>246.09</v>
      </c>
      <c r="E584">
        <f>VLOOKUP(B584, Menu!$A:$F, 5, 0)</f>
        <v>112.08</v>
      </c>
      <c r="F584" t="str">
        <f>VLOOKUP(B584, Menu!$A:$F, 3, 0)</f>
        <v>Hot Meal</v>
      </c>
      <c r="G584" s="5">
        <f>VLOOKUP(A584, Orders!$A:$B, 2, 0)</f>
        <v>45856.191979166673</v>
      </c>
      <c r="H584" t="str">
        <f>VLOOKUP(A584, Orders!$A:$C, 3, 0)</f>
        <v>Plant 1 Canteen</v>
      </c>
    </row>
    <row r="585" spans="1:8" x14ac:dyDescent="0.3">
      <c r="A585" t="s">
        <v>266</v>
      </c>
      <c r="B585" t="s">
        <v>413</v>
      </c>
      <c r="C585">
        <v>3</v>
      </c>
      <c r="D585">
        <f>VLOOKUP(B585, Menu!$A:$F, 6, 0)</f>
        <v>54.2</v>
      </c>
      <c r="E585">
        <f>VLOOKUP(B585, Menu!$A:$F, 5, 0)</f>
        <v>21.95</v>
      </c>
      <c r="F585" t="str">
        <f>VLOOKUP(B585, Menu!$A:$F, 3, 0)</f>
        <v>Dessert</v>
      </c>
      <c r="G585" s="5">
        <f>VLOOKUP(A585, Orders!$A:$B, 2, 0)</f>
        <v>45856.191979166673</v>
      </c>
      <c r="H585" t="str">
        <f>VLOOKUP(A585, Orders!$A:$C, 3, 0)</f>
        <v>Plant 1 Canteen</v>
      </c>
    </row>
    <row r="586" spans="1:8" x14ac:dyDescent="0.3">
      <c r="A586" t="s">
        <v>266</v>
      </c>
      <c r="B586" t="s">
        <v>408</v>
      </c>
      <c r="C586">
        <v>1</v>
      </c>
      <c r="D586">
        <f>VLOOKUP(B586, Menu!$A:$F, 6, 0)</f>
        <v>70.540000000000006</v>
      </c>
      <c r="E586">
        <f>VLOOKUP(B586, Menu!$A:$F, 5, 0)</f>
        <v>35.81</v>
      </c>
      <c r="F586" t="str">
        <f>VLOOKUP(B586, Menu!$A:$F, 3, 0)</f>
        <v>Snack</v>
      </c>
      <c r="G586" s="5">
        <f>VLOOKUP(A586, Orders!$A:$B, 2, 0)</f>
        <v>45856.191979166673</v>
      </c>
      <c r="H586" t="str">
        <f>VLOOKUP(A586, Orders!$A:$C, 3, 0)</f>
        <v>Plant 1 Canteen</v>
      </c>
    </row>
    <row r="587" spans="1:8" x14ac:dyDescent="0.3">
      <c r="A587" t="s">
        <v>266</v>
      </c>
      <c r="B587" t="s">
        <v>406</v>
      </c>
      <c r="C587">
        <v>1</v>
      </c>
      <c r="D587">
        <f>VLOOKUP(B587, Menu!$A:$F, 6, 0)</f>
        <v>38.06</v>
      </c>
      <c r="E587">
        <f>VLOOKUP(B587, Menu!$A:$F, 5, 0)</f>
        <v>19.55</v>
      </c>
      <c r="F587" t="str">
        <f>VLOOKUP(B587, Menu!$A:$F, 3, 0)</f>
        <v>Snack</v>
      </c>
      <c r="G587" s="5">
        <f>VLOOKUP(A587, Orders!$A:$B, 2, 0)</f>
        <v>45856.191979166673</v>
      </c>
      <c r="H587" t="str">
        <f>VLOOKUP(A587, Orders!$A:$C, 3, 0)</f>
        <v>Plant 1 Canteen</v>
      </c>
    </row>
    <row r="588" spans="1:8" x14ac:dyDescent="0.3">
      <c r="A588" t="s">
        <v>267</v>
      </c>
      <c r="B588" t="s">
        <v>405</v>
      </c>
      <c r="C588">
        <v>1</v>
      </c>
      <c r="D588">
        <f>VLOOKUP(B588, Menu!$A:$F, 6, 0)</f>
        <v>170.83</v>
      </c>
      <c r="E588">
        <f>VLOOKUP(B588, Menu!$A:$F, 5, 0)</f>
        <v>74.069999999999993</v>
      </c>
      <c r="F588" t="str">
        <f>VLOOKUP(B588, Menu!$A:$F, 3, 0)</f>
        <v>Hot Meal</v>
      </c>
      <c r="G588" s="5">
        <f>VLOOKUP(A588, Orders!$A:$B, 2, 0)</f>
        <v>45840.692789351851</v>
      </c>
      <c r="H588" t="str">
        <f>VLOOKUP(A588, Orders!$A:$C, 3, 0)</f>
        <v>Plant 2 Canteen</v>
      </c>
    </row>
    <row r="589" spans="1:8" x14ac:dyDescent="0.3">
      <c r="A589" t="s">
        <v>267</v>
      </c>
      <c r="B589" t="s">
        <v>409</v>
      </c>
      <c r="C589">
        <v>1</v>
      </c>
      <c r="D589">
        <f>VLOOKUP(B589, Menu!$A:$F, 6, 0)</f>
        <v>28.43</v>
      </c>
      <c r="E589">
        <f>VLOOKUP(B589, Menu!$A:$F, 5, 0)</f>
        <v>13.89</v>
      </c>
      <c r="F589" t="str">
        <f>VLOOKUP(B589, Menu!$A:$F, 3, 0)</f>
        <v>Beverage</v>
      </c>
      <c r="G589" s="5">
        <f>VLOOKUP(A589, Orders!$A:$B, 2, 0)</f>
        <v>45840.692789351851</v>
      </c>
      <c r="H589" t="str">
        <f>VLOOKUP(A589, Orders!$A:$C, 3, 0)</f>
        <v>Plant 2 Canteen</v>
      </c>
    </row>
    <row r="590" spans="1:8" x14ac:dyDescent="0.3">
      <c r="A590" t="s">
        <v>268</v>
      </c>
      <c r="B590" t="s">
        <v>414</v>
      </c>
      <c r="C590">
        <v>1</v>
      </c>
      <c r="D590">
        <f>VLOOKUP(B590, Menu!$A:$F, 6, 0)</f>
        <v>116.8</v>
      </c>
      <c r="E590">
        <f>VLOOKUP(B590, Menu!$A:$F, 5, 0)</f>
        <v>48.97</v>
      </c>
      <c r="F590" t="str">
        <f>VLOOKUP(B590, Menu!$A:$F, 3, 0)</f>
        <v>Dessert</v>
      </c>
      <c r="G590" s="5">
        <f>VLOOKUP(A590, Orders!$A:$B, 2, 0)</f>
        <v>45840.782187500001</v>
      </c>
      <c r="H590" t="str">
        <f>VLOOKUP(A590, Orders!$A:$C, 3, 0)</f>
        <v>Plant 1 Canteen</v>
      </c>
    </row>
    <row r="591" spans="1:8" x14ac:dyDescent="0.3">
      <c r="A591" t="s">
        <v>268</v>
      </c>
      <c r="B591" t="s">
        <v>401</v>
      </c>
      <c r="C591">
        <v>2</v>
      </c>
      <c r="D591">
        <f>VLOOKUP(B591, Menu!$A:$F, 6, 0)</f>
        <v>52.45</v>
      </c>
      <c r="E591">
        <f>VLOOKUP(B591, Menu!$A:$F, 5, 0)</f>
        <v>25.8</v>
      </c>
      <c r="F591" t="str">
        <f>VLOOKUP(B591, Menu!$A:$F, 3, 0)</f>
        <v>Snack</v>
      </c>
      <c r="G591" s="5">
        <f>VLOOKUP(A591, Orders!$A:$B, 2, 0)</f>
        <v>45840.782187500001</v>
      </c>
      <c r="H591" t="str">
        <f>VLOOKUP(A591, Orders!$A:$C, 3, 0)</f>
        <v>Plant 1 Canteen</v>
      </c>
    </row>
    <row r="592" spans="1:8" x14ac:dyDescent="0.3">
      <c r="A592" t="s">
        <v>268</v>
      </c>
      <c r="B592" t="s">
        <v>404</v>
      </c>
      <c r="C592">
        <v>2</v>
      </c>
      <c r="D592">
        <f>VLOOKUP(B592, Menu!$A:$F, 6, 0)</f>
        <v>32.979999999999997</v>
      </c>
      <c r="E592">
        <f>VLOOKUP(B592, Menu!$A:$F, 5, 0)</f>
        <v>11.84</v>
      </c>
      <c r="F592" t="str">
        <f>VLOOKUP(B592, Menu!$A:$F, 3, 0)</f>
        <v>Beverage</v>
      </c>
      <c r="G592" s="5">
        <f>VLOOKUP(A592, Orders!$A:$B, 2, 0)</f>
        <v>45840.782187500001</v>
      </c>
      <c r="H592" t="str">
        <f>VLOOKUP(A592, Orders!$A:$C, 3, 0)</f>
        <v>Plant 1 Canteen</v>
      </c>
    </row>
    <row r="593" spans="1:8" x14ac:dyDescent="0.3">
      <c r="A593" t="s">
        <v>268</v>
      </c>
      <c r="B593" t="s">
        <v>403</v>
      </c>
      <c r="C593">
        <v>3</v>
      </c>
      <c r="D593">
        <f>VLOOKUP(B593, Menu!$A:$F, 6, 0)</f>
        <v>76.55</v>
      </c>
      <c r="E593">
        <f>VLOOKUP(B593, Menu!$A:$F, 5, 0)</f>
        <v>38.229999999999997</v>
      </c>
      <c r="F593" t="str">
        <f>VLOOKUP(B593, Menu!$A:$F, 3, 0)</f>
        <v>Dessert</v>
      </c>
      <c r="G593" s="5">
        <f>VLOOKUP(A593, Orders!$A:$B, 2, 0)</f>
        <v>45840.782187500001</v>
      </c>
      <c r="H593" t="str">
        <f>VLOOKUP(A593, Orders!$A:$C, 3, 0)</f>
        <v>Plant 1 Canteen</v>
      </c>
    </row>
    <row r="594" spans="1:8" x14ac:dyDescent="0.3">
      <c r="A594" t="s">
        <v>269</v>
      </c>
      <c r="B594" t="s">
        <v>411</v>
      </c>
      <c r="C594">
        <v>1</v>
      </c>
      <c r="D594">
        <f>VLOOKUP(B594, Menu!$A:$F, 6, 0)</f>
        <v>22.2</v>
      </c>
      <c r="E594">
        <f>VLOOKUP(B594, Menu!$A:$F, 5, 0)</f>
        <v>9.3800000000000008</v>
      </c>
      <c r="F594" t="str">
        <f>VLOOKUP(B594, Menu!$A:$F, 3, 0)</f>
        <v>Beverage</v>
      </c>
      <c r="G594" s="5">
        <f>VLOOKUP(A594, Orders!$A:$B, 2, 0)</f>
        <v>45880.121215277781</v>
      </c>
      <c r="H594" t="str">
        <f>VLOOKUP(A594, Orders!$A:$C, 3, 0)</f>
        <v>Head Office Café</v>
      </c>
    </row>
    <row r="595" spans="1:8" x14ac:dyDescent="0.3">
      <c r="A595" t="s">
        <v>269</v>
      </c>
      <c r="B595" t="s">
        <v>407</v>
      </c>
      <c r="C595">
        <v>2</v>
      </c>
      <c r="D595">
        <f>VLOOKUP(B595, Menu!$A:$F, 6, 0)</f>
        <v>246.09</v>
      </c>
      <c r="E595">
        <f>VLOOKUP(B595, Menu!$A:$F, 5, 0)</f>
        <v>112.08</v>
      </c>
      <c r="F595" t="str">
        <f>VLOOKUP(B595, Menu!$A:$F, 3, 0)</f>
        <v>Hot Meal</v>
      </c>
      <c r="G595" s="5">
        <f>VLOOKUP(A595, Orders!$A:$B, 2, 0)</f>
        <v>45880.121215277781</v>
      </c>
      <c r="H595" t="str">
        <f>VLOOKUP(A595, Orders!$A:$C, 3, 0)</f>
        <v>Head Office Café</v>
      </c>
    </row>
    <row r="596" spans="1:8" x14ac:dyDescent="0.3">
      <c r="A596" t="s">
        <v>270</v>
      </c>
      <c r="B596" t="s">
        <v>419</v>
      </c>
      <c r="C596">
        <v>2</v>
      </c>
      <c r="D596">
        <f>VLOOKUP(B596, Menu!$A:$F, 6, 0)</f>
        <v>50.19</v>
      </c>
      <c r="E596">
        <f>VLOOKUP(B596, Menu!$A:$F, 5, 0)</f>
        <v>22.61</v>
      </c>
      <c r="F596" t="str">
        <f>VLOOKUP(B596, Menu!$A:$F, 3, 0)</f>
        <v>Snack</v>
      </c>
      <c r="G596" s="5">
        <f>VLOOKUP(A596, Orders!$A:$B, 2, 0)</f>
        <v>45885.488888888889</v>
      </c>
      <c r="H596" t="str">
        <f>VLOOKUP(A596, Orders!$A:$C, 3, 0)</f>
        <v>Plant 2 Canteen</v>
      </c>
    </row>
    <row r="597" spans="1:8" x14ac:dyDescent="0.3">
      <c r="A597" t="s">
        <v>270</v>
      </c>
      <c r="B597" t="s">
        <v>402</v>
      </c>
      <c r="C597">
        <v>1</v>
      </c>
      <c r="D597">
        <f>VLOOKUP(B597, Menu!$A:$F, 6, 0)</f>
        <v>30.34</v>
      </c>
      <c r="E597">
        <f>VLOOKUP(B597, Menu!$A:$F, 5, 0)</f>
        <v>14.18</v>
      </c>
      <c r="F597" t="str">
        <f>VLOOKUP(B597, Menu!$A:$F, 3, 0)</f>
        <v>Beverage</v>
      </c>
      <c r="G597" s="5">
        <f>VLOOKUP(A597, Orders!$A:$B, 2, 0)</f>
        <v>45885.488888888889</v>
      </c>
      <c r="H597" t="str">
        <f>VLOOKUP(A597, Orders!$A:$C, 3, 0)</f>
        <v>Plant 2 Canteen</v>
      </c>
    </row>
    <row r="598" spans="1:8" x14ac:dyDescent="0.3">
      <c r="A598" t="s">
        <v>271</v>
      </c>
      <c r="B598" t="s">
        <v>418</v>
      </c>
      <c r="C598">
        <v>1</v>
      </c>
      <c r="D598">
        <f>VLOOKUP(B598, Menu!$A:$F, 6, 0)</f>
        <v>39.950000000000003</v>
      </c>
      <c r="E598">
        <f>VLOOKUP(B598, Menu!$A:$F, 5, 0)</f>
        <v>15.51</v>
      </c>
      <c r="F598" t="str">
        <f>VLOOKUP(B598, Menu!$A:$F, 3, 0)</f>
        <v>Snack</v>
      </c>
      <c r="G598" s="5">
        <f>VLOOKUP(A598, Orders!$A:$B, 2, 0)</f>
        <v>45883.135370370372</v>
      </c>
      <c r="H598" t="str">
        <f>VLOOKUP(A598, Orders!$A:$C, 3, 0)</f>
        <v>Head Office Café</v>
      </c>
    </row>
    <row r="599" spans="1:8" x14ac:dyDescent="0.3">
      <c r="A599" t="s">
        <v>272</v>
      </c>
      <c r="B599" t="s">
        <v>417</v>
      </c>
      <c r="C599">
        <v>1</v>
      </c>
      <c r="D599">
        <f>VLOOKUP(B599, Menu!$A:$F, 6, 0)</f>
        <v>146.4</v>
      </c>
      <c r="E599">
        <f>VLOOKUP(B599, Menu!$A:$F, 5, 0)</f>
        <v>80.92</v>
      </c>
      <c r="F599" t="str">
        <f>VLOOKUP(B599, Menu!$A:$F, 3, 0)</f>
        <v>Hot Meal</v>
      </c>
      <c r="G599" s="5">
        <f>VLOOKUP(A599, Orders!$A:$B, 2, 0)</f>
        <v>45889.877881944441</v>
      </c>
      <c r="H599" t="str">
        <f>VLOOKUP(A599, Orders!$A:$C, 3, 0)</f>
        <v>Plant 2 Canteen</v>
      </c>
    </row>
    <row r="600" spans="1:8" x14ac:dyDescent="0.3">
      <c r="A600" t="s">
        <v>273</v>
      </c>
      <c r="B600" t="s">
        <v>408</v>
      </c>
      <c r="C600">
        <v>2</v>
      </c>
      <c r="D600">
        <f>VLOOKUP(B600, Menu!$A:$F, 6, 0)</f>
        <v>70.540000000000006</v>
      </c>
      <c r="E600">
        <f>VLOOKUP(B600, Menu!$A:$F, 5, 0)</f>
        <v>35.81</v>
      </c>
      <c r="F600" t="str">
        <f>VLOOKUP(B600, Menu!$A:$F, 3, 0)</f>
        <v>Snack</v>
      </c>
      <c r="G600" s="5">
        <f>VLOOKUP(A600, Orders!$A:$B, 2, 0)</f>
        <v>45845.155555555553</v>
      </c>
      <c r="H600" t="str">
        <f>VLOOKUP(A600, Orders!$A:$C, 3, 0)</f>
        <v>Plant 2 Canteen</v>
      </c>
    </row>
    <row r="601" spans="1:8" x14ac:dyDescent="0.3">
      <c r="A601" t="s">
        <v>273</v>
      </c>
      <c r="B601" t="s">
        <v>412</v>
      </c>
      <c r="C601">
        <v>1</v>
      </c>
      <c r="D601">
        <f>VLOOKUP(B601, Menu!$A:$F, 6, 0)</f>
        <v>57.07</v>
      </c>
      <c r="E601">
        <f>VLOOKUP(B601, Menu!$A:$F, 5, 0)</f>
        <v>29.14</v>
      </c>
      <c r="F601" t="str">
        <f>VLOOKUP(B601, Menu!$A:$F, 3, 0)</f>
        <v>Dessert</v>
      </c>
      <c r="G601" s="5">
        <f>VLOOKUP(A601, Orders!$A:$B, 2, 0)</f>
        <v>45845.155555555553</v>
      </c>
      <c r="H601" t="str">
        <f>VLOOKUP(A601, Orders!$A:$C, 3, 0)</f>
        <v>Plant 2 Canteen</v>
      </c>
    </row>
    <row r="602" spans="1:8" x14ac:dyDescent="0.3">
      <c r="A602" t="s">
        <v>274</v>
      </c>
      <c r="B602" t="s">
        <v>418</v>
      </c>
      <c r="C602">
        <v>2</v>
      </c>
      <c r="D602">
        <f>VLOOKUP(B602, Menu!$A:$F, 6, 0)</f>
        <v>39.950000000000003</v>
      </c>
      <c r="E602">
        <f>VLOOKUP(B602, Menu!$A:$F, 5, 0)</f>
        <v>15.51</v>
      </c>
      <c r="F602" t="str">
        <f>VLOOKUP(B602, Menu!$A:$F, 3, 0)</f>
        <v>Snack</v>
      </c>
      <c r="G602" s="5">
        <f>VLOOKUP(A602, Orders!$A:$B, 2, 0)</f>
        <v>45886.850381944438</v>
      </c>
      <c r="H602" t="str">
        <f>VLOOKUP(A602, Orders!$A:$C, 3, 0)</f>
        <v>Head Office Café</v>
      </c>
    </row>
    <row r="603" spans="1:8" x14ac:dyDescent="0.3">
      <c r="A603" t="s">
        <v>275</v>
      </c>
      <c r="B603" t="s">
        <v>403</v>
      </c>
      <c r="C603">
        <v>2</v>
      </c>
      <c r="D603">
        <f>VLOOKUP(B603, Menu!$A:$F, 6, 0)</f>
        <v>76.55</v>
      </c>
      <c r="E603">
        <f>VLOOKUP(B603, Menu!$A:$F, 5, 0)</f>
        <v>38.229999999999997</v>
      </c>
      <c r="F603" t="str">
        <f>VLOOKUP(B603, Menu!$A:$F, 3, 0)</f>
        <v>Dessert</v>
      </c>
      <c r="G603" s="5">
        <f>VLOOKUP(A603, Orders!$A:$B, 2, 0)</f>
        <v>45870.523946759262</v>
      </c>
      <c r="H603" t="str">
        <f>VLOOKUP(A603, Orders!$A:$C, 3, 0)</f>
        <v>Head Office Café</v>
      </c>
    </row>
    <row r="604" spans="1:8" x14ac:dyDescent="0.3">
      <c r="A604" t="s">
        <v>275</v>
      </c>
      <c r="B604" t="s">
        <v>411</v>
      </c>
      <c r="C604">
        <v>1</v>
      </c>
      <c r="D604">
        <f>VLOOKUP(B604, Menu!$A:$F, 6, 0)</f>
        <v>22.2</v>
      </c>
      <c r="E604">
        <f>VLOOKUP(B604, Menu!$A:$F, 5, 0)</f>
        <v>9.3800000000000008</v>
      </c>
      <c r="F604" t="str">
        <f>VLOOKUP(B604, Menu!$A:$F, 3, 0)</f>
        <v>Beverage</v>
      </c>
      <c r="G604" s="5">
        <f>VLOOKUP(A604, Orders!$A:$B, 2, 0)</f>
        <v>45870.523946759262</v>
      </c>
      <c r="H604" t="str">
        <f>VLOOKUP(A604, Orders!$A:$C, 3, 0)</f>
        <v>Head Office Café</v>
      </c>
    </row>
    <row r="605" spans="1:8" x14ac:dyDescent="0.3">
      <c r="A605" t="s">
        <v>275</v>
      </c>
      <c r="B605" t="s">
        <v>408</v>
      </c>
      <c r="C605">
        <v>2</v>
      </c>
      <c r="D605">
        <f>VLOOKUP(B605, Menu!$A:$F, 6, 0)</f>
        <v>70.540000000000006</v>
      </c>
      <c r="E605">
        <f>VLOOKUP(B605, Menu!$A:$F, 5, 0)</f>
        <v>35.81</v>
      </c>
      <c r="F605" t="str">
        <f>VLOOKUP(B605, Menu!$A:$F, 3, 0)</f>
        <v>Snack</v>
      </c>
      <c r="G605" s="5">
        <f>VLOOKUP(A605, Orders!$A:$B, 2, 0)</f>
        <v>45870.523946759262</v>
      </c>
      <c r="H605" t="str">
        <f>VLOOKUP(A605, Orders!$A:$C, 3, 0)</f>
        <v>Head Office Café</v>
      </c>
    </row>
    <row r="606" spans="1:8" x14ac:dyDescent="0.3">
      <c r="A606" t="s">
        <v>275</v>
      </c>
      <c r="B606" t="s">
        <v>409</v>
      </c>
      <c r="C606">
        <v>2</v>
      </c>
      <c r="D606">
        <f>VLOOKUP(B606, Menu!$A:$F, 6, 0)</f>
        <v>28.43</v>
      </c>
      <c r="E606">
        <f>VLOOKUP(B606, Menu!$A:$F, 5, 0)</f>
        <v>13.89</v>
      </c>
      <c r="F606" t="str">
        <f>VLOOKUP(B606, Menu!$A:$F, 3, 0)</f>
        <v>Beverage</v>
      </c>
      <c r="G606" s="5">
        <f>VLOOKUP(A606, Orders!$A:$B, 2, 0)</f>
        <v>45870.523946759262</v>
      </c>
      <c r="H606" t="str">
        <f>VLOOKUP(A606, Orders!$A:$C, 3, 0)</f>
        <v>Head Office Café</v>
      </c>
    </row>
    <row r="607" spans="1:8" x14ac:dyDescent="0.3">
      <c r="A607" t="s">
        <v>276</v>
      </c>
      <c r="B607" t="s">
        <v>410</v>
      </c>
      <c r="C607">
        <v>3</v>
      </c>
      <c r="D607">
        <f>VLOOKUP(B607, Menu!$A:$F, 6, 0)</f>
        <v>20.11</v>
      </c>
      <c r="E607">
        <f>VLOOKUP(B607, Menu!$A:$F, 5, 0)</f>
        <v>8</v>
      </c>
      <c r="F607" t="str">
        <f>VLOOKUP(B607, Menu!$A:$F, 3, 0)</f>
        <v>Beverage</v>
      </c>
      <c r="G607" s="5">
        <f>VLOOKUP(A607, Orders!$A:$B, 2, 0)</f>
        <v>45865.95140046296</v>
      </c>
      <c r="H607" t="str">
        <f>VLOOKUP(A607, Orders!$A:$C, 3, 0)</f>
        <v>Head Office Café</v>
      </c>
    </row>
    <row r="608" spans="1:8" x14ac:dyDescent="0.3">
      <c r="A608" t="s">
        <v>276</v>
      </c>
      <c r="B608" t="s">
        <v>403</v>
      </c>
      <c r="C608">
        <v>1</v>
      </c>
      <c r="D608">
        <f>VLOOKUP(B608, Menu!$A:$F, 6, 0)</f>
        <v>76.55</v>
      </c>
      <c r="E608">
        <f>VLOOKUP(B608, Menu!$A:$F, 5, 0)</f>
        <v>38.229999999999997</v>
      </c>
      <c r="F608" t="str">
        <f>VLOOKUP(B608, Menu!$A:$F, 3, 0)</f>
        <v>Dessert</v>
      </c>
      <c r="G608" s="5">
        <f>VLOOKUP(A608, Orders!$A:$B, 2, 0)</f>
        <v>45865.95140046296</v>
      </c>
      <c r="H608" t="str">
        <f>VLOOKUP(A608, Orders!$A:$C, 3, 0)</f>
        <v>Head Office Café</v>
      </c>
    </row>
    <row r="609" spans="1:8" x14ac:dyDescent="0.3">
      <c r="A609" t="s">
        <v>276</v>
      </c>
      <c r="B609" t="s">
        <v>417</v>
      </c>
      <c r="C609">
        <v>2</v>
      </c>
      <c r="D609">
        <f>VLOOKUP(B609, Menu!$A:$F, 6, 0)</f>
        <v>146.4</v>
      </c>
      <c r="E609">
        <f>VLOOKUP(B609, Menu!$A:$F, 5, 0)</f>
        <v>80.92</v>
      </c>
      <c r="F609" t="str">
        <f>VLOOKUP(B609, Menu!$A:$F, 3, 0)</f>
        <v>Hot Meal</v>
      </c>
      <c r="G609" s="5">
        <f>VLOOKUP(A609, Orders!$A:$B, 2, 0)</f>
        <v>45865.95140046296</v>
      </c>
      <c r="H609" t="str">
        <f>VLOOKUP(A609, Orders!$A:$C, 3, 0)</f>
        <v>Head Office Café</v>
      </c>
    </row>
    <row r="610" spans="1:8" x14ac:dyDescent="0.3">
      <c r="A610" t="s">
        <v>277</v>
      </c>
      <c r="B610" t="s">
        <v>408</v>
      </c>
      <c r="C610">
        <v>3</v>
      </c>
      <c r="D610">
        <f>VLOOKUP(B610, Menu!$A:$F, 6, 0)</f>
        <v>70.540000000000006</v>
      </c>
      <c r="E610">
        <f>VLOOKUP(B610, Menu!$A:$F, 5, 0)</f>
        <v>35.81</v>
      </c>
      <c r="F610" t="str">
        <f>VLOOKUP(B610, Menu!$A:$F, 3, 0)</f>
        <v>Snack</v>
      </c>
      <c r="G610" s="5">
        <f>VLOOKUP(A610, Orders!$A:$B, 2, 0)</f>
        <v>45870.822372685187</v>
      </c>
      <c r="H610" t="str">
        <f>VLOOKUP(A610, Orders!$A:$C, 3, 0)</f>
        <v>Plant 2 Canteen</v>
      </c>
    </row>
    <row r="611" spans="1:8" x14ac:dyDescent="0.3">
      <c r="A611" t="s">
        <v>277</v>
      </c>
      <c r="B611" t="s">
        <v>405</v>
      </c>
      <c r="C611">
        <v>2</v>
      </c>
      <c r="D611">
        <f>VLOOKUP(B611, Menu!$A:$F, 6, 0)</f>
        <v>170.83</v>
      </c>
      <c r="E611">
        <f>VLOOKUP(B611, Menu!$A:$F, 5, 0)</f>
        <v>74.069999999999993</v>
      </c>
      <c r="F611" t="str">
        <f>VLOOKUP(B611, Menu!$A:$F, 3, 0)</f>
        <v>Hot Meal</v>
      </c>
      <c r="G611" s="5">
        <f>VLOOKUP(A611, Orders!$A:$B, 2, 0)</f>
        <v>45870.822372685187</v>
      </c>
      <c r="H611" t="str">
        <f>VLOOKUP(A611, Orders!$A:$C, 3, 0)</f>
        <v>Plant 2 Canteen</v>
      </c>
    </row>
    <row r="612" spans="1:8" x14ac:dyDescent="0.3">
      <c r="A612" t="s">
        <v>277</v>
      </c>
      <c r="B612" t="s">
        <v>403</v>
      </c>
      <c r="C612">
        <v>3</v>
      </c>
      <c r="D612">
        <f>VLOOKUP(B612, Menu!$A:$F, 6, 0)</f>
        <v>76.55</v>
      </c>
      <c r="E612">
        <f>VLOOKUP(B612, Menu!$A:$F, 5, 0)</f>
        <v>38.229999999999997</v>
      </c>
      <c r="F612" t="str">
        <f>VLOOKUP(B612, Menu!$A:$F, 3, 0)</f>
        <v>Dessert</v>
      </c>
      <c r="G612" s="5">
        <f>VLOOKUP(A612, Orders!$A:$B, 2, 0)</f>
        <v>45870.822372685187</v>
      </c>
      <c r="H612" t="str">
        <f>VLOOKUP(A612, Orders!$A:$C, 3, 0)</f>
        <v>Plant 2 Canteen</v>
      </c>
    </row>
    <row r="613" spans="1:8" x14ac:dyDescent="0.3">
      <c r="A613" t="s">
        <v>277</v>
      </c>
      <c r="B613" t="s">
        <v>415</v>
      </c>
      <c r="C613">
        <v>2</v>
      </c>
      <c r="D613">
        <f>VLOOKUP(B613, Menu!$A:$F, 6, 0)</f>
        <v>256.91000000000003</v>
      </c>
      <c r="E613">
        <f>VLOOKUP(B613, Menu!$A:$F, 5, 0)</f>
        <v>121.24</v>
      </c>
      <c r="F613" t="str">
        <f>VLOOKUP(B613, Menu!$A:$F, 3, 0)</f>
        <v>Hot Meal</v>
      </c>
      <c r="G613" s="5">
        <f>VLOOKUP(A613, Orders!$A:$B, 2, 0)</f>
        <v>45870.822372685187</v>
      </c>
      <c r="H613" t="str">
        <f>VLOOKUP(A613, Orders!$A:$C, 3, 0)</f>
        <v>Plant 2 Canteen</v>
      </c>
    </row>
    <row r="614" spans="1:8" x14ac:dyDescent="0.3">
      <c r="A614" t="s">
        <v>278</v>
      </c>
      <c r="B614" t="s">
        <v>402</v>
      </c>
      <c r="C614">
        <v>1</v>
      </c>
      <c r="D614">
        <f>VLOOKUP(B614, Menu!$A:$F, 6, 0)</f>
        <v>30.34</v>
      </c>
      <c r="E614">
        <f>VLOOKUP(B614, Menu!$A:$F, 5, 0)</f>
        <v>14.18</v>
      </c>
      <c r="F614" t="str">
        <f>VLOOKUP(B614, Menu!$A:$F, 3, 0)</f>
        <v>Beverage</v>
      </c>
      <c r="G614" s="5">
        <f>VLOOKUP(A614, Orders!$A:$B, 2, 0)</f>
        <v>45883.301388888889</v>
      </c>
      <c r="H614" t="str">
        <f>VLOOKUP(A614, Orders!$A:$C, 3, 0)</f>
        <v>Head Office Café</v>
      </c>
    </row>
    <row r="615" spans="1:8" x14ac:dyDescent="0.3">
      <c r="A615" t="s">
        <v>278</v>
      </c>
      <c r="B615" t="s">
        <v>414</v>
      </c>
      <c r="C615">
        <v>1</v>
      </c>
      <c r="D615">
        <f>VLOOKUP(B615, Menu!$A:$F, 6, 0)</f>
        <v>116.8</v>
      </c>
      <c r="E615">
        <f>VLOOKUP(B615, Menu!$A:$F, 5, 0)</f>
        <v>48.97</v>
      </c>
      <c r="F615" t="str">
        <f>VLOOKUP(B615, Menu!$A:$F, 3, 0)</f>
        <v>Dessert</v>
      </c>
      <c r="G615" s="5">
        <f>VLOOKUP(A615, Orders!$A:$B, 2, 0)</f>
        <v>45883.301388888889</v>
      </c>
      <c r="H615" t="str">
        <f>VLOOKUP(A615, Orders!$A:$C, 3, 0)</f>
        <v>Head Office Café</v>
      </c>
    </row>
    <row r="616" spans="1:8" x14ac:dyDescent="0.3">
      <c r="A616" t="s">
        <v>279</v>
      </c>
      <c r="B616" t="s">
        <v>406</v>
      </c>
      <c r="C616">
        <v>1</v>
      </c>
      <c r="D616">
        <f>VLOOKUP(B616, Menu!$A:$F, 6, 0)</f>
        <v>38.06</v>
      </c>
      <c r="E616">
        <f>VLOOKUP(B616, Menu!$A:$F, 5, 0)</f>
        <v>19.55</v>
      </c>
      <c r="F616" t="str">
        <f>VLOOKUP(B616, Menu!$A:$F, 3, 0)</f>
        <v>Snack</v>
      </c>
      <c r="G616" s="5">
        <f>VLOOKUP(A616, Orders!$A:$B, 2, 0)</f>
        <v>45850.358495370368</v>
      </c>
      <c r="H616" t="str">
        <f>VLOOKUP(A616, Orders!$A:$C, 3, 0)</f>
        <v>Head Office Café</v>
      </c>
    </row>
    <row r="617" spans="1:8" x14ac:dyDescent="0.3">
      <c r="A617" t="s">
        <v>279</v>
      </c>
      <c r="B617" t="s">
        <v>415</v>
      </c>
      <c r="C617">
        <v>2</v>
      </c>
      <c r="D617">
        <f>VLOOKUP(B617, Menu!$A:$F, 6, 0)</f>
        <v>256.91000000000003</v>
      </c>
      <c r="E617">
        <f>VLOOKUP(B617, Menu!$A:$F, 5, 0)</f>
        <v>121.24</v>
      </c>
      <c r="F617" t="str">
        <f>VLOOKUP(B617, Menu!$A:$F, 3, 0)</f>
        <v>Hot Meal</v>
      </c>
      <c r="G617" s="5">
        <f>VLOOKUP(A617, Orders!$A:$B, 2, 0)</f>
        <v>45850.358495370368</v>
      </c>
      <c r="H617" t="str">
        <f>VLOOKUP(A617, Orders!$A:$C, 3, 0)</f>
        <v>Head Office Café</v>
      </c>
    </row>
    <row r="618" spans="1:8" x14ac:dyDescent="0.3">
      <c r="A618" t="s">
        <v>279</v>
      </c>
      <c r="B618" t="s">
        <v>418</v>
      </c>
      <c r="C618">
        <v>2</v>
      </c>
      <c r="D618">
        <f>VLOOKUP(B618, Menu!$A:$F, 6, 0)</f>
        <v>39.950000000000003</v>
      </c>
      <c r="E618">
        <f>VLOOKUP(B618, Menu!$A:$F, 5, 0)</f>
        <v>15.51</v>
      </c>
      <c r="F618" t="str">
        <f>VLOOKUP(B618, Menu!$A:$F, 3, 0)</f>
        <v>Snack</v>
      </c>
      <c r="G618" s="5">
        <f>VLOOKUP(A618, Orders!$A:$B, 2, 0)</f>
        <v>45850.358495370368</v>
      </c>
      <c r="H618" t="str">
        <f>VLOOKUP(A618, Orders!$A:$C, 3, 0)</f>
        <v>Head Office Café</v>
      </c>
    </row>
    <row r="619" spans="1:8" x14ac:dyDescent="0.3">
      <c r="A619" t="s">
        <v>279</v>
      </c>
      <c r="B619" t="s">
        <v>407</v>
      </c>
      <c r="C619">
        <v>2</v>
      </c>
      <c r="D619">
        <f>VLOOKUP(B619, Menu!$A:$F, 6, 0)</f>
        <v>246.09</v>
      </c>
      <c r="E619">
        <f>VLOOKUP(B619, Menu!$A:$F, 5, 0)</f>
        <v>112.08</v>
      </c>
      <c r="F619" t="str">
        <f>VLOOKUP(B619, Menu!$A:$F, 3, 0)</f>
        <v>Hot Meal</v>
      </c>
      <c r="G619" s="5">
        <f>VLOOKUP(A619, Orders!$A:$B, 2, 0)</f>
        <v>45850.358495370368</v>
      </c>
      <c r="H619" t="str">
        <f>VLOOKUP(A619, Orders!$A:$C, 3, 0)</f>
        <v>Head Office Café</v>
      </c>
    </row>
    <row r="620" spans="1:8" x14ac:dyDescent="0.3">
      <c r="A620" t="s">
        <v>280</v>
      </c>
      <c r="B620" t="s">
        <v>412</v>
      </c>
      <c r="C620">
        <v>2</v>
      </c>
      <c r="D620">
        <f>VLOOKUP(B620, Menu!$A:$F, 6, 0)</f>
        <v>57.07</v>
      </c>
      <c r="E620">
        <f>VLOOKUP(B620, Menu!$A:$F, 5, 0)</f>
        <v>29.14</v>
      </c>
      <c r="F620" t="str">
        <f>VLOOKUP(B620, Menu!$A:$F, 3, 0)</f>
        <v>Dessert</v>
      </c>
      <c r="G620" s="5">
        <f>VLOOKUP(A620, Orders!$A:$B, 2, 0)</f>
        <v>45881.005648148152</v>
      </c>
      <c r="H620" t="str">
        <f>VLOOKUP(A620, Orders!$A:$C, 3, 0)</f>
        <v>Plant 2 Canteen</v>
      </c>
    </row>
    <row r="621" spans="1:8" x14ac:dyDescent="0.3">
      <c r="A621" t="s">
        <v>280</v>
      </c>
      <c r="B621" t="s">
        <v>414</v>
      </c>
      <c r="C621">
        <v>1</v>
      </c>
      <c r="D621">
        <f>VLOOKUP(B621, Menu!$A:$F, 6, 0)</f>
        <v>116.8</v>
      </c>
      <c r="E621">
        <f>VLOOKUP(B621, Menu!$A:$F, 5, 0)</f>
        <v>48.97</v>
      </c>
      <c r="F621" t="str">
        <f>VLOOKUP(B621, Menu!$A:$F, 3, 0)</f>
        <v>Dessert</v>
      </c>
      <c r="G621" s="5">
        <f>VLOOKUP(A621, Orders!$A:$B, 2, 0)</f>
        <v>45881.005648148152</v>
      </c>
      <c r="H621" t="str">
        <f>VLOOKUP(A621, Orders!$A:$C, 3, 0)</f>
        <v>Plant 2 Canteen</v>
      </c>
    </row>
    <row r="622" spans="1:8" x14ac:dyDescent="0.3">
      <c r="A622" t="s">
        <v>281</v>
      </c>
      <c r="B622" t="s">
        <v>410</v>
      </c>
      <c r="C622">
        <v>1</v>
      </c>
      <c r="D622">
        <f>VLOOKUP(B622, Menu!$A:$F, 6, 0)</f>
        <v>20.11</v>
      </c>
      <c r="E622">
        <f>VLOOKUP(B622, Menu!$A:$F, 5, 0)</f>
        <v>8</v>
      </c>
      <c r="F622" t="str">
        <f>VLOOKUP(B622, Menu!$A:$F, 3, 0)</f>
        <v>Beverage</v>
      </c>
      <c r="G622" s="5">
        <f>VLOOKUP(A622, Orders!$A:$B, 2, 0)</f>
        <v>45883.280370370368</v>
      </c>
      <c r="H622" t="str">
        <f>VLOOKUP(A622, Orders!$A:$C, 3, 0)</f>
        <v>Plant 2 Canteen</v>
      </c>
    </row>
    <row r="623" spans="1:8" x14ac:dyDescent="0.3">
      <c r="A623" t="s">
        <v>281</v>
      </c>
      <c r="B623" t="s">
        <v>418</v>
      </c>
      <c r="C623">
        <v>3</v>
      </c>
      <c r="D623">
        <f>VLOOKUP(B623, Menu!$A:$F, 6, 0)</f>
        <v>39.950000000000003</v>
      </c>
      <c r="E623">
        <f>VLOOKUP(B623, Menu!$A:$F, 5, 0)</f>
        <v>15.51</v>
      </c>
      <c r="F623" t="str">
        <f>VLOOKUP(B623, Menu!$A:$F, 3, 0)</f>
        <v>Snack</v>
      </c>
      <c r="G623" s="5">
        <f>VLOOKUP(A623, Orders!$A:$B, 2, 0)</f>
        <v>45883.280370370368</v>
      </c>
      <c r="H623" t="str">
        <f>VLOOKUP(A623, Orders!$A:$C, 3, 0)</f>
        <v>Plant 2 Canteen</v>
      </c>
    </row>
    <row r="624" spans="1:8" x14ac:dyDescent="0.3">
      <c r="A624" t="s">
        <v>281</v>
      </c>
      <c r="B624" t="s">
        <v>401</v>
      </c>
      <c r="C624">
        <v>1</v>
      </c>
      <c r="D624">
        <f>VLOOKUP(B624, Menu!$A:$F, 6, 0)</f>
        <v>52.45</v>
      </c>
      <c r="E624">
        <f>VLOOKUP(B624, Menu!$A:$F, 5, 0)</f>
        <v>25.8</v>
      </c>
      <c r="F624" t="str">
        <f>VLOOKUP(B624, Menu!$A:$F, 3, 0)</f>
        <v>Snack</v>
      </c>
      <c r="G624" s="5">
        <f>VLOOKUP(A624, Orders!$A:$B, 2, 0)</f>
        <v>45883.280370370368</v>
      </c>
      <c r="H624" t="str">
        <f>VLOOKUP(A624, Orders!$A:$C, 3, 0)</f>
        <v>Plant 2 Canteen</v>
      </c>
    </row>
    <row r="625" spans="1:8" x14ac:dyDescent="0.3">
      <c r="A625" t="s">
        <v>281</v>
      </c>
      <c r="B625" t="s">
        <v>416</v>
      </c>
      <c r="C625">
        <v>1</v>
      </c>
      <c r="D625">
        <f>VLOOKUP(B625, Menu!$A:$F, 6, 0)</f>
        <v>227.61</v>
      </c>
      <c r="E625">
        <f>VLOOKUP(B625, Menu!$A:$F, 5, 0)</f>
        <v>96.22</v>
      </c>
      <c r="F625" t="str">
        <f>VLOOKUP(B625, Menu!$A:$F, 3, 0)</f>
        <v>Hot Meal</v>
      </c>
      <c r="G625" s="5">
        <f>VLOOKUP(A625, Orders!$A:$B, 2, 0)</f>
        <v>45883.280370370368</v>
      </c>
      <c r="H625" t="str">
        <f>VLOOKUP(A625, Orders!$A:$C, 3, 0)</f>
        <v>Plant 2 Canteen</v>
      </c>
    </row>
    <row r="626" spans="1:8" x14ac:dyDescent="0.3">
      <c r="A626" t="s">
        <v>282</v>
      </c>
      <c r="B626" t="s">
        <v>416</v>
      </c>
      <c r="C626">
        <v>1</v>
      </c>
      <c r="D626">
        <f>VLOOKUP(B626, Menu!$A:$F, 6, 0)</f>
        <v>227.61</v>
      </c>
      <c r="E626">
        <f>VLOOKUP(B626, Menu!$A:$F, 5, 0)</f>
        <v>96.22</v>
      </c>
      <c r="F626" t="str">
        <f>VLOOKUP(B626, Menu!$A:$F, 3, 0)</f>
        <v>Hot Meal</v>
      </c>
      <c r="G626" s="5">
        <f>VLOOKUP(A626, Orders!$A:$B, 2, 0)</f>
        <v>45869.59542824074</v>
      </c>
      <c r="H626" t="str">
        <f>VLOOKUP(A626, Orders!$A:$C, 3, 0)</f>
        <v>Plant 2 Canteen</v>
      </c>
    </row>
    <row r="627" spans="1:8" x14ac:dyDescent="0.3">
      <c r="A627" t="s">
        <v>282</v>
      </c>
      <c r="B627" t="s">
        <v>419</v>
      </c>
      <c r="C627">
        <v>1</v>
      </c>
      <c r="D627">
        <f>VLOOKUP(B627, Menu!$A:$F, 6, 0)</f>
        <v>50.19</v>
      </c>
      <c r="E627">
        <f>VLOOKUP(B627, Menu!$A:$F, 5, 0)</f>
        <v>22.61</v>
      </c>
      <c r="F627" t="str">
        <f>VLOOKUP(B627, Menu!$A:$F, 3, 0)</f>
        <v>Snack</v>
      </c>
      <c r="G627" s="5">
        <f>VLOOKUP(A627, Orders!$A:$B, 2, 0)</f>
        <v>45869.59542824074</v>
      </c>
      <c r="H627" t="str">
        <f>VLOOKUP(A627, Orders!$A:$C, 3, 0)</f>
        <v>Plant 2 Canteen</v>
      </c>
    </row>
    <row r="628" spans="1:8" x14ac:dyDescent="0.3">
      <c r="A628" t="s">
        <v>282</v>
      </c>
      <c r="B628" t="s">
        <v>417</v>
      </c>
      <c r="C628">
        <v>2</v>
      </c>
      <c r="D628">
        <f>VLOOKUP(B628, Menu!$A:$F, 6, 0)</f>
        <v>146.4</v>
      </c>
      <c r="E628">
        <f>VLOOKUP(B628, Menu!$A:$F, 5, 0)</f>
        <v>80.92</v>
      </c>
      <c r="F628" t="str">
        <f>VLOOKUP(B628, Menu!$A:$F, 3, 0)</f>
        <v>Hot Meal</v>
      </c>
      <c r="G628" s="5">
        <f>VLOOKUP(A628, Orders!$A:$B, 2, 0)</f>
        <v>45869.59542824074</v>
      </c>
      <c r="H628" t="str">
        <f>VLOOKUP(A628, Orders!$A:$C, 3, 0)</f>
        <v>Plant 2 Canteen</v>
      </c>
    </row>
    <row r="629" spans="1:8" x14ac:dyDescent="0.3">
      <c r="A629" t="s">
        <v>282</v>
      </c>
      <c r="B629" t="s">
        <v>401</v>
      </c>
      <c r="C629">
        <v>1</v>
      </c>
      <c r="D629">
        <f>VLOOKUP(B629, Menu!$A:$F, 6, 0)</f>
        <v>52.45</v>
      </c>
      <c r="E629">
        <f>VLOOKUP(B629, Menu!$A:$F, 5, 0)</f>
        <v>25.8</v>
      </c>
      <c r="F629" t="str">
        <f>VLOOKUP(B629, Menu!$A:$F, 3, 0)</f>
        <v>Snack</v>
      </c>
      <c r="G629" s="5">
        <f>VLOOKUP(A629, Orders!$A:$B, 2, 0)</f>
        <v>45869.59542824074</v>
      </c>
      <c r="H629" t="str">
        <f>VLOOKUP(A629, Orders!$A:$C, 3, 0)</f>
        <v>Plant 2 Canteen</v>
      </c>
    </row>
    <row r="630" spans="1:8" x14ac:dyDescent="0.3">
      <c r="A630" t="s">
        <v>283</v>
      </c>
      <c r="B630" t="s">
        <v>408</v>
      </c>
      <c r="C630">
        <v>3</v>
      </c>
      <c r="D630">
        <f>VLOOKUP(B630, Menu!$A:$F, 6, 0)</f>
        <v>70.540000000000006</v>
      </c>
      <c r="E630">
        <f>VLOOKUP(B630, Menu!$A:$F, 5, 0)</f>
        <v>35.81</v>
      </c>
      <c r="F630" t="str">
        <f>VLOOKUP(B630, Menu!$A:$F, 3, 0)</f>
        <v>Snack</v>
      </c>
      <c r="G630" s="5">
        <f>VLOOKUP(A630, Orders!$A:$B, 2, 0)</f>
        <v>45875.59101851852</v>
      </c>
      <c r="H630" t="str">
        <f>VLOOKUP(A630, Orders!$A:$C, 3, 0)</f>
        <v>Plant 1 Canteen</v>
      </c>
    </row>
    <row r="631" spans="1:8" x14ac:dyDescent="0.3">
      <c r="A631" t="s">
        <v>284</v>
      </c>
      <c r="B631" t="s">
        <v>405</v>
      </c>
      <c r="C631">
        <v>2</v>
      </c>
      <c r="D631">
        <f>VLOOKUP(B631, Menu!$A:$F, 6, 0)</f>
        <v>170.83</v>
      </c>
      <c r="E631">
        <f>VLOOKUP(B631, Menu!$A:$F, 5, 0)</f>
        <v>74.069999999999993</v>
      </c>
      <c r="F631" t="str">
        <f>VLOOKUP(B631, Menu!$A:$F, 3, 0)</f>
        <v>Hot Meal</v>
      </c>
      <c r="G631" s="5">
        <f>VLOOKUP(A631, Orders!$A:$B, 2, 0)</f>
        <v>45848.107037037043</v>
      </c>
      <c r="H631" t="str">
        <f>VLOOKUP(A631, Orders!$A:$C, 3, 0)</f>
        <v>Plant 1 Canteen</v>
      </c>
    </row>
    <row r="632" spans="1:8" x14ac:dyDescent="0.3">
      <c r="A632" t="s">
        <v>284</v>
      </c>
      <c r="B632" t="s">
        <v>407</v>
      </c>
      <c r="C632">
        <v>2</v>
      </c>
      <c r="D632">
        <f>VLOOKUP(B632, Menu!$A:$F, 6, 0)</f>
        <v>246.09</v>
      </c>
      <c r="E632">
        <f>VLOOKUP(B632, Menu!$A:$F, 5, 0)</f>
        <v>112.08</v>
      </c>
      <c r="F632" t="str">
        <f>VLOOKUP(B632, Menu!$A:$F, 3, 0)</f>
        <v>Hot Meal</v>
      </c>
      <c r="G632" s="5">
        <f>VLOOKUP(A632, Orders!$A:$B, 2, 0)</f>
        <v>45848.107037037043</v>
      </c>
      <c r="H632" t="str">
        <f>VLOOKUP(A632, Orders!$A:$C, 3, 0)</f>
        <v>Plant 1 Canteen</v>
      </c>
    </row>
    <row r="633" spans="1:8" x14ac:dyDescent="0.3">
      <c r="A633" t="s">
        <v>285</v>
      </c>
      <c r="B633" t="s">
        <v>418</v>
      </c>
      <c r="C633">
        <v>1</v>
      </c>
      <c r="D633">
        <f>VLOOKUP(B633, Menu!$A:$F, 6, 0)</f>
        <v>39.950000000000003</v>
      </c>
      <c r="E633">
        <f>VLOOKUP(B633, Menu!$A:$F, 5, 0)</f>
        <v>15.51</v>
      </c>
      <c r="F633" t="str">
        <f>VLOOKUP(B633, Menu!$A:$F, 3, 0)</f>
        <v>Snack</v>
      </c>
      <c r="G633" s="5">
        <f>VLOOKUP(A633, Orders!$A:$B, 2, 0)</f>
        <v>45875.43041666667</v>
      </c>
      <c r="H633" t="str">
        <f>VLOOKUP(A633, Orders!$A:$C, 3, 0)</f>
        <v>Plant 1 Canteen</v>
      </c>
    </row>
    <row r="634" spans="1:8" x14ac:dyDescent="0.3">
      <c r="A634" t="s">
        <v>285</v>
      </c>
      <c r="B634" t="s">
        <v>407</v>
      </c>
      <c r="C634">
        <v>1</v>
      </c>
      <c r="D634">
        <f>VLOOKUP(B634, Menu!$A:$F, 6, 0)</f>
        <v>246.09</v>
      </c>
      <c r="E634">
        <f>VLOOKUP(B634, Menu!$A:$F, 5, 0)</f>
        <v>112.08</v>
      </c>
      <c r="F634" t="str">
        <f>VLOOKUP(B634, Menu!$A:$F, 3, 0)</f>
        <v>Hot Meal</v>
      </c>
      <c r="G634" s="5">
        <f>VLOOKUP(A634, Orders!$A:$B, 2, 0)</f>
        <v>45875.43041666667</v>
      </c>
      <c r="H634" t="str">
        <f>VLOOKUP(A634, Orders!$A:$C, 3, 0)</f>
        <v>Plant 1 Canteen</v>
      </c>
    </row>
    <row r="635" spans="1:8" x14ac:dyDescent="0.3">
      <c r="A635" t="s">
        <v>286</v>
      </c>
      <c r="B635" t="s">
        <v>405</v>
      </c>
      <c r="C635">
        <v>2</v>
      </c>
      <c r="D635">
        <f>VLOOKUP(B635, Menu!$A:$F, 6, 0)</f>
        <v>170.83</v>
      </c>
      <c r="E635">
        <f>VLOOKUP(B635, Menu!$A:$F, 5, 0)</f>
        <v>74.069999999999993</v>
      </c>
      <c r="F635" t="str">
        <f>VLOOKUP(B635, Menu!$A:$F, 3, 0)</f>
        <v>Hot Meal</v>
      </c>
      <c r="G635" s="5">
        <f>VLOOKUP(A635, Orders!$A:$B, 2, 0)</f>
        <v>45893.784039351849</v>
      </c>
      <c r="H635" t="str">
        <f>VLOOKUP(A635, Orders!$A:$C, 3, 0)</f>
        <v>Plant 2 Canteen</v>
      </c>
    </row>
    <row r="636" spans="1:8" x14ac:dyDescent="0.3">
      <c r="A636" t="s">
        <v>286</v>
      </c>
      <c r="B636" t="s">
        <v>407</v>
      </c>
      <c r="C636">
        <v>1</v>
      </c>
      <c r="D636">
        <f>VLOOKUP(B636, Menu!$A:$F, 6, 0)</f>
        <v>246.09</v>
      </c>
      <c r="E636">
        <f>VLOOKUP(B636, Menu!$A:$F, 5, 0)</f>
        <v>112.08</v>
      </c>
      <c r="F636" t="str">
        <f>VLOOKUP(B636, Menu!$A:$F, 3, 0)</f>
        <v>Hot Meal</v>
      </c>
      <c r="G636" s="5">
        <f>VLOOKUP(A636, Orders!$A:$B, 2, 0)</f>
        <v>45893.784039351849</v>
      </c>
      <c r="H636" t="str">
        <f>VLOOKUP(A636, Orders!$A:$C, 3, 0)</f>
        <v>Plant 2 Canteen</v>
      </c>
    </row>
    <row r="637" spans="1:8" x14ac:dyDescent="0.3">
      <c r="A637" t="s">
        <v>286</v>
      </c>
      <c r="B637" t="s">
        <v>412</v>
      </c>
      <c r="C637">
        <v>1</v>
      </c>
      <c r="D637">
        <f>VLOOKUP(B637, Menu!$A:$F, 6, 0)</f>
        <v>57.07</v>
      </c>
      <c r="E637">
        <f>VLOOKUP(B637, Menu!$A:$F, 5, 0)</f>
        <v>29.14</v>
      </c>
      <c r="F637" t="str">
        <f>VLOOKUP(B637, Menu!$A:$F, 3, 0)</f>
        <v>Dessert</v>
      </c>
      <c r="G637" s="5">
        <f>VLOOKUP(A637, Orders!$A:$B, 2, 0)</f>
        <v>45893.784039351849</v>
      </c>
      <c r="H637" t="str">
        <f>VLOOKUP(A637, Orders!$A:$C, 3, 0)</f>
        <v>Plant 2 Canteen</v>
      </c>
    </row>
    <row r="638" spans="1:8" x14ac:dyDescent="0.3">
      <c r="A638" t="s">
        <v>287</v>
      </c>
      <c r="B638" t="s">
        <v>410</v>
      </c>
      <c r="C638">
        <v>3</v>
      </c>
      <c r="D638">
        <f>VLOOKUP(B638, Menu!$A:$F, 6, 0)</f>
        <v>20.11</v>
      </c>
      <c r="E638">
        <f>VLOOKUP(B638, Menu!$A:$F, 5, 0)</f>
        <v>8</v>
      </c>
      <c r="F638" t="str">
        <f>VLOOKUP(B638, Menu!$A:$F, 3, 0)</f>
        <v>Beverage</v>
      </c>
      <c r="G638" s="5">
        <f>VLOOKUP(A638, Orders!$A:$B, 2, 0)</f>
        <v>45873.580960648149</v>
      </c>
      <c r="H638" t="str">
        <f>VLOOKUP(A638, Orders!$A:$C, 3, 0)</f>
        <v>Head Office Café</v>
      </c>
    </row>
    <row r="639" spans="1:8" x14ac:dyDescent="0.3">
      <c r="A639" t="s">
        <v>287</v>
      </c>
      <c r="B639" t="s">
        <v>416</v>
      </c>
      <c r="C639">
        <v>2</v>
      </c>
      <c r="D639">
        <f>VLOOKUP(B639, Menu!$A:$F, 6, 0)</f>
        <v>227.61</v>
      </c>
      <c r="E639">
        <f>VLOOKUP(B639, Menu!$A:$F, 5, 0)</f>
        <v>96.22</v>
      </c>
      <c r="F639" t="str">
        <f>VLOOKUP(B639, Menu!$A:$F, 3, 0)</f>
        <v>Hot Meal</v>
      </c>
      <c r="G639" s="5">
        <f>VLOOKUP(A639, Orders!$A:$B, 2, 0)</f>
        <v>45873.580960648149</v>
      </c>
      <c r="H639" t="str">
        <f>VLOOKUP(A639, Orders!$A:$C, 3, 0)</f>
        <v>Head Office Café</v>
      </c>
    </row>
    <row r="640" spans="1:8" x14ac:dyDescent="0.3">
      <c r="A640" t="s">
        <v>287</v>
      </c>
      <c r="B640" t="s">
        <v>412</v>
      </c>
      <c r="C640">
        <v>2</v>
      </c>
      <c r="D640">
        <f>VLOOKUP(B640, Menu!$A:$F, 6, 0)</f>
        <v>57.07</v>
      </c>
      <c r="E640">
        <f>VLOOKUP(B640, Menu!$A:$F, 5, 0)</f>
        <v>29.14</v>
      </c>
      <c r="F640" t="str">
        <f>VLOOKUP(B640, Menu!$A:$F, 3, 0)</f>
        <v>Dessert</v>
      </c>
      <c r="G640" s="5">
        <f>VLOOKUP(A640, Orders!$A:$B, 2, 0)</f>
        <v>45873.580960648149</v>
      </c>
      <c r="H640" t="str">
        <f>VLOOKUP(A640, Orders!$A:$C, 3, 0)</f>
        <v>Head Office Café</v>
      </c>
    </row>
    <row r="641" spans="1:8" x14ac:dyDescent="0.3">
      <c r="A641" t="s">
        <v>287</v>
      </c>
      <c r="B641" t="s">
        <v>407</v>
      </c>
      <c r="C641">
        <v>2</v>
      </c>
      <c r="D641">
        <f>VLOOKUP(B641, Menu!$A:$F, 6, 0)</f>
        <v>246.09</v>
      </c>
      <c r="E641">
        <f>VLOOKUP(B641, Menu!$A:$F, 5, 0)</f>
        <v>112.08</v>
      </c>
      <c r="F641" t="str">
        <f>VLOOKUP(B641, Menu!$A:$F, 3, 0)</f>
        <v>Hot Meal</v>
      </c>
      <c r="G641" s="5">
        <f>VLOOKUP(A641, Orders!$A:$B, 2, 0)</f>
        <v>45873.580960648149</v>
      </c>
      <c r="H641" t="str">
        <f>VLOOKUP(A641, Orders!$A:$C, 3, 0)</f>
        <v>Head Office Café</v>
      </c>
    </row>
    <row r="642" spans="1:8" x14ac:dyDescent="0.3">
      <c r="A642" t="s">
        <v>288</v>
      </c>
      <c r="B642" t="s">
        <v>416</v>
      </c>
      <c r="C642">
        <v>3</v>
      </c>
      <c r="D642">
        <f>VLOOKUP(B642, Menu!$A:$F, 6, 0)</f>
        <v>227.61</v>
      </c>
      <c r="E642">
        <f>VLOOKUP(B642, Menu!$A:$F, 5, 0)</f>
        <v>96.22</v>
      </c>
      <c r="F642" t="str">
        <f>VLOOKUP(B642, Menu!$A:$F, 3, 0)</f>
        <v>Hot Meal</v>
      </c>
      <c r="G642" s="5">
        <f>VLOOKUP(A642, Orders!$A:$B, 2, 0)</f>
        <v>45867.176041666673</v>
      </c>
      <c r="H642" t="str">
        <f>VLOOKUP(A642, Orders!$A:$C, 3, 0)</f>
        <v>Head Office Café</v>
      </c>
    </row>
    <row r="643" spans="1:8" x14ac:dyDescent="0.3">
      <c r="A643" t="s">
        <v>288</v>
      </c>
      <c r="B643" t="s">
        <v>419</v>
      </c>
      <c r="C643">
        <v>1</v>
      </c>
      <c r="D643">
        <f>VLOOKUP(B643, Menu!$A:$F, 6, 0)</f>
        <v>50.19</v>
      </c>
      <c r="E643">
        <f>VLOOKUP(B643, Menu!$A:$F, 5, 0)</f>
        <v>22.61</v>
      </c>
      <c r="F643" t="str">
        <f>VLOOKUP(B643, Menu!$A:$F, 3, 0)</f>
        <v>Snack</v>
      </c>
      <c r="G643" s="5">
        <f>VLOOKUP(A643, Orders!$A:$B, 2, 0)</f>
        <v>45867.176041666673</v>
      </c>
      <c r="H643" t="str">
        <f>VLOOKUP(A643, Orders!$A:$C, 3, 0)</f>
        <v>Head Office Café</v>
      </c>
    </row>
    <row r="644" spans="1:8" x14ac:dyDescent="0.3">
      <c r="A644" t="s">
        <v>288</v>
      </c>
      <c r="B644" t="s">
        <v>417</v>
      </c>
      <c r="C644">
        <v>2</v>
      </c>
      <c r="D644">
        <f>VLOOKUP(B644, Menu!$A:$F, 6, 0)</f>
        <v>146.4</v>
      </c>
      <c r="E644">
        <f>VLOOKUP(B644, Menu!$A:$F, 5, 0)</f>
        <v>80.92</v>
      </c>
      <c r="F644" t="str">
        <f>VLOOKUP(B644, Menu!$A:$F, 3, 0)</f>
        <v>Hot Meal</v>
      </c>
      <c r="G644" s="5">
        <f>VLOOKUP(A644, Orders!$A:$B, 2, 0)</f>
        <v>45867.176041666673</v>
      </c>
      <c r="H644" t="str">
        <f>VLOOKUP(A644, Orders!$A:$C, 3, 0)</f>
        <v>Head Office Café</v>
      </c>
    </row>
    <row r="645" spans="1:8" x14ac:dyDescent="0.3">
      <c r="A645" t="s">
        <v>288</v>
      </c>
      <c r="B645" t="s">
        <v>415</v>
      </c>
      <c r="C645">
        <v>2</v>
      </c>
      <c r="D645">
        <f>VLOOKUP(B645, Menu!$A:$F, 6, 0)</f>
        <v>256.91000000000003</v>
      </c>
      <c r="E645">
        <f>VLOOKUP(B645, Menu!$A:$F, 5, 0)</f>
        <v>121.24</v>
      </c>
      <c r="F645" t="str">
        <f>VLOOKUP(B645, Menu!$A:$F, 3, 0)</f>
        <v>Hot Meal</v>
      </c>
      <c r="G645" s="5">
        <f>VLOOKUP(A645, Orders!$A:$B, 2, 0)</f>
        <v>45867.176041666673</v>
      </c>
      <c r="H645" t="str">
        <f>VLOOKUP(A645, Orders!$A:$C, 3, 0)</f>
        <v>Head Office Café</v>
      </c>
    </row>
    <row r="646" spans="1:8" x14ac:dyDescent="0.3">
      <c r="A646" t="s">
        <v>289</v>
      </c>
      <c r="B646" t="s">
        <v>406</v>
      </c>
      <c r="C646">
        <v>2</v>
      </c>
      <c r="D646">
        <f>VLOOKUP(B646, Menu!$A:$F, 6, 0)</f>
        <v>38.06</v>
      </c>
      <c r="E646">
        <f>VLOOKUP(B646, Menu!$A:$F, 5, 0)</f>
        <v>19.55</v>
      </c>
      <c r="F646" t="str">
        <f>VLOOKUP(B646, Menu!$A:$F, 3, 0)</f>
        <v>Snack</v>
      </c>
      <c r="G646" s="5">
        <f>VLOOKUP(A646, Orders!$A:$B, 2, 0)</f>
        <v>45895.360312500001</v>
      </c>
      <c r="H646" t="str">
        <f>VLOOKUP(A646, Orders!$A:$C, 3, 0)</f>
        <v>Head Office Café</v>
      </c>
    </row>
    <row r="647" spans="1:8" x14ac:dyDescent="0.3">
      <c r="A647" t="s">
        <v>289</v>
      </c>
      <c r="B647" t="s">
        <v>415</v>
      </c>
      <c r="C647">
        <v>1</v>
      </c>
      <c r="D647">
        <f>VLOOKUP(B647, Menu!$A:$F, 6, 0)</f>
        <v>256.91000000000003</v>
      </c>
      <c r="E647">
        <f>VLOOKUP(B647, Menu!$A:$F, 5, 0)</f>
        <v>121.24</v>
      </c>
      <c r="F647" t="str">
        <f>VLOOKUP(B647, Menu!$A:$F, 3, 0)</f>
        <v>Hot Meal</v>
      </c>
      <c r="G647" s="5">
        <f>VLOOKUP(A647, Orders!$A:$B, 2, 0)</f>
        <v>45895.360312500001</v>
      </c>
      <c r="H647" t="str">
        <f>VLOOKUP(A647, Orders!$A:$C, 3, 0)</f>
        <v>Head Office Café</v>
      </c>
    </row>
    <row r="648" spans="1:8" x14ac:dyDescent="0.3">
      <c r="A648" t="s">
        <v>289</v>
      </c>
      <c r="B648" t="s">
        <v>416</v>
      </c>
      <c r="C648">
        <v>3</v>
      </c>
      <c r="D648">
        <f>VLOOKUP(B648, Menu!$A:$F, 6, 0)</f>
        <v>227.61</v>
      </c>
      <c r="E648">
        <f>VLOOKUP(B648, Menu!$A:$F, 5, 0)</f>
        <v>96.22</v>
      </c>
      <c r="F648" t="str">
        <f>VLOOKUP(B648, Menu!$A:$F, 3, 0)</f>
        <v>Hot Meal</v>
      </c>
      <c r="G648" s="5">
        <f>VLOOKUP(A648, Orders!$A:$B, 2, 0)</f>
        <v>45895.360312500001</v>
      </c>
      <c r="H648" t="str">
        <f>VLOOKUP(A648, Orders!$A:$C, 3, 0)</f>
        <v>Head Office Café</v>
      </c>
    </row>
    <row r="649" spans="1:8" x14ac:dyDescent="0.3">
      <c r="A649" t="s">
        <v>290</v>
      </c>
      <c r="B649" t="s">
        <v>416</v>
      </c>
      <c r="C649">
        <v>1</v>
      </c>
      <c r="D649">
        <f>VLOOKUP(B649, Menu!$A:$F, 6, 0)</f>
        <v>227.61</v>
      </c>
      <c r="E649">
        <f>VLOOKUP(B649, Menu!$A:$F, 5, 0)</f>
        <v>96.22</v>
      </c>
      <c r="F649" t="str">
        <f>VLOOKUP(B649, Menu!$A:$F, 3, 0)</f>
        <v>Hot Meal</v>
      </c>
      <c r="G649" s="5">
        <f>VLOOKUP(A649, Orders!$A:$B, 2, 0)</f>
        <v>45861.022013888891</v>
      </c>
      <c r="H649" t="str">
        <f>VLOOKUP(A649, Orders!$A:$C, 3, 0)</f>
        <v>Plant 1 Canteen</v>
      </c>
    </row>
    <row r="650" spans="1:8" x14ac:dyDescent="0.3">
      <c r="A650" t="s">
        <v>290</v>
      </c>
      <c r="B650" t="s">
        <v>401</v>
      </c>
      <c r="C650">
        <v>1</v>
      </c>
      <c r="D650">
        <f>VLOOKUP(B650, Menu!$A:$F, 6, 0)</f>
        <v>52.45</v>
      </c>
      <c r="E650">
        <f>VLOOKUP(B650, Menu!$A:$F, 5, 0)</f>
        <v>25.8</v>
      </c>
      <c r="F650" t="str">
        <f>VLOOKUP(B650, Menu!$A:$F, 3, 0)</f>
        <v>Snack</v>
      </c>
      <c r="G650" s="5">
        <f>VLOOKUP(A650, Orders!$A:$B, 2, 0)</f>
        <v>45861.022013888891</v>
      </c>
      <c r="H650" t="str">
        <f>VLOOKUP(A650, Orders!$A:$C, 3, 0)</f>
        <v>Plant 1 Canteen</v>
      </c>
    </row>
    <row r="651" spans="1:8" x14ac:dyDescent="0.3">
      <c r="A651" t="s">
        <v>291</v>
      </c>
      <c r="B651" t="s">
        <v>408</v>
      </c>
      <c r="C651">
        <v>2</v>
      </c>
      <c r="D651">
        <f>VLOOKUP(B651, Menu!$A:$F, 6, 0)</f>
        <v>70.540000000000006</v>
      </c>
      <c r="E651">
        <f>VLOOKUP(B651, Menu!$A:$F, 5, 0)</f>
        <v>35.81</v>
      </c>
      <c r="F651" t="str">
        <f>VLOOKUP(B651, Menu!$A:$F, 3, 0)</f>
        <v>Snack</v>
      </c>
      <c r="G651" s="5">
        <f>VLOOKUP(A651, Orders!$A:$B, 2, 0)</f>
        <v>45850.404247685183</v>
      </c>
      <c r="H651" t="str">
        <f>VLOOKUP(A651, Orders!$A:$C, 3, 0)</f>
        <v>Plant 2 Canteen</v>
      </c>
    </row>
    <row r="652" spans="1:8" x14ac:dyDescent="0.3">
      <c r="A652" t="s">
        <v>291</v>
      </c>
      <c r="B652" t="s">
        <v>406</v>
      </c>
      <c r="C652">
        <v>2</v>
      </c>
      <c r="D652">
        <f>VLOOKUP(B652, Menu!$A:$F, 6, 0)</f>
        <v>38.06</v>
      </c>
      <c r="E652">
        <f>VLOOKUP(B652, Menu!$A:$F, 5, 0)</f>
        <v>19.55</v>
      </c>
      <c r="F652" t="str">
        <f>VLOOKUP(B652, Menu!$A:$F, 3, 0)</f>
        <v>Snack</v>
      </c>
      <c r="G652" s="5">
        <f>VLOOKUP(A652, Orders!$A:$B, 2, 0)</f>
        <v>45850.404247685183</v>
      </c>
      <c r="H652" t="str">
        <f>VLOOKUP(A652, Orders!$A:$C, 3, 0)</f>
        <v>Plant 2 Canteen</v>
      </c>
    </row>
    <row r="653" spans="1:8" x14ac:dyDescent="0.3">
      <c r="A653" t="s">
        <v>291</v>
      </c>
      <c r="B653" t="s">
        <v>411</v>
      </c>
      <c r="C653">
        <v>2</v>
      </c>
      <c r="D653">
        <f>VLOOKUP(B653, Menu!$A:$F, 6, 0)</f>
        <v>22.2</v>
      </c>
      <c r="E653">
        <f>VLOOKUP(B653, Menu!$A:$F, 5, 0)</f>
        <v>9.3800000000000008</v>
      </c>
      <c r="F653" t="str">
        <f>VLOOKUP(B653, Menu!$A:$F, 3, 0)</f>
        <v>Beverage</v>
      </c>
      <c r="G653" s="5">
        <f>VLOOKUP(A653, Orders!$A:$B, 2, 0)</f>
        <v>45850.404247685183</v>
      </c>
      <c r="H653" t="str">
        <f>VLOOKUP(A653, Orders!$A:$C, 3, 0)</f>
        <v>Plant 2 Canteen</v>
      </c>
    </row>
    <row r="654" spans="1:8" x14ac:dyDescent="0.3">
      <c r="A654" t="s">
        <v>291</v>
      </c>
      <c r="B654" t="s">
        <v>416</v>
      </c>
      <c r="C654">
        <v>1</v>
      </c>
      <c r="D654">
        <f>VLOOKUP(B654, Menu!$A:$F, 6, 0)</f>
        <v>227.61</v>
      </c>
      <c r="E654">
        <f>VLOOKUP(B654, Menu!$A:$F, 5, 0)</f>
        <v>96.22</v>
      </c>
      <c r="F654" t="str">
        <f>VLOOKUP(B654, Menu!$A:$F, 3, 0)</f>
        <v>Hot Meal</v>
      </c>
      <c r="G654" s="5">
        <f>VLOOKUP(A654, Orders!$A:$B, 2, 0)</f>
        <v>45850.404247685183</v>
      </c>
      <c r="H654" t="str">
        <f>VLOOKUP(A654, Orders!$A:$C, 3, 0)</f>
        <v>Plant 2 Canteen</v>
      </c>
    </row>
    <row r="655" spans="1:8" x14ac:dyDescent="0.3">
      <c r="A655" t="s">
        <v>292</v>
      </c>
      <c r="B655" t="s">
        <v>418</v>
      </c>
      <c r="C655">
        <v>2</v>
      </c>
      <c r="D655">
        <f>VLOOKUP(B655, Menu!$A:$F, 6, 0)</f>
        <v>39.950000000000003</v>
      </c>
      <c r="E655">
        <f>VLOOKUP(B655, Menu!$A:$F, 5, 0)</f>
        <v>15.51</v>
      </c>
      <c r="F655" t="str">
        <f>VLOOKUP(B655, Menu!$A:$F, 3, 0)</f>
        <v>Snack</v>
      </c>
      <c r="G655" s="5">
        <f>VLOOKUP(A655, Orders!$A:$B, 2, 0)</f>
        <v>45893.714363425926</v>
      </c>
      <c r="H655" t="str">
        <f>VLOOKUP(A655, Orders!$A:$C, 3, 0)</f>
        <v>Head Office Café</v>
      </c>
    </row>
    <row r="656" spans="1:8" x14ac:dyDescent="0.3">
      <c r="A656" t="s">
        <v>292</v>
      </c>
      <c r="B656" t="s">
        <v>416</v>
      </c>
      <c r="C656">
        <v>1</v>
      </c>
      <c r="D656">
        <f>VLOOKUP(B656, Menu!$A:$F, 6, 0)</f>
        <v>227.61</v>
      </c>
      <c r="E656">
        <f>VLOOKUP(B656, Menu!$A:$F, 5, 0)</f>
        <v>96.22</v>
      </c>
      <c r="F656" t="str">
        <f>VLOOKUP(B656, Menu!$A:$F, 3, 0)</f>
        <v>Hot Meal</v>
      </c>
      <c r="G656" s="5">
        <f>VLOOKUP(A656, Orders!$A:$B, 2, 0)</f>
        <v>45893.714363425926</v>
      </c>
      <c r="H656" t="str">
        <f>VLOOKUP(A656, Orders!$A:$C, 3, 0)</f>
        <v>Head Office Café</v>
      </c>
    </row>
    <row r="657" spans="1:8" x14ac:dyDescent="0.3">
      <c r="A657" t="s">
        <v>292</v>
      </c>
      <c r="B657" t="s">
        <v>415</v>
      </c>
      <c r="C657">
        <v>1</v>
      </c>
      <c r="D657">
        <f>VLOOKUP(B657, Menu!$A:$F, 6, 0)</f>
        <v>256.91000000000003</v>
      </c>
      <c r="E657">
        <f>VLOOKUP(B657, Menu!$A:$F, 5, 0)</f>
        <v>121.24</v>
      </c>
      <c r="F657" t="str">
        <f>VLOOKUP(B657, Menu!$A:$F, 3, 0)</f>
        <v>Hot Meal</v>
      </c>
      <c r="G657" s="5">
        <f>VLOOKUP(A657, Orders!$A:$B, 2, 0)</f>
        <v>45893.714363425926</v>
      </c>
      <c r="H657" t="str">
        <f>VLOOKUP(A657, Orders!$A:$C, 3, 0)</f>
        <v>Head Office Café</v>
      </c>
    </row>
    <row r="658" spans="1:8" x14ac:dyDescent="0.3">
      <c r="A658" t="s">
        <v>293</v>
      </c>
      <c r="B658" t="s">
        <v>411</v>
      </c>
      <c r="C658">
        <v>1</v>
      </c>
      <c r="D658">
        <f>VLOOKUP(B658, Menu!$A:$F, 6, 0)</f>
        <v>22.2</v>
      </c>
      <c r="E658">
        <f>VLOOKUP(B658, Menu!$A:$F, 5, 0)</f>
        <v>9.3800000000000008</v>
      </c>
      <c r="F658" t="str">
        <f>VLOOKUP(B658, Menu!$A:$F, 3, 0)</f>
        <v>Beverage</v>
      </c>
      <c r="G658" s="5">
        <f>VLOOKUP(A658, Orders!$A:$B, 2, 0)</f>
        <v>45841.798993055563</v>
      </c>
      <c r="H658" t="str">
        <f>VLOOKUP(A658, Orders!$A:$C, 3, 0)</f>
        <v>Head Office Café</v>
      </c>
    </row>
    <row r="659" spans="1:8" x14ac:dyDescent="0.3">
      <c r="A659" t="s">
        <v>293</v>
      </c>
      <c r="B659" t="s">
        <v>401</v>
      </c>
      <c r="C659">
        <v>1</v>
      </c>
      <c r="D659">
        <f>VLOOKUP(B659, Menu!$A:$F, 6, 0)</f>
        <v>52.45</v>
      </c>
      <c r="E659">
        <f>VLOOKUP(B659, Menu!$A:$F, 5, 0)</f>
        <v>25.8</v>
      </c>
      <c r="F659" t="str">
        <f>VLOOKUP(B659, Menu!$A:$F, 3, 0)</f>
        <v>Snack</v>
      </c>
      <c r="G659" s="5">
        <f>VLOOKUP(A659, Orders!$A:$B, 2, 0)</f>
        <v>45841.798993055563</v>
      </c>
      <c r="H659" t="str">
        <f>VLOOKUP(A659, Orders!$A:$C, 3, 0)</f>
        <v>Head Office Café</v>
      </c>
    </row>
    <row r="660" spans="1:8" x14ac:dyDescent="0.3">
      <c r="A660" t="s">
        <v>293</v>
      </c>
      <c r="B660" t="s">
        <v>417</v>
      </c>
      <c r="C660">
        <v>2</v>
      </c>
      <c r="D660">
        <f>VLOOKUP(B660, Menu!$A:$F, 6, 0)</f>
        <v>146.4</v>
      </c>
      <c r="E660">
        <f>VLOOKUP(B660, Menu!$A:$F, 5, 0)</f>
        <v>80.92</v>
      </c>
      <c r="F660" t="str">
        <f>VLOOKUP(B660, Menu!$A:$F, 3, 0)</f>
        <v>Hot Meal</v>
      </c>
      <c r="G660" s="5">
        <f>VLOOKUP(A660, Orders!$A:$B, 2, 0)</f>
        <v>45841.798993055563</v>
      </c>
      <c r="H660" t="str">
        <f>VLOOKUP(A660, Orders!$A:$C, 3, 0)</f>
        <v>Head Office Café</v>
      </c>
    </row>
    <row r="661" spans="1:8" x14ac:dyDescent="0.3">
      <c r="A661" t="s">
        <v>294</v>
      </c>
      <c r="B661" t="s">
        <v>412</v>
      </c>
      <c r="C661">
        <v>1</v>
      </c>
      <c r="D661">
        <f>VLOOKUP(B661, Menu!$A:$F, 6, 0)</f>
        <v>57.07</v>
      </c>
      <c r="E661">
        <f>VLOOKUP(B661, Menu!$A:$F, 5, 0)</f>
        <v>29.14</v>
      </c>
      <c r="F661" t="str">
        <f>VLOOKUP(B661, Menu!$A:$F, 3, 0)</f>
        <v>Dessert</v>
      </c>
      <c r="G661" s="5">
        <f>VLOOKUP(A661, Orders!$A:$B, 2, 0)</f>
        <v>45842.061064814807</v>
      </c>
      <c r="H661" t="str">
        <f>VLOOKUP(A661, Orders!$A:$C, 3, 0)</f>
        <v>Plant 1 Canteen</v>
      </c>
    </row>
    <row r="662" spans="1:8" x14ac:dyDescent="0.3">
      <c r="A662" t="s">
        <v>294</v>
      </c>
      <c r="B662" t="s">
        <v>419</v>
      </c>
      <c r="C662">
        <v>1</v>
      </c>
      <c r="D662">
        <f>VLOOKUP(B662, Menu!$A:$F, 6, 0)</f>
        <v>50.19</v>
      </c>
      <c r="E662">
        <f>VLOOKUP(B662, Menu!$A:$F, 5, 0)</f>
        <v>22.61</v>
      </c>
      <c r="F662" t="str">
        <f>VLOOKUP(B662, Menu!$A:$F, 3, 0)</f>
        <v>Snack</v>
      </c>
      <c r="G662" s="5">
        <f>VLOOKUP(A662, Orders!$A:$B, 2, 0)</f>
        <v>45842.061064814807</v>
      </c>
      <c r="H662" t="str">
        <f>VLOOKUP(A662, Orders!$A:$C, 3, 0)</f>
        <v>Plant 1 Canteen</v>
      </c>
    </row>
    <row r="663" spans="1:8" x14ac:dyDescent="0.3">
      <c r="A663" t="s">
        <v>294</v>
      </c>
      <c r="B663" t="s">
        <v>411</v>
      </c>
      <c r="C663">
        <v>3</v>
      </c>
      <c r="D663">
        <f>VLOOKUP(B663, Menu!$A:$F, 6, 0)</f>
        <v>22.2</v>
      </c>
      <c r="E663">
        <f>VLOOKUP(B663, Menu!$A:$F, 5, 0)</f>
        <v>9.3800000000000008</v>
      </c>
      <c r="F663" t="str">
        <f>VLOOKUP(B663, Menu!$A:$F, 3, 0)</f>
        <v>Beverage</v>
      </c>
      <c r="G663" s="5">
        <f>VLOOKUP(A663, Orders!$A:$B, 2, 0)</f>
        <v>45842.061064814807</v>
      </c>
      <c r="H663" t="str">
        <f>VLOOKUP(A663, Orders!$A:$C, 3, 0)</f>
        <v>Plant 1 Canteen</v>
      </c>
    </row>
    <row r="664" spans="1:8" x14ac:dyDescent="0.3">
      <c r="A664" t="s">
        <v>295</v>
      </c>
      <c r="B664" t="s">
        <v>404</v>
      </c>
      <c r="C664">
        <v>2</v>
      </c>
      <c r="D664">
        <f>VLOOKUP(B664, Menu!$A:$F, 6, 0)</f>
        <v>32.979999999999997</v>
      </c>
      <c r="E664">
        <f>VLOOKUP(B664, Menu!$A:$F, 5, 0)</f>
        <v>11.84</v>
      </c>
      <c r="F664" t="str">
        <f>VLOOKUP(B664, Menu!$A:$F, 3, 0)</f>
        <v>Beverage</v>
      </c>
      <c r="G664" s="5">
        <f>VLOOKUP(A664, Orders!$A:$B, 2, 0)</f>
        <v>45872.243692129632</v>
      </c>
      <c r="H664" t="str">
        <f>VLOOKUP(A664, Orders!$A:$C, 3, 0)</f>
        <v>Plant 2 Canteen</v>
      </c>
    </row>
    <row r="665" spans="1:8" x14ac:dyDescent="0.3">
      <c r="A665" t="s">
        <v>295</v>
      </c>
      <c r="B665" t="s">
        <v>408</v>
      </c>
      <c r="C665">
        <v>3</v>
      </c>
      <c r="D665">
        <f>VLOOKUP(B665, Menu!$A:$F, 6, 0)</f>
        <v>70.540000000000006</v>
      </c>
      <c r="E665">
        <f>VLOOKUP(B665, Menu!$A:$F, 5, 0)</f>
        <v>35.81</v>
      </c>
      <c r="F665" t="str">
        <f>VLOOKUP(B665, Menu!$A:$F, 3, 0)</f>
        <v>Snack</v>
      </c>
      <c r="G665" s="5">
        <f>VLOOKUP(A665, Orders!$A:$B, 2, 0)</f>
        <v>45872.243692129632</v>
      </c>
      <c r="H665" t="str">
        <f>VLOOKUP(A665, Orders!$A:$C, 3, 0)</f>
        <v>Plant 2 Canteen</v>
      </c>
    </row>
    <row r="666" spans="1:8" x14ac:dyDescent="0.3">
      <c r="A666" t="s">
        <v>295</v>
      </c>
      <c r="B666" t="s">
        <v>409</v>
      </c>
      <c r="C666">
        <v>1</v>
      </c>
      <c r="D666">
        <f>VLOOKUP(B666, Menu!$A:$F, 6, 0)</f>
        <v>28.43</v>
      </c>
      <c r="E666">
        <f>VLOOKUP(B666, Menu!$A:$F, 5, 0)</f>
        <v>13.89</v>
      </c>
      <c r="F666" t="str">
        <f>VLOOKUP(B666, Menu!$A:$F, 3, 0)</f>
        <v>Beverage</v>
      </c>
      <c r="G666" s="5">
        <f>VLOOKUP(A666, Orders!$A:$B, 2, 0)</f>
        <v>45872.243692129632</v>
      </c>
      <c r="H666" t="str">
        <f>VLOOKUP(A666, Orders!$A:$C, 3, 0)</f>
        <v>Plant 2 Canteen</v>
      </c>
    </row>
    <row r="667" spans="1:8" x14ac:dyDescent="0.3">
      <c r="A667" t="s">
        <v>295</v>
      </c>
      <c r="B667" t="s">
        <v>417</v>
      </c>
      <c r="C667">
        <v>2</v>
      </c>
      <c r="D667">
        <f>VLOOKUP(B667, Menu!$A:$F, 6, 0)</f>
        <v>146.4</v>
      </c>
      <c r="E667">
        <f>VLOOKUP(B667, Menu!$A:$F, 5, 0)</f>
        <v>80.92</v>
      </c>
      <c r="F667" t="str">
        <f>VLOOKUP(B667, Menu!$A:$F, 3, 0)</f>
        <v>Hot Meal</v>
      </c>
      <c r="G667" s="5">
        <f>VLOOKUP(A667, Orders!$A:$B, 2, 0)</f>
        <v>45872.243692129632</v>
      </c>
      <c r="H667" t="str">
        <f>VLOOKUP(A667, Orders!$A:$C, 3, 0)</f>
        <v>Plant 2 Canteen</v>
      </c>
    </row>
    <row r="668" spans="1:8" x14ac:dyDescent="0.3">
      <c r="A668" t="s">
        <v>296</v>
      </c>
      <c r="B668" t="s">
        <v>407</v>
      </c>
      <c r="C668">
        <v>1</v>
      </c>
      <c r="D668">
        <f>VLOOKUP(B668, Menu!$A:$F, 6, 0)</f>
        <v>246.09</v>
      </c>
      <c r="E668">
        <f>VLOOKUP(B668, Menu!$A:$F, 5, 0)</f>
        <v>112.08</v>
      </c>
      <c r="F668" t="str">
        <f>VLOOKUP(B668, Menu!$A:$F, 3, 0)</f>
        <v>Hot Meal</v>
      </c>
      <c r="G668" s="5">
        <f>VLOOKUP(A668, Orders!$A:$B, 2, 0)</f>
        <v>45894.234317129631</v>
      </c>
      <c r="H668" t="str">
        <f>VLOOKUP(A668, Orders!$A:$C, 3, 0)</f>
        <v>Head Office Café</v>
      </c>
    </row>
    <row r="669" spans="1:8" x14ac:dyDescent="0.3">
      <c r="A669" t="s">
        <v>296</v>
      </c>
      <c r="B669" t="s">
        <v>408</v>
      </c>
      <c r="C669">
        <v>2</v>
      </c>
      <c r="D669">
        <f>VLOOKUP(B669, Menu!$A:$F, 6, 0)</f>
        <v>70.540000000000006</v>
      </c>
      <c r="E669">
        <f>VLOOKUP(B669, Menu!$A:$F, 5, 0)</f>
        <v>35.81</v>
      </c>
      <c r="F669" t="str">
        <f>VLOOKUP(B669, Menu!$A:$F, 3, 0)</f>
        <v>Snack</v>
      </c>
      <c r="G669" s="5">
        <f>VLOOKUP(A669, Orders!$A:$B, 2, 0)</f>
        <v>45894.234317129631</v>
      </c>
      <c r="H669" t="str">
        <f>VLOOKUP(A669, Orders!$A:$C, 3, 0)</f>
        <v>Head Office Café</v>
      </c>
    </row>
    <row r="670" spans="1:8" x14ac:dyDescent="0.3">
      <c r="A670" t="s">
        <v>297</v>
      </c>
      <c r="B670" t="s">
        <v>416</v>
      </c>
      <c r="C670">
        <v>1</v>
      </c>
      <c r="D670">
        <f>VLOOKUP(B670, Menu!$A:$F, 6, 0)</f>
        <v>227.61</v>
      </c>
      <c r="E670">
        <f>VLOOKUP(B670, Menu!$A:$F, 5, 0)</f>
        <v>96.22</v>
      </c>
      <c r="F670" t="str">
        <f>VLOOKUP(B670, Menu!$A:$F, 3, 0)</f>
        <v>Hot Meal</v>
      </c>
      <c r="G670" s="5">
        <f>VLOOKUP(A670, Orders!$A:$B, 2, 0)</f>
        <v>45842.226504629631</v>
      </c>
      <c r="H670" t="str">
        <f>VLOOKUP(A670, Orders!$A:$C, 3, 0)</f>
        <v>Plant 1 Canteen</v>
      </c>
    </row>
    <row r="671" spans="1:8" x14ac:dyDescent="0.3">
      <c r="A671" t="s">
        <v>297</v>
      </c>
      <c r="B671" t="s">
        <v>417</v>
      </c>
      <c r="C671">
        <v>2</v>
      </c>
      <c r="D671">
        <f>VLOOKUP(B671, Menu!$A:$F, 6, 0)</f>
        <v>146.4</v>
      </c>
      <c r="E671">
        <f>VLOOKUP(B671, Menu!$A:$F, 5, 0)</f>
        <v>80.92</v>
      </c>
      <c r="F671" t="str">
        <f>VLOOKUP(B671, Menu!$A:$F, 3, 0)</f>
        <v>Hot Meal</v>
      </c>
      <c r="G671" s="5">
        <f>VLOOKUP(A671, Orders!$A:$B, 2, 0)</f>
        <v>45842.226504629631</v>
      </c>
      <c r="H671" t="str">
        <f>VLOOKUP(A671, Orders!$A:$C, 3, 0)</f>
        <v>Plant 1 Canteen</v>
      </c>
    </row>
    <row r="672" spans="1:8" x14ac:dyDescent="0.3">
      <c r="A672" t="s">
        <v>298</v>
      </c>
      <c r="B672" t="s">
        <v>409</v>
      </c>
      <c r="C672">
        <v>2</v>
      </c>
      <c r="D672">
        <f>VLOOKUP(B672, Menu!$A:$F, 6, 0)</f>
        <v>28.43</v>
      </c>
      <c r="E672">
        <f>VLOOKUP(B672, Menu!$A:$F, 5, 0)</f>
        <v>13.89</v>
      </c>
      <c r="F672" t="str">
        <f>VLOOKUP(B672, Menu!$A:$F, 3, 0)</f>
        <v>Beverage</v>
      </c>
      <c r="G672" s="5">
        <f>VLOOKUP(A672, Orders!$A:$B, 2, 0)</f>
        <v>45875.77484953704</v>
      </c>
      <c r="H672" t="str">
        <f>VLOOKUP(A672, Orders!$A:$C, 3, 0)</f>
        <v>Plant 2 Canteen</v>
      </c>
    </row>
    <row r="673" spans="1:8" x14ac:dyDescent="0.3">
      <c r="A673" t="s">
        <v>298</v>
      </c>
      <c r="B673" t="s">
        <v>401</v>
      </c>
      <c r="C673">
        <v>1</v>
      </c>
      <c r="D673">
        <f>VLOOKUP(B673, Menu!$A:$F, 6, 0)</f>
        <v>52.45</v>
      </c>
      <c r="E673">
        <f>VLOOKUP(B673, Menu!$A:$F, 5, 0)</f>
        <v>25.8</v>
      </c>
      <c r="F673" t="str">
        <f>VLOOKUP(B673, Menu!$A:$F, 3, 0)</f>
        <v>Snack</v>
      </c>
      <c r="G673" s="5">
        <f>VLOOKUP(A673, Orders!$A:$B, 2, 0)</f>
        <v>45875.77484953704</v>
      </c>
      <c r="H673" t="str">
        <f>VLOOKUP(A673, Orders!$A:$C, 3, 0)</f>
        <v>Plant 2 Canteen</v>
      </c>
    </row>
    <row r="674" spans="1:8" x14ac:dyDescent="0.3">
      <c r="A674" t="s">
        <v>298</v>
      </c>
      <c r="B674" t="s">
        <v>417</v>
      </c>
      <c r="C674">
        <v>1</v>
      </c>
      <c r="D674">
        <f>VLOOKUP(B674, Menu!$A:$F, 6, 0)</f>
        <v>146.4</v>
      </c>
      <c r="E674">
        <f>VLOOKUP(B674, Menu!$A:$F, 5, 0)</f>
        <v>80.92</v>
      </c>
      <c r="F674" t="str">
        <f>VLOOKUP(B674, Menu!$A:$F, 3, 0)</f>
        <v>Hot Meal</v>
      </c>
      <c r="G674" s="5">
        <f>VLOOKUP(A674, Orders!$A:$B, 2, 0)</f>
        <v>45875.77484953704</v>
      </c>
      <c r="H674" t="str">
        <f>VLOOKUP(A674, Orders!$A:$C, 3, 0)</f>
        <v>Plant 2 Canteen</v>
      </c>
    </row>
    <row r="675" spans="1:8" x14ac:dyDescent="0.3">
      <c r="A675" t="s">
        <v>299</v>
      </c>
      <c r="B675" t="s">
        <v>403</v>
      </c>
      <c r="C675">
        <v>2</v>
      </c>
      <c r="D675">
        <f>VLOOKUP(B675, Menu!$A:$F, 6, 0)</f>
        <v>76.55</v>
      </c>
      <c r="E675">
        <f>VLOOKUP(B675, Menu!$A:$F, 5, 0)</f>
        <v>38.229999999999997</v>
      </c>
      <c r="F675" t="str">
        <f>VLOOKUP(B675, Menu!$A:$F, 3, 0)</f>
        <v>Dessert</v>
      </c>
      <c r="G675" s="5">
        <f>VLOOKUP(A675, Orders!$A:$B, 2, 0)</f>
        <v>45875.178587962961</v>
      </c>
      <c r="H675" t="str">
        <f>VLOOKUP(A675, Orders!$A:$C, 3, 0)</f>
        <v>Plant 2 Canteen</v>
      </c>
    </row>
    <row r="676" spans="1:8" x14ac:dyDescent="0.3">
      <c r="A676" t="s">
        <v>299</v>
      </c>
      <c r="B676" t="s">
        <v>413</v>
      </c>
      <c r="C676">
        <v>1</v>
      </c>
      <c r="D676">
        <f>VLOOKUP(B676, Menu!$A:$F, 6, 0)</f>
        <v>54.2</v>
      </c>
      <c r="E676">
        <f>VLOOKUP(B676, Menu!$A:$F, 5, 0)</f>
        <v>21.95</v>
      </c>
      <c r="F676" t="str">
        <f>VLOOKUP(B676, Menu!$A:$F, 3, 0)</f>
        <v>Dessert</v>
      </c>
      <c r="G676" s="5">
        <f>VLOOKUP(A676, Orders!$A:$B, 2, 0)</f>
        <v>45875.178587962961</v>
      </c>
      <c r="H676" t="str">
        <f>VLOOKUP(A676, Orders!$A:$C, 3, 0)</f>
        <v>Plant 2 Canteen</v>
      </c>
    </row>
    <row r="677" spans="1:8" x14ac:dyDescent="0.3">
      <c r="A677" t="s">
        <v>299</v>
      </c>
      <c r="B677" t="s">
        <v>415</v>
      </c>
      <c r="C677">
        <v>2</v>
      </c>
      <c r="D677">
        <f>VLOOKUP(B677, Menu!$A:$F, 6, 0)</f>
        <v>256.91000000000003</v>
      </c>
      <c r="E677">
        <f>VLOOKUP(B677, Menu!$A:$F, 5, 0)</f>
        <v>121.24</v>
      </c>
      <c r="F677" t="str">
        <f>VLOOKUP(B677, Menu!$A:$F, 3, 0)</f>
        <v>Hot Meal</v>
      </c>
      <c r="G677" s="5">
        <f>VLOOKUP(A677, Orders!$A:$B, 2, 0)</f>
        <v>45875.178587962961</v>
      </c>
      <c r="H677" t="str">
        <f>VLOOKUP(A677, Orders!$A:$C, 3, 0)</f>
        <v>Plant 2 Canteen</v>
      </c>
    </row>
    <row r="678" spans="1:8" x14ac:dyDescent="0.3">
      <c r="A678" t="s">
        <v>300</v>
      </c>
      <c r="B678" t="s">
        <v>415</v>
      </c>
      <c r="C678">
        <v>1</v>
      </c>
      <c r="D678">
        <f>VLOOKUP(B678, Menu!$A:$F, 6, 0)</f>
        <v>256.91000000000003</v>
      </c>
      <c r="E678">
        <f>VLOOKUP(B678, Menu!$A:$F, 5, 0)</f>
        <v>121.24</v>
      </c>
      <c r="F678" t="str">
        <f>VLOOKUP(B678, Menu!$A:$F, 3, 0)</f>
        <v>Hot Meal</v>
      </c>
      <c r="G678" s="5">
        <f>VLOOKUP(A678, Orders!$A:$B, 2, 0)</f>
        <v>45844.357800925929</v>
      </c>
      <c r="H678" t="str">
        <f>VLOOKUP(A678, Orders!$A:$C, 3, 0)</f>
        <v>Plant 1 Canteen</v>
      </c>
    </row>
    <row r="679" spans="1:8" x14ac:dyDescent="0.3">
      <c r="A679" t="s">
        <v>300</v>
      </c>
      <c r="B679" t="s">
        <v>403</v>
      </c>
      <c r="C679">
        <v>2</v>
      </c>
      <c r="D679">
        <f>VLOOKUP(B679, Menu!$A:$F, 6, 0)</f>
        <v>76.55</v>
      </c>
      <c r="E679">
        <f>VLOOKUP(B679, Menu!$A:$F, 5, 0)</f>
        <v>38.229999999999997</v>
      </c>
      <c r="F679" t="str">
        <f>VLOOKUP(B679, Menu!$A:$F, 3, 0)</f>
        <v>Dessert</v>
      </c>
      <c r="G679" s="5">
        <f>VLOOKUP(A679, Orders!$A:$B, 2, 0)</f>
        <v>45844.357800925929</v>
      </c>
      <c r="H679" t="str">
        <f>VLOOKUP(A679, Orders!$A:$C, 3, 0)</f>
        <v>Plant 1 Canteen</v>
      </c>
    </row>
    <row r="680" spans="1:8" x14ac:dyDescent="0.3">
      <c r="A680" t="s">
        <v>301</v>
      </c>
      <c r="B680" t="s">
        <v>409</v>
      </c>
      <c r="C680">
        <v>1</v>
      </c>
      <c r="D680">
        <f>VLOOKUP(B680, Menu!$A:$F, 6, 0)</f>
        <v>28.43</v>
      </c>
      <c r="E680">
        <f>VLOOKUP(B680, Menu!$A:$F, 5, 0)</f>
        <v>13.89</v>
      </c>
      <c r="F680" t="str">
        <f>VLOOKUP(B680, Menu!$A:$F, 3, 0)</f>
        <v>Beverage</v>
      </c>
      <c r="G680" s="5">
        <f>VLOOKUP(A680, Orders!$A:$B, 2, 0)</f>
        <v>45847.170775462961</v>
      </c>
      <c r="H680" t="str">
        <f>VLOOKUP(A680, Orders!$A:$C, 3, 0)</f>
        <v>Plant 2 Canteen</v>
      </c>
    </row>
    <row r="681" spans="1:8" x14ac:dyDescent="0.3">
      <c r="A681" t="s">
        <v>301</v>
      </c>
      <c r="B681" t="s">
        <v>403</v>
      </c>
      <c r="C681">
        <v>2</v>
      </c>
      <c r="D681">
        <f>VLOOKUP(B681, Menu!$A:$F, 6, 0)</f>
        <v>76.55</v>
      </c>
      <c r="E681">
        <f>VLOOKUP(B681, Menu!$A:$F, 5, 0)</f>
        <v>38.229999999999997</v>
      </c>
      <c r="F681" t="str">
        <f>VLOOKUP(B681, Menu!$A:$F, 3, 0)</f>
        <v>Dessert</v>
      </c>
      <c r="G681" s="5">
        <f>VLOOKUP(A681, Orders!$A:$B, 2, 0)</f>
        <v>45847.170775462961</v>
      </c>
      <c r="H681" t="str">
        <f>VLOOKUP(A681, Orders!$A:$C, 3, 0)</f>
        <v>Plant 2 Canteen</v>
      </c>
    </row>
    <row r="682" spans="1:8" x14ac:dyDescent="0.3">
      <c r="A682" t="s">
        <v>301</v>
      </c>
      <c r="B682" t="s">
        <v>414</v>
      </c>
      <c r="C682">
        <v>3</v>
      </c>
      <c r="D682">
        <f>VLOOKUP(B682, Menu!$A:$F, 6, 0)</f>
        <v>116.8</v>
      </c>
      <c r="E682">
        <f>VLOOKUP(B682, Menu!$A:$F, 5, 0)</f>
        <v>48.97</v>
      </c>
      <c r="F682" t="str">
        <f>VLOOKUP(B682, Menu!$A:$F, 3, 0)</f>
        <v>Dessert</v>
      </c>
      <c r="G682" s="5">
        <f>VLOOKUP(A682, Orders!$A:$B, 2, 0)</f>
        <v>45847.170775462961</v>
      </c>
      <c r="H682" t="str">
        <f>VLOOKUP(A682, Orders!$A:$C, 3, 0)</f>
        <v>Plant 2 Canteen</v>
      </c>
    </row>
    <row r="683" spans="1:8" x14ac:dyDescent="0.3">
      <c r="A683" t="s">
        <v>302</v>
      </c>
      <c r="B683" t="s">
        <v>402</v>
      </c>
      <c r="C683">
        <v>2</v>
      </c>
      <c r="D683">
        <f>VLOOKUP(B683, Menu!$A:$F, 6, 0)</f>
        <v>30.34</v>
      </c>
      <c r="E683">
        <f>VLOOKUP(B683, Menu!$A:$F, 5, 0)</f>
        <v>14.18</v>
      </c>
      <c r="F683" t="str">
        <f>VLOOKUP(B683, Menu!$A:$F, 3, 0)</f>
        <v>Beverage</v>
      </c>
      <c r="G683" s="5">
        <f>VLOOKUP(A683, Orders!$A:$B, 2, 0)</f>
        <v>45886.403067129628</v>
      </c>
      <c r="H683" t="str">
        <f>VLOOKUP(A683, Orders!$A:$C, 3, 0)</f>
        <v>Head Office Café</v>
      </c>
    </row>
    <row r="684" spans="1:8" x14ac:dyDescent="0.3">
      <c r="A684" t="s">
        <v>302</v>
      </c>
      <c r="B684" t="s">
        <v>410</v>
      </c>
      <c r="C684">
        <v>2</v>
      </c>
      <c r="D684">
        <f>VLOOKUP(B684, Menu!$A:$F, 6, 0)</f>
        <v>20.11</v>
      </c>
      <c r="E684">
        <f>VLOOKUP(B684, Menu!$A:$F, 5, 0)</f>
        <v>8</v>
      </c>
      <c r="F684" t="str">
        <f>VLOOKUP(B684, Menu!$A:$F, 3, 0)</f>
        <v>Beverage</v>
      </c>
      <c r="G684" s="5">
        <f>VLOOKUP(A684, Orders!$A:$B, 2, 0)</f>
        <v>45886.403067129628</v>
      </c>
      <c r="H684" t="str">
        <f>VLOOKUP(A684, Orders!$A:$C, 3, 0)</f>
        <v>Head Office Café</v>
      </c>
    </row>
    <row r="685" spans="1:8" x14ac:dyDescent="0.3">
      <c r="A685" t="s">
        <v>302</v>
      </c>
      <c r="B685" t="s">
        <v>407</v>
      </c>
      <c r="C685">
        <v>2</v>
      </c>
      <c r="D685">
        <f>VLOOKUP(B685, Menu!$A:$F, 6, 0)</f>
        <v>246.09</v>
      </c>
      <c r="E685">
        <f>VLOOKUP(B685, Menu!$A:$F, 5, 0)</f>
        <v>112.08</v>
      </c>
      <c r="F685" t="str">
        <f>VLOOKUP(B685, Menu!$A:$F, 3, 0)</f>
        <v>Hot Meal</v>
      </c>
      <c r="G685" s="5">
        <f>VLOOKUP(A685, Orders!$A:$B, 2, 0)</f>
        <v>45886.403067129628</v>
      </c>
      <c r="H685" t="str">
        <f>VLOOKUP(A685, Orders!$A:$C, 3, 0)</f>
        <v>Head Office Café</v>
      </c>
    </row>
    <row r="686" spans="1:8" x14ac:dyDescent="0.3">
      <c r="A686" t="s">
        <v>303</v>
      </c>
      <c r="B686" t="s">
        <v>414</v>
      </c>
      <c r="C686">
        <v>2</v>
      </c>
      <c r="D686">
        <f>VLOOKUP(B686, Menu!$A:$F, 6, 0)</f>
        <v>116.8</v>
      </c>
      <c r="E686">
        <f>VLOOKUP(B686, Menu!$A:$F, 5, 0)</f>
        <v>48.97</v>
      </c>
      <c r="F686" t="str">
        <f>VLOOKUP(B686, Menu!$A:$F, 3, 0)</f>
        <v>Dessert</v>
      </c>
      <c r="G686" s="5">
        <f>VLOOKUP(A686, Orders!$A:$B, 2, 0)</f>
        <v>45860.179664351846</v>
      </c>
      <c r="H686" t="str">
        <f>VLOOKUP(A686, Orders!$A:$C, 3, 0)</f>
        <v>Head Office Café</v>
      </c>
    </row>
    <row r="687" spans="1:8" x14ac:dyDescent="0.3">
      <c r="A687" t="s">
        <v>303</v>
      </c>
      <c r="B687" t="s">
        <v>416</v>
      </c>
      <c r="C687">
        <v>1</v>
      </c>
      <c r="D687">
        <f>VLOOKUP(B687, Menu!$A:$F, 6, 0)</f>
        <v>227.61</v>
      </c>
      <c r="E687">
        <f>VLOOKUP(B687, Menu!$A:$F, 5, 0)</f>
        <v>96.22</v>
      </c>
      <c r="F687" t="str">
        <f>VLOOKUP(B687, Menu!$A:$F, 3, 0)</f>
        <v>Hot Meal</v>
      </c>
      <c r="G687" s="5">
        <f>VLOOKUP(A687, Orders!$A:$B, 2, 0)</f>
        <v>45860.179664351846</v>
      </c>
      <c r="H687" t="str">
        <f>VLOOKUP(A687, Orders!$A:$C, 3, 0)</f>
        <v>Head Office Café</v>
      </c>
    </row>
    <row r="688" spans="1:8" x14ac:dyDescent="0.3">
      <c r="A688" t="s">
        <v>304</v>
      </c>
      <c r="B688" t="s">
        <v>416</v>
      </c>
      <c r="C688">
        <v>1</v>
      </c>
      <c r="D688">
        <f>VLOOKUP(B688, Menu!$A:$F, 6, 0)</f>
        <v>227.61</v>
      </c>
      <c r="E688">
        <f>VLOOKUP(B688, Menu!$A:$F, 5, 0)</f>
        <v>96.22</v>
      </c>
      <c r="F688" t="str">
        <f>VLOOKUP(B688, Menu!$A:$F, 3, 0)</f>
        <v>Hot Meal</v>
      </c>
      <c r="G688" s="5">
        <f>VLOOKUP(A688, Orders!$A:$B, 2, 0)</f>
        <v>45850.016319444447</v>
      </c>
      <c r="H688" t="str">
        <f>VLOOKUP(A688, Orders!$A:$C, 3, 0)</f>
        <v>Plant 2 Canteen</v>
      </c>
    </row>
    <row r="689" spans="1:8" x14ac:dyDescent="0.3">
      <c r="A689" t="s">
        <v>304</v>
      </c>
      <c r="B689" t="s">
        <v>407</v>
      </c>
      <c r="C689">
        <v>1</v>
      </c>
      <c r="D689">
        <f>VLOOKUP(B689, Menu!$A:$F, 6, 0)</f>
        <v>246.09</v>
      </c>
      <c r="E689">
        <f>VLOOKUP(B689, Menu!$A:$F, 5, 0)</f>
        <v>112.08</v>
      </c>
      <c r="F689" t="str">
        <f>VLOOKUP(B689, Menu!$A:$F, 3, 0)</f>
        <v>Hot Meal</v>
      </c>
      <c r="G689" s="5">
        <f>VLOOKUP(A689, Orders!$A:$B, 2, 0)</f>
        <v>45850.016319444447</v>
      </c>
      <c r="H689" t="str">
        <f>VLOOKUP(A689, Orders!$A:$C, 3, 0)</f>
        <v>Plant 2 Canteen</v>
      </c>
    </row>
    <row r="690" spans="1:8" x14ac:dyDescent="0.3">
      <c r="A690" t="s">
        <v>304</v>
      </c>
      <c r="B690" t="s">
        <v>410</v>
      </c>
      <c r="C690">
        <v>1</v>
      </c>
      <c r="D690">
        <f>VLOOKUP(B690, Menu!$A:$F, 6, 0)</f>
        <v>20.11</v>
      </c>
      <c r="E690">
        <f>VLOOKUP(B690, Menu!$A:$F, 5, 0)</f>
        <v>8</v>
      </c>
      <c r="F690" t="str">
        <f>VLOOKUP(B690, Menu!$A:$F, 3, 0)</f>
        <v>Beverage</v>
      </c>
      <c r="G690" s="5">
        <f>VLOOKUP(A690, Orders!$A:$B, 2, 0)</f>
        <v>45850.016319444447</v>
      </c>
      <c r="H690" t="str">
        <f>VLOOKUP(A690, Orders!$A:$C, 3, 0)</f>
        <v>Plant 2 Canteen</v>
      </c>
    </row>
    <row r="691" spans="1:8" x14ac:dyDescent="0.3">
      <c r="A691" t="s">
        <v>304</v>
      </c>
      <c r="B691" t="s">
        <v>409</v>
      </c>
      <c r="C691">
        <v>3</v>
      </c>
      <c r="D691">
        <f>VLOOKUP(B691, Menu!$A:$F, 6, 0)</f>
        <v>28.43</v>
      </c>
      <c r="E691">
        <f>VLOOKUP(B691, Menu!$A:$F, 5, 0)</f>
        <v>13.89</v>
      </c>
      <c r="F691" t="str">
        <f>VLOOKUP(B691, Menu!$A:$F, 3, 0)</f>
        <v>Beverage</v>
      </c>
      <c r="G691" s="5">
        <f>VLOOKUP(A691, Orders!$A:$B, 2, 0)</f>
        <v>45850.016319444447</v>
      </c>
      <c r="H691" t="str">
        <f>VLOOKUP(A691, Orders!$A:$C, 3, 0)</f>
        <v>Plant 2 Canteen</v>
      </c>
    </row>
    <row r="692" spans="1:8" x14ac:dyDescent="0.3">
      <c r="A692" t="s">
        <v>305</v>
      </c>
      <c r="B692" t="s">
        <v>419</v>
      </c>
      <c r="C692">
        <v>1</v>
      </c>
      <c r="D692">
        <f>VLOOKUP(B692, Menu!$A:$F, 6, 0)</f>
        <v>50.19</v>
      </c>
      <c r="E692">
        <f>VLOOKUP(B692, Menu!$A:$F, 5, 0)</f>
        <v>22.61</v>
      </c>
      <c r="F692" t="str">
        <f>VLOOKUP(B692, Menu!$A:$F, 3, 0)</f>
        <v>Snack</v>
      </c>
      <c r="G692" s="5">
        <f>VLOOKUP(A692, Orders!$A:$B, 2, 0)</f>
        <v>45890.410219907397</v>
      </c>
      <c r="H692" t="str">
        <f>VLOOKUP(A692, Orders!$A:$C, 3, 0)</f>
        <v>Head Office Café</v>
      </c>
    </row>
    <row r="693" spans="1:8" x14ac:dyDescent="0.3">
      <c r="A693" t="s">
        <v>305</v>
      </c>
      <c r="B693" t="s">
        <v>415</v>
      </c>
      <c r="C693">
        <v>3</v>
      </c>
      <c r="D693">
        <f>VLOOKUP(B693, Menu!$A:$F, 6, 0)</f>
        <v>256.91000000000003</v>
      </c>
      <c r="E693">
        <f>VLOOKUP(B693, Menu!$A:$F, 5, 0)</f>
        <v>121.24</v>
      </c>
      <c r="F693" t="str">
        <f>VLOOKUP(B693, Menu!$A:$F, 3, 0)</f>
        <v>Hot Meal</v>
      </c>
      <c r="G693" s="5">
        <f>VLOOKUP(A693, Orders!$A:$B, 2, 0)</f>
        <v>45890.410219907397</v>
      </c>
      <c r="H693" t="str">
        <f>VLOOKUP(A693, Orders!$A:$C, 3, 0)</f>
        <v>Head Office Café</v>
      </c>
    </row>
    <row r="694" spans="1:8" x14ac:dyDescent="0.3">
      <c r="A694" t="s">
        <v>305</v>
      </c>
      <c r="B694" t="s">
        <v>412</v>
      </c>
      <c r="C694">
        <v>3</v>
      </c>
      <c r="D694">
        <f>VLOOKUP(B694, Menu!$A:$F, 6, 0)</f>
        <v>57.07</v>
      </c>
      <c r="E694">
        <f>VLOOKUP(B694, Menu!$A:$F, 5, 0)</f>
        <v>29.14</v>
      </c>
      <c r="F694" t="str">
        <f>VLOOKUP(B694, Menu!$A:$F, 3, 0)</f>
        <v>Dessert</v>
      </c>
      <c r="G694" s="5">
        <f>VLOOKUP(A694, Orders!$A:$B, 2, 0)</f>
        <v>45890.410219907397</v>
      </c>
      <c r="H694" t="str">
        <f>VLOOKUP(A694, Orders!$A:$C, 3, 0)</f>
        <v>Head Office Café</v>
      </c>
    </row>
    <row r="695" spans="1:8" x14ac:dyDescent="0.3">
      <c r="A695" t="s">
        <v>306</v>
      </c>
      <c r="B695" t="s">
        <v>415</v>
      </c>
      <c r="C695">
        <v>3</v>
      </c>
      <c r="D695">
        <f>VLOOKUP(B695, Menu!$A:$F, 6, 0)</f>
        <v>256.91000000000003</v>
      </c>
      <c r="E695">
        <f>VLOOKUP(B695, Menu!$A:$F, 5, 0)</f>
        <v>121.24</v>
      </c>
      <c r="F695" t="str">
        <f>VLOOKUP(B695, Menu!$A:$F, 3, 0)</f>
        <v>Hot Meal</v>
      </c>
      <c r="G695" s="5">
        <f>VLOOKUP(A695, Orders!$A:$B, 2, 0)</f>
        <v>45877.626261574071</v>
      </c>
      <c r="H695" t="str">
        <f>VLOOKUP(A695, Orders!$A:$C, 3, 0)</f>
        <v>Head Office Café</v>
      </c>
    </row>
    <row r="696" spans="1:8" x14ac:dyDescent="0.3">
      <c r="A696" t="s">
        <v>306</v>
      </c>
      <c r="B696" t="s">
        <v>409</v>
      </c>
      <c r="C696">
        <v>1</v>
      </c>
      <c r="D696">
        <f>VLOOKUP(B696, Menu!$A:$F, 6, 0)</f>
        <v>28.43</v>
      </c>
      <c r="E696">
        <f>VLOOKUP(B696, Menu!$A:$F, 5, 0)</f>
        <v>13.89</v>
      </c>
      <c r="F696" t="str">
        <f>VLOOKUP(B696, Menu!$A:$F, 3, 0)</f>
        <v>Beverage</v>
      </c>
      <c r="G696" s="5">
        <f>VLOOKUP(A696, Orders!$A:$B, 2, 0)</f>
        <v>45877.626261574071</v>
      </c>
      <c r="H696" t="str">
        <f>VLOOKUP(A696, Orders!$A:$C, 3, 0)</f>
        <v>Head Office Café</v>
      </c>
    </row>
    <row r="697" spans="1:8" x14ac:dyDescent="0.3">
      <c r="A697" t="s">
        <v>306</v>
      </c>
      <c r="B697" t="s">
        <v>416</v>
      </c>
      <c r="C697">
        <v>1</v>
      </c>
      <c r="D697">
        <f>VLOOKUP(B697, Menu!$A:$F, 6, 0)</f>
        <v>227.61</v>
      </c>
      <c r="E697">
        <f>VLOOKUP(B697, Menu!$A:$F, 5, 0)</f>
        <v>96.22</v>
      </c>
      <c r="F697" t="str">
        <f>VLOOKUP(B697, Menu!$A:$F, 3, 0)</f>
        <v>Hot Meal</v>
      </c>
      <c r="G697" s="5">
        <f>VLOOKUP(A697, Orders!$A:$B, 2, 0)</f>
        <v>45877.626261574071</v>
      </c>
      <c r="H697" t="str">
        <f>VLOOKUP(A697, Orders!$A:$C, 3, 0)</f>
        <v>Head Office Café</v>
      </c>
    </row>
    <row r="698" spans="1:8" x14ac:dyDescent="0.3">
      <c r="A698" t="s">
        <v>306</v>
      </c>
      <c r="B698" t="s">
        <v>408</v>
      </c>
      <c r="C698">
        <v>2</v>
      </c>
      <c r="D698">
        <f>VLOOKUP(B698, Menu!$A:$F, 6, 0)</f>
        <v>70.540000000000006</v>
      </c>
      <c r="E698">
        <f>VLOOKUP(B698, Menu!$A:$F, 5, 0)</f>
        <v>35.81</v>
      </c>
      <c r="F698" t="str">
        <f>VLOOKUP(B698, Menu!$A:$F, 3, 0)</f>
        <v>Snack</v>
      </c>
      <c r="G698" s="5">
        <f>VLOOKUP(A698, Orders!$A:$B, 2, 0)</f>
        <v>45877.626261574071</v>
      </c>
      <c r="H698" t="str">
        <f>VLOOKUP(A698, Orders!$A:$C, 3, 0)</f>
        <v>Head Office Café</v>
      </c>
    </row>
    <row r="699" spans="1:8" x14ac:dyDescent="0.3">
      <c r="A699" t="s">
        <v>307</v>
      </c>
      <c r="B699" t="s">
        <v>407</v>
      </c>
      <c r="C699">
        <v>3</v>
      </c>
      <c r="D699">
        <f>VLOOKUP(B699, Menu!$A:$F, 6, 0)</f>
        <v>246.09</v>
      </c>
      <c r="E699">
        <f>VLOOKUP(B699, Menu!$A:$F, 5, 0)</f>
        <v>112.08</v>
      </c>
      <c r="F699" t="str">
        <f>VLOOKUP(B699, Menu!$A:$F, 3, 0)</f>
        <v>Hot Meal</v>
      </c>
      <c r="G699" s="5">
        <f>VLOOKUP(A699, Orders!$A:$B, 2, 0)</f>
        <v>45868.514907407407</v>
      </c>
      <c r="H699" t="str">
        <f>VLOOKUP(A699, Orders!$A:$C, 3, 0)</f>
        <v>Plant 1 Canteen</v>
      </c>
    </row>
    <row r="700" spans="1:8" x14ac:dyDescent="0.3">
      <c r="A700" t="s">
        <v>307</v>
      </c>
      <c r="B700" t="s">
        <v>415</v>
      </c>
      <c r="C700">
        <v>3</v>
      </c>
      <c r="D700">
        <f>VLOOKUP(B700, Menu!$A:$F, 6, 0)</f>
        <v>256.91000000000003</v>
      </c>
      <c r="E700">
        <f>VLOOKUP(B700, Menu!$A:$F, 5, 0)</f>
        <v>121.24</v>
      </c>
      <c r="F700" t="str">
        <f>VLOOKUP(B700, Menu!$A:$F, 3, 0)</f>
        <v>Hot Meal</v>
      </c>
      <c r="G700" s="5">
        <f>VLOOKUP(A700, Orders!$A:$B, 2, 0)</f>
        <v>45868.514907407407</v>
      </c>
      <c r="H700" t="str">
        <f>VLOOKUP(A700, Orders!$A:$C, 3, 0)</f>
        <v>Plant 1 Canteen</v>
      </c>
    </row>
    <row r="701" spans="1:8" x14ac:dyDescent="0.3">
      <c r="A701" t="s">
        <v>307</v>
      </c>
      <c r="B701" t="s">
        <v>408</v>
      </c>
      <c r="C701">
        <v>2</v>
      </c>
      <c r="D701">
        <f>VLOOKUP(B701, Menu!$A:$F, 6, 0)</f>
        <v>70.540000000000006</v>
      </c>
      <c r="E701">
        <f>VLOOKUP(B701, Menu!$A:$F, 5, 0)</f>
        <v>35.81</v>
      </c>
      <c r="F701" t="str">
        <f>VLOOKUP(B701, Menu!$A:$F, 3, 0)</f>
        <v>Snack</v>
      </c>
      <c r="G701" s="5">
        <f>VLOOKUP(A701, Orders!$A:$B, 2, 0)</f>
        <v>45868.514907407407</v>
      </c>
      <c r="H701" t="str">
        <f>VLOOKUP(A701, Orders!$A:$C, 3, 0)</f>
        <v>Plant 1 Canteen</v>
      </c>
    </row>
    <row r="702" spans="1:8" x14ac:dyDescent="0.3">
      <c r="A702" t="s">
        <v>308</v>
      </c>
      <c r="B702" t="s">
        <v>411</v>
      </c>
      <c r="C702">
        <v>1</v>
      </c>
      <c r="D702">
        <f>VLOOKUP(B702, Menu!$A:$F, 6, 0)</f>
        <v>22.2</v>
      </c>
      <c r="E702">
        <f>VLOOKUP(B702, Menu!$A:$F, 5, 0)</f>
        <v>9.3800000000000008</v>
      </c>
      <c r="F702" t="str">
        <f>VLOOKUP(B702, Menu!$A:$F, 3, 0)</f>
        <v>Beverage</v>
      </c>
      <c r="G702" s="5">
        <f>VLOOKUP(A702, Orders!$A:$B, 2, 0)</f>
        <v>45871.107511574082</v>
      </c>
      <c r="H702" t="str">
        <f>VLOOKUP(A702, Orders!$A:$C, 3, 0)</f>
        <v>Plant 1 Canteen</v>
      </c>
    </row>
    <row r="703" spans="1:8" x14ac:dyDescent="0.3">
      <c r="A703" t="s">
        <v>308</v>
      </c>
      <c r="B703" t="s">
        <v>403</v>
      </c>
      <c r="C703">
        <v>1</v>
      </c>
      <c r="D703">
        <f>VLOOKUP(B703, Menu!$A:$F, 6, 0)</f>
        <v>76.55</v>
      </c>
      <c r="E703">
        <f>VLOOKUP(B703, Menu!$A:$F, 5, 0)</f>
        <v>38.229999999999997</v>
      </c>
      <c r="F703" t="str">
        <f>VLOOKUP(B703, Menu!$A:$F, 3, 0)</f>
        <v>Dessert</v>
      </c>
      <c r="G703" s="5">
        <f>VLOOKUP(A703, Orders!$A:$B, 2, 0)</f>
        <v>45871.107511574082</v>
      </c>
      <c r="H703" t="str">
        <f>VLOOKUP(A703, Orders!$A:$C, 3, 0)</f>
        <v>Plant 1 Canteen</v>
      </c>
    </row>
    <row r="704" spans="1:8" x14ac:dyDescent="0.3">
      <c r="A704" t="s">
        <v>308</v>
      </c>
      <c r="B704" t="s">
        <v>413</v>
      </c>
      <c r="C704">
        <v>1</v>
      </c>
      <c r="D704">
        <f>VLOOKUP(B704, Menu!$A:$F, 6, 0)</f>
        <v>54.2</v>
      </c>
      <c r="E704">
        <f>VLOOKUP(B704, Menu!$A:$F, 5, 0)</f>
        <v>21.95</v>
      </c>
      <c r="F704" t="str">
        <f>VLOOKUP(B704, Menu!$A:$F, 3, 0)</f>
        <v>Dessert</v>
      </c>
      <c r="G704" s="5">
        <f>VLOOKUP(A704, Orders!$A:$B, 2, 0)</f>
        <v>45871.107511574082</v>
      </c>
      <c r="H704" t="str">
        <f>VLOOKUP(A704, Orders!$A:$C, 3, 0)</f>
        <v>Plant 1 Canteen</v>
      </c>
    </row>
    <row r="705" spans="1:8" x14ac:dyDescent="0.3">
      <c r="A705" t="s">
        <v>309</v>
      </c>
      <c r="B705" t="s">
        <v>417</v>
      </c>
      <c r="C705">
        <v>1</v>
      </c>
      <c r="D705">
        <f>VLOOKUP(B705, Menu!$A:$F, 6, 0)</f>
        <v>146.4</v>
      </c>
      <c r="E705">
        <f>VLOOKUP(B705, Menu!$A:$F, 5, 0)</f>
        <v>80.92</v>
      </c>
      <c r="F705" t="str">
        <f>VLOOKUP(B705, Menu!$A:$F, 3, 0)</f>
        <v>Hot Meal</v>
      </c>
      <c r="G705" s="5">
        <f>VLOOKUP(A705, Orders!$A:$B, 2, 0)</f>
        <v>45856.308263888888</v>
      </c>
      <c r="H705" t="str">
        <f>VLOOKUP(A705, Orders!$A:$C, 3, 0)</f>
        <v>Plant 1 Canteen</v>
      </c>
    </row>
    <row r="706" spans="1:8" x14ac:dyDescent="0.3">
      <c r="A706" t="s">
        <v>309</v>
      </c>
      <c r="B706" t="s">
        <v>411</v>
      </c>
      <c r="C706">
        <v>3</v>
      </c>
      <c r="D706">
        <f>VLOOKUP(B706, Menu!$A:$F, 6, 0)</f>
        <v>22.2</v>
      </c>
      <c r="E706">
        <f>VLOOKUP(B706, Menu!$A:$F, 5, 0)</f>
        <v>9.3800000000000008</v>
      </c>
      <c r="F706" t="str">
        <f>VLOOKUP(B706, Menu!$A:$F, 3, 0)</f>
        <v>Beverage</v>
      </c>
      <c r="G706" s="5">
        <f>VLOOKUP(A706, Orders!$A:$B, 2, 0)</f>
        <v>45856.308263888888</v>
      </c>
      <c r="H706" t="str">
        <f>VLOOKUP(A706, Orders!$A:$C, 3, 0)</f>
        <v>Plant 1 Canteen</v>
      </c>
    </row>
    <row r="707" spans="1:8" x14ac:dyDescent="0.3">
      <c r="A707" t="s">
        <v>309</v>
      </c>
      <c r="B707" t="s">
        <v>406</v>
      </c>
      <c r="C707">
        <v>1</v>
      </c>
      <c r="D707">
        <f>VLOOKUP(B707, Menu!$A:$F, 6, 0)</f>
        <v>38.06</v>
      </c>
      <c r="E707">
        <f>VLOOKUP(B707, Menu!$A:$F, 5, 0)</f>
        <v>19.55</v>
      </c>
      <c r="F707" t="str">
        <f>VLOOKUP(B707, Menu!$A:$F, 3, 0)</f>
        <v>Snack</v>
      </c>
      <c r="G707" s="5">
        <f>VLOOKUP(A707, Orders!$A:$B, 2, 0)</f>
        <v>45856.308263888888</v>
      </c>
      <c r="H707" t="str">
        <f>VLOOKUP(A707, Orders!$A:$C, 3, 0)</f>
        <v>Plant 1 Canteen</v>
      </c>
    </row>
    <row r="708" spans="1:8" x14ac:dyDescent="0.3">
      <c r="A708" t="s">
        <v>310</v>
      </c>
      <c r="B708" t="s">
        <v>414</v>
      </c>
      <c r="C708">
        <v>3</v>
      </c>
      <c r="D708">
        <f>VLOOKUP(B708, Menu!$A:$F, 6, 0)</f>
        <v>116.8</v>
      </c>
      <c r="E708">
        <f>VLOOKUP(B708, Menu!$A:$F, 5, 0)</f>
        <v>48.97</v>
      </c>
      <c r="F708" t="str">
        <f>VLOOKUP(B708, Menu!$A:$F, 3, 0)</f>
        <v>Dessert</v>
      </c>
      <c r="G708" s="5">
        <f>VLOOKUP(A708, Orders!$A:$B, 2, 0)</f>
        <v>45887.820648148147</v>
      </c>
      <c r="H708" t="str">
        <f>VLOOKUP(A708, Orders!$A:$C, 3, 0)</f>
        <v>Head Office Café</v>
      </c>
    </row>
    <row r="709" spans="1:8" x14ac:dyDescent="0.3">
      <c r="A709" t="s">
        <v>311</v>
      </c>
      <c r="B709" t="s">
        <v>406</v>
      </c>
      <c r="C709">
        <v>1</v>
      </c>
      <c r="D709">
        <f>VLOOKUP(B709, Menu!$A:$F, 6, 0)</f>
        <v>38.06</v>
      </c>
      <c r="E709">
        <f>VLOOKUP(B709, Menu!$A:$F, 5, 0)</f>
        <v>19.55</v>
      </c>
      <c r="F709" t="str">
        <f>VLOOKUP(B709, Menu!$A:$F, 3, 0)</f>
        <v>Snack</v>
      </c>
      <c r="G709" s="5">
        <f>VLOOKUP(A709, Orders!$A:$B, 2, 0)</f>
        <v>45877.801782407398</v>
      </c>
      <c r="H709" t="str">
        <f>VLOOKUP(A709, Orders!$A:$C, 3, 0)</f>
        <v>Head Office Café</v>
      </c>
    </row>
    <row r="710" spans="1:8" x14ac:dyDescent="0.3">
      <c r="A710" t="s">
        <v>311</v>
      </c>
      <c r="B710" t="s">
        <v>411</v>
      </c>
      <c r="C710">
        <v>1</v>
      </c>
      <c r="D710">
        <f>VLOOKUP(B710, Menu!$A:$F, 6, 0)</f>
        <v>22.2</v>
      </c>
      <c r="E710">
        <f>VLOOKUP(B710, Menu!$A:$F, 5, 0)</f>
        <v>9.3800000000000008</v>
      </c>
      <c r="F710" t="str">
        <f>VLOOKUP(B710, Menu!$A:$F, 3, 0)</f>
        <v>Beverage</v>
      </c>
      <c r="G710" s="5">
        <f>VLOOKUP(A710, Orders!$A:$B, 2, 0)</f>
        <v>45877.801782407398</v>
      </c>
      <c r="H710" t="str">
        <f>VLOOKUP(A710, Orders!$A:$C, 3, 0)</f>
        <v>Head Office Café</v>
      </c>
    </row>
    <row r="711" spans="1:8" x14ac:dyDescent="0.3">
      <c r="A711" t="s">
        <v>311</v>
      </c>
      <c r="B711" t="s">
        <v>419</v>
      </c>
      <c r="C711">
        <v>2</v>
      </c>
      <c r="D711">
        <f>VLOOKUP(B711, Menu!$A:$F, 6, 0)</f>
        <v>50.19</v>
      </c>
      <c r="E711">
        <f>VLOOKUP(B711, Menu!$A:$F, 5, 0)</f>
        <v>22.61</v>
      </c>
      <c r="F711" t="str">
        <f>VLOOKUP(B711, Menu!$A:$F, 3, 0)</f>
        <v>Snack</v>
      </c>
      <c r="G711" s="5">
        <f>VLOOKUP(A711, Orders!$A:$B, 2, 0)</f>
        <v>45877.801782407398</v>
      </c>
      <c r="H711" t="str">
        <f>VLOOKUP(A711, Orders!$A:$C, 3, 0)</f>
        <v>Head Office Café</v>
      </c>
    </row>
    <row r="712" spans="1:8" x14ac:dyDescent="0.3">
      <c r="A712" t="s">
        <v>311</v>
      </c>
      <c r="B712" t="s">
        <v>415</v>
      </c>
      <c r="C712">
        <v>2</v>
      </c>
      <c r="D712">
        <f>VLOOKUP(B712, Menu!$A:$F, 6, 0)</f>
        <v>256.91000000000003</v>
      </c>
      <c r="E712">
        <f>VLOOKUP(B712, Menu!$A:$F, 5, 0)</f>
        <v>121.24</v>
      </c>
      <c r="F712" t="str">
        <f>VLOOKUP(B712, Menu!$A:$F, 3, 0)</f>
        <v>Hot Meal</v>
      </c>
      <c r="G712" s="5">
        <f>VLOOKUP(A712, Orders!$A:$B, 2, 0)</f>
        <v>45877.801782407398</v>
      </c>
      <c r="H712" t="str">
        <f>VLOOKUP(A712, Orders!$A:$C, 3, 0)</f>
        <v>Head Office Café</v>
      </c>
    </row>
    <row r="713" spans="1:8" x14ac:dyDescent="0.3">
      <c r="A713" t="s">
        <v>312</v>
      </c>
      <c r="B713" t="s">
        <v>402</v>
      </c>
      <c r="C713">
        <v>2</v>
      </c>
      <c r="D713">
        <f>VLOOKUP(B713, Menu!$A:$F, 6, 0)</f>
        <v>30.34</v>
      </c>
      <c r="E713">
        <f>VLOOKUP(B713, Menu!$A:$F, 5, 0)</f>
        <v>14.18</v>
      </c>
      <c r="F713" t="str">
        <f>VLOOKUP(B713, Menu!$A:$F, 3, 0)</f>
        <v>Beverage</v>
      </c>
      <c r="G713" s="5">
        <f>VLOOKUP(A713, Orders!$A:$B, 2, 0)</f>
        <v>45883.887708333343</v>
      </c>
      <c r="H713" t="str">
        <f>VLOOKUP(A713, Orders!$A:$C, 3, 0)</f>
        <v>Plant 1 Canteen</v>
      </c>
    </row>
    <row r="714" spans="1:8" x14ac:dyDescent="0.3">
      <c r="A714" t="s">
        <v>312</v>
      </c>
      <c r="B714" t="s">
        <v>405</v>
      </c>
      <c r="C714">
        <v>2</v>
      </c>
      <c r="D714">
        <f>VLOOKUP(B714, Menu!$A:$F, 6, 0)</f>
        <v>170.83</v>
      </c>
      <c r="E714">
        <f>VLOOKUP(B714, Menu!$A:$F, 5, 0)</f>
        <v>74.069999999999993</v>
      </c>
      <c r="F714" t="str">
        <f>VLOOKUP(B714, Menu!$A:$F, 3, 0)</f>
        <v>Hot Meal</v>
      </c>
      <c r="G714" s="5">
        <f>VLOOKUP(A714, Orders!$A:$B, 2, 0)</f>
        <v>45883.887708333343</v>
      </c>
      <c r="H714" t="str">
        <f>VLOOKUP(A714, Orders!$A:$C, 3, 0)</f>
        <v>Plant 1 Canteen</v>
      </c>
    </row>
    <row r="715" spans="1:8" x14ac:dyDescent="0.3">
      <c r="A715" t="s">
        <v>312</v>
      </c>
      <c r="B715" t="s">
        <v>414</v>
      </c>
      <c r="C715">
        <v>3</v>
      </c>
      <c r="D715">
        <f>VLOOKUP(B715, Menu!$A:$F, 6, 0)</f>
        <v>116.8</v>
      </c>
      <c r="E715">
        <f>VLOOKUP(B715, Menu!$A:$F, 5, 0)</f>
        <v>48.97</v>
      </c>
      <c r="F715" t="str">
        <f>VLOOKUP(B715, Menu!$A:$F, 3, 0)</f>
        <v>Dessert</v>
      </c>
      <c r="G715" s="5">
        <f>VLOOKUP(A715, Orders!$A:$B, 2, 0)</f>
        <v>45883.887708333343</v>
      </c>
      <c r="H715" t="str">
        <f>VLOOKUP(A715, Orders!$A:$C, 3, 0)</f>
        <v>Plant 1 Canteen</v>
      </c>
    </row>
    <row r="716" spans="1:8" x14ac:dyDescent="0.3">
      <c r="A716" t="s">
        <v>312</v>
      </c>
      <c r="B716" t="s">
        <v>419</v>
      </c>
      <c r="C716">
        <v>3</v>
      </c>
      <c r="D716">
        <f>VLOOKUP(B716, Menu!$A:$F, 6, 0)</f>
        <v>50.19</v>
      </c>
      <c r="E716">
        <f>VLOOKUP(B716, Menu!$A:$F, 5, 0)</f>
        <v>22.61</v>
      </c>
      <c r="F716" t="str">
        <f>VLOOKUP(B716, Menu!$A:$F, 3, 0)</f>
        <v>Snack</v>
      </c>
      <c r="G716" s="5">
        <f>VLOOKUP(A716, Orders!$A:$B, 2, 0)</f>
        <v>45883.887708333343</v>
      </c>
      <c r="H716" t="str">
        <f>VLOOKUP(A716, Orders!$A:$C, 3, 0)</f>
        <v>Plant 1 Canteen</v>
      </c>
    </row>
    <row r="717" spans="1:8" x14ac:dyDescent="0.3">
      <c r="A717" t="s">
        <v>313</v>
      </c>
      <c r="B717" t="s">
        <v>406</v>
      </c>
      <c r="C717">
        <v>1</v>
      </c>
      <c r="D717">
        <f>VLOOKUP(B717, Menu!$A:$F, 6, 0)</f>
        <v>38.06</v>
      </c>
      <c r="E717">
        <f>VLOOKUP(B717, Menu!$A:$F, 5, 0)</f>
        <v>19.55</v>
      </c>
      <c r="F717" t="str">
        <f>VLOOKUP(B717, Menu!$A:$F, 3, 0)</f>
        <v>Snack</v>
      </c>
      <c r="G717" s="5">
        <f>VLOOKUP(A717, Orders!$A:$B, 2, 0)</f>
        <v>45894.921585648153</v>
      </c>
      <c r="H717" t="str">
        <f>VLOOKUP(A717, Orders!$A:$C, 3, 0)</f>
        <v>Plant 2 Canteen</v>
      </c>
    </row>
    <row r="718" spans="1:8" x14ac:dyDescent="0.3">
      <c r="A718" t="s">
        <v>313</v>
      </c>
      <c r="B718" t="s">
        <v>410</v>
      </c>
      <c r="C718">
        <v>2</v>
      </c>
      <c r="D718">
        <f>VLOOKUP(B718, Menu!$A:$F, 6, 0)</f>
        <v>20.11</v>
      </c>
      <c r="E718">
        <f>VLOOKUP(B718, Menu!$A:$F, 5, 0)</f>
        <v>8</v>
      </c>
      <c r="F718" t="str">
        <f>VLOOKUP(B718, Menu!$A:$F, 3, 0)</f>
        <v>Beverage</v>
      </c>
      <c r="G718" s="5">
        <f>VLOOKUP(A718, Orders!$A:$B, 2, 0)</f>
        <v>45894.921585648153</v>
      </c>
      <c r="H718" t="str">
        <f>VLOOKUP(A718, Orders!$A:$C, 3, 0)</f>
        <v>Plant 2 Canteen</v>
      </c>
    </row>
    <row r="719" spans="1:8" x14ac:dyDescent="0.3">
      <c r="A719" t="s">
        <v>313</v>
      </c>
      <c r="B719" t="s">
        <v>414</v>
      </c>
      <c r="C719">
        <v>3</v>
      </c>
      <c r="D719">
        <f>VLOOKUP(B719, Menu!$A:$F, 6, 0)</f>
        <v>116.8</v>
      </c>
      <c r="E719">
        <f>VLOOKUP(B719, Menu!$A:$F, 5, 0)</f>
        <v>48.97</v>
      </c>
      <c r="F719" t="str">
        <f>VLOOKUP(B719, Menu!$A:$F, 3, 0)</f>
        <v>Dessert</v>
      </c>
      <c r="G719" s="5">
        <f>VLOOKUP(A719, Orders!$A:$B, 2, 0)</f>
        <v>45894.921585648153</v>
      </c>
      <c r="H719" t="str">
        <f>VLOOKUP(A719, Orders!$A:$C, 3, 0)</f>
        <v>Plant 2 Canteen</v>
      </c>
    </row>
    <row r="720" spans="1:8" x14ac:dyDescent="0.3">
      <c r="A720" t="s">
        <v>314</v>
      </c>
      <c r="B720" t="s">
        <v>406</v>
      </c>
      <c r="C720">
        <v>1</v>
      </c>
      <c r="D720">
        <f>VLOOKUP(B720, Menu!$A:$F, 6, 0)</f>
        <v>38.06</v>
      </c>
      <c r="E720">
        <f>VLOOKUP(B720, Menu!$A:$F, 5, 0)</f>
        <v>19.55</v>
      </c>
      <c r="F720" t="str">
        <f>VLOOKUP(B720, Menu!$A:$F, 3, 0)</f>
        <v>Snack</v>
      </c>
      <c r="G720" s="5">
        <f>VLOOKUP(A720, Orders!$A:$B, 2, 0)</f>
        <v>45867.359131944453</v>
      </c>
      <c r="H720" t="str">
        <f>VLOOKUP(A720, Orders!$A:$C, 3, 0)</f>
        <v>Plant 1 Canteen</v>
      </c>
    </row>
    <row r="721" spans="1:8" x14ac:dyDescent="0.3">
      <c r="A721" t="s">
        <v>314</v>
      </c>
      <c r="B721" t="s">
        <v>418</v>
      </c>
      <c r="C721">
        <v>1</v>
      </c>
      <c r="D721">
        <f>VLOOKUP(B721, Menu!$A:$F, 6, 0)</f>
        <v>39.950000000000003</v>
      </c>
      <c r="E721">
        <f>VLOOKUP(B721, Menu!$A:$F, 5, 0)</f>
        <v>15.51</v>
      </c>
      <c r="F721" t="str">
        <f>VLOOKUP(B721, Menu!$A:$F, 3, 0)</f>
        <v>Snack</v>
      </c>
      <c r="G721" s="5">
        <f>VLOOKUP(A721, Orders!$A:$B, 2, 0)</f>
        <v>45867.359131944453</v>
      </c>
      <c r="H721" t="str">
        <f>VLOOKUP(A721, Orders!$A:$C, 3, 0)</f>
        <v>Plant 1 Canteen</v>
      </c>
    </row>
    <row r="722" spans="1:8" x14ac:dyDescent="0.3">
      <c r="A722" t="s">
        <v>315</v>
      </c>
      <c r="B722" t="s">
        <v>405</v>
      </c>
      <c r="C722">
        <v>1</v>
      </c>
      <c r="D722">
        <f>VLOOKUP(B722, Menu!$A:$F, 6, 0)</f>
        <v>170.83</v>
      </c>
      <c r="E722">
        <f>VLOOKUP(B722, Menu!$A:$F, 5, 0)</f>
        <v>74.069999999999993</v>
      </c>
      <c r="F722" t="str">
        <f>VLOOKUP(B722, Menu!$A:$F, 3, 0)</f>
        <v>Hot Meal</v>
      </c>
      <c r="G722" s="5">
        <f>VLOOKUP(A722, Orders!$A:$B, 2, 0)</f>
        <v>45855.937222222223</v>
      </c>
      <c r="H722" t="str">
        <f>VLOOKUP(A722, Orders!$A:$C, 3, 0)</f>
        <v>Head Office Café</v>
      </c>
    </row>
    <row r="723" spans="1:8" x14ac:dyDescent="0.3">
      <c r="A723" t="s">
        <v>315</v>
      </c>
      <c r="B723" t="s">
        <v>402</v>
      </c>
      <c r="C723">
        <v>1</v>
      </c>
      <c r="D723">
        <f>VLOOKUP(B723, Menu!$A:$F, 6, 0)</f>
        <v>30.34</v>
      </c>
      <c r="E723">
        <f>VLOOKUP(B723, Menu!$A:$F, 5, 0)</f>
        <v>14.18</v>
      </c>
      <c r="F723" t="str">
        <f>VLOOKUP(B723, Menu!$A:$F, 3, 0)</f>
        <v>Beverage</v>
      </c>
      <c r="G723" s="5">
        <f>VLOOKUP(A723, Orders!$A:$B, 2, 0)</f>
        <v>45855.937222222223</v>
      </c>
      <c r="H723" t="str">
        <f>VLOOKUP(A723, Orders!$A:$C, 3, 0)</f>
        <v>Head Office Café</v>
      </c>
    </row>
    <row r="724" spans="1:8" x14ac:dyDescent="0.3">
      <c r="A724" t="s">
        <v>315</v>
      </c>
      <c r="B724" t="s">
        <v>414</v>
      </c>
      <c r="C724">
        <v>2</v>
      </c>
      <c r="D724">
        <f>VLOOKUP(B724, Menu!$A:$F, 6, 0)</f>
        <v>116.8</v>
      </c>
      <c r="E724">
        <f>VLOOKUP(B724, Menu!$A:$F, 5, 0)</f>
        <v>48.97</v>
      </c>
      <c r="F724" t="str">
        <f>VLOOKUP(B724, Menu!$A:$F, 3, 0)</f>
        <v>Dessert</v>
      </c>
      <c r="G724" s="5">
        <f>VLOOKUP(A724, Orders!$A:$B, 2, 0)</f>
        <v>45855.937222222223</v>
      </c>
      <c r="H724" t="str">
        <f>VLOOKUP(A724, Orders!$A:$C, 3, 0)</f>
        <v>Head Office Café</v>
      </c>
    </row>
    <row r="725" spans="1:8" x14ac:dyDescent="0.3">
      <c r="A725" t="s">
        <v>316</v>
      </c>
      <c r="B725" t="s">
        <v>402</v>
      </c>
      <c r="C725">
        <v>1</v>
      </c>
      <c r="D725">
        <f>VLOOKUP(B725, Menu!$A:$F, 6, 0)</f>
        <v>30.34</v>
      </c>
      <c r="E725">
        <f>VLOOKUP(B725, Menu!$A:$F, 5, 0)</f>
        <v>14.18</v>
      </c>
      <c r="F725" t="str">
        <f>VLOOKUP(B725, Menu!$A:$F, 3, 0)</f>
        <v>Beverage</v>
      </c>
      <c r="G725" s="5">
        <f>VLOOKUP(A725, Orders!$A:$B, 2, 0)</f>
        <v>45847.806562500002</v>
      </c>
      <c r="H725" t="str">
        <f>VLOOKUP(A725, Orders!$A:$C, 3, 0)</f>
        <v>Plant 2 Canteen</v>
      </c>
    </row>
    <row r="726" spans="1:8" x14ac:dyDescent="0.3">
      <c r="A726" t="s">
        <v>317</v>
      </c>
      <c r="B726" t="s">
        <v>409</v>
      </c>
      <c r="C726">
        <v>1</v>
      </c>
      <c r="D726">
        <f>VLOOKUP(B726, Menu!$A:$F, 6, 0)</f>
        <v>28.43</v>
      </c>
      <c r="E726">
        <f>VLOOKUP(B726, Menu!$A:$F, 5, 0)</f>
        <v>13.89</v>
      </c>
      <c r="F726" t="str">
        <f>VLOOKUP(B726, Menu!$A:$F, 3, 0)</f>
        <v>Beverage</v>
      </c>
      <c r="G726" s="5">
        <f>VLOOKUP(A726, Orders!$A:$B, 2, 0)</f>
        <v>45896.423726851863</v>
      </c>
      <c r="H726" t="str">
        <f>VLOOKUP(A726, Orders!$A:$C, 3, 0)</f>
        <v>Plant 2 Canteen</v>
      </c>
    </row>
    <row r="727" spans="1:8" x14ac:dyDescent="0.3">
      <c r="A727" t="s">
        <v>317</v>
      </c>
      <c r="B727" t="s">
        <v>402</v>
      </c>
      <c r="C727">
        <v>3</v>
      </c>
      <c r="D727">
        <f>VLOOKUP(B727, Menu!$A:$F, 6, 0)</f>
        <v>30.34</v>
      </c>
      <c r="E727">
        <f>VLOOKUP(B727, Menu!$A:$F, 5, 0)</f>
        <v>14.18</v>
      </c>
      <c r="F727" t="str">
        <f>VLOOKUP(B727, Menu!$A:$F, 3, 0)</f>
        <v>Beverage</v>
      </c>
      <c r="G727" s="5">
        <f>VLOOKUP(A727, Orders!$A:$B, 2, 0)</f>
        <v>45896.423726851863</v>
      </c>
      <c r="H727" t="str">
        <f>VLOOKUP(A727, Orders!$A:$C, 3, 0)</f>
        <v>Plant 2 Canteen</v>
      </c>
    </row>
    <row r="728" spans="1:8" x14ac:dyDescent="0.3">
      <c r="A728" t="s">
        <v>317</v>
      </c>
      <c r="B728" t="s">
        <v>405</v>
      </c>
      <c r="C728">
        <v>1</v>
      </c>
      <c r="D728">
        <f>VLOOKUP(B728, Menu!$A:$F, 6, 0)</f>
        <v>170.83</v>
      </c>
      <c r="E728">
        <f>VLOOKUP(B728, Menu!$A:$F, 5, 0)</f>
        <v>74.069999999999993</v>
      </c>
      <c r="F728" t="str">
        <f>VLOOKUP(B728, Menu!$A:$F, 3, 0)</f>
        <v>Hot Meal</v>
      </c>
      <c r="G728" s="5">
        <f>VLOOKUP(A728, Orders!$A:$B, 2, 0)</f>
        <v>45896.423726851863</v>
      </c>
      <c r="H728" t="str">
        <f>VLOOKUP(A728, Orders!$A:$C, 3, 0)</f>
        <v>Plant 2 Canteen</v>
      </c>
    </row>
    <row r="729" spans="1:8" x14ac:dyDescent="0.3">
      <c r="A729" t="s">
        <v>318</v>
      </c>
      <c r="B729" t="s">
        <v>402</v>
      </c>
      <c r="C729">
        <v>1</v>
      </c>
      <c r="D729">
        <f>VLOOKUP(B729, Menu!$A:$F, 6, 0)</f>
        <v>30.34</v>
      </c>
      <c r="E729">
        <f>VLOOKUP(B729, Menu!$A:$F, 5, 0)</f>
        <v>14.18</v>
      </c>
      <c r="F729" t="str">
        <f>VLOOKUP(B729, Menu!$A:$F, 3, 0)</f>
        <v>Beverage</v>
      </c>
      <c r="G729" s="5">
        <f>VLOOKUP(A729, Orders!$A:$B, 2, 0)</f>
        <v>45869.374664351853</v>
      </c>
      <c r="H729" t="str">
        <f>VLOOKUP(A729, Orders!$A:$C, 3, 0)</f>
        <v>Head Office Café</v>
      </c>
    </row>
    <row r="730" spans="1:8" x14ac:dyDescent="0.3">
      <c r="A730" t="s">
        <v>319</v>
      </c>
      <c r="B730" t="s">
        <v>418</v>
      </c>
      <c r="C730">
        <v>2</v>
      </c>
      <c r="D730">
        <f>VLOOKUP(B730, Menu!$A:$F, 6, 0)</f>
        <v>39.950000000000003</v>
      </c>
      <c r="E730">
        <f>VLOOKUP(B730, Menu!$A:$F, 5, 0)</f>
        <v>15.51</v>
      </c>
      <c r="F730" t="str">
        <f>VLOOKUP(B730, Menu!$A:$F, 3, 0)</f>
        <v>Snack</v>
      </c>
      <c r="G730" s="5">
        <f>VLOOKUP(A730, Orders!$A:$B, 2, 0)</f>
        <v>45855.574062500003</v>
      </c>
      <c r="H730" t="str">
        <f>VLOOKUP(A730, Orders!$A:$C, 3, 0)</f>
        <v>Plant 1 Canteen</v>
      </c>
    </row>
    <row r="731" spans="1:8" x14ac:dyDescent="0.3">
      <c r="A731" t="s">
        <v>319</v>
      </c>
      <c r="B731" t="s">
        <v>408</v>
      </c>
      <c r="C731">
        <v>3</v>
      </c>
      <c r="D731">
        <f>VLOOKUP(B731, Menu!$A:$F, 6, 0)</f>
        <v>70.540000000000006</v>
      </c>
      <c r="E731">
        <f>VLOOKUP(B731, Menu!$A:$F, 5, 0)</f>
        <v>35.81</v>
      </c>
      <c r="F731" t="str">
        <f>VLOOKUP(B731, Menu!$A:$F, 3, 0)</f>
        <v>Snack</v>
      </c>
      <c r="G731" s="5">
        <f>VLOOKUP(A731, Orders!$A:$B, 2, 0)</f>
        <v>45855.574062500003</v>
      </c>
      <c r="H731" t="str">
        <f>VLOOKUP(A731, Orders!$A:$C, 3, 0)</f>
        <v>Plant 1 Canteen</v>
      </c>
    </row>
    <row r="732" spans="1:8" x14ac:dyDescent="0.3">
      <c r="A732" t="s">
        <v>319</v>
      </c>
      <c r="B732" t="s">
        <v>402</v>
      </c>
      <c r="C732">
        <v>1</v>
      </c>
      <c r="D732">
        <f>VLOOKUP(B732, Menu!$A:$F, 6, 0)</f>
        <v>30.34</v>
      </c>
      <c r="E732">
        <f>VLOOKUP(B732, Menu!$A:$F, 5, 0)</f>
        <v>14.18</v>
      </c>
      <c r="F732" t="str">
        <f>VLOOKUP(B732, Menu!$A:$F, 3, 0)</f>
        <v>Beverage</v>
      </c>
      <c r="G732" s="5">
        <f>VLOOKUP(A732, Orders!$A:$B, 2, 0)</f>
        <v>45855.574062500003</v>
      </c>
      <c r="H732" t="str">
        <f>VLOOKUP(A732, Orders!$A:$C, 3, 0)</f>
        <v>Plant 1 Canteen</v>
      </c>
    </row>
    <row r="733" spans="1:8" x14ac:dyDescent="0.3">
      <c r="A733" t="s">
        <v>320</v>
      </c>
      <c r="B733" t="s">
        <v>416</v>
      </c>
      <c r="C733">
        <v>3</v>
      </c>
      <c r="D733">
        <f>VLOOKUP(B733, Menu!$A:$F, 6, 0)</f>
        <v>227.61</v>
      </c>
      <c r="E733">
        <f>VLOOKUP(B733, Menu!$A:$F, 5, 0)</f>
        <v>96.22</v>
      </c>
      <c r="F733" t="str">
        <f>VLOOKUP(B733, Menu!$A:$F, 3, 0)</f>
        <v>Hot Meal</v>
      </c>
      <c r="G733" s="5">
        <f>VLOOKUP(A733, Orders!$A:$B, 2, 0)</f>
        <v>45890.766608796293</v>
      </c>
      <c r="H733" t="str">
        <f>VLOOKUP(A733, Orders!$A:$C, 3, 0)</f>
        <v>Head Office Café</v>
      </c>
    </row>
    <row r="734" spans="1:8" x14ac:dyDescent="0.3">
      <c r="A734" t="s">
        <v>320</v>
      </c>
      <c r="B734" t="s">
        <v>418</v>
      </c>
      <c r="C734">
        <v>2</v>
      </c>
      <c r="D734">
        <f>VLOOKUP(B734, Menu!$A:$F, 6, 0)</f>
        <v>39.950000000000003</v>
      </c>
      <c r="E734">
        <f>VLOOKUP(B734, Menu!$A:$F, 5, 0)</f>
        <v>15.51</v>
      </c>
      <c r="F734" t="str">
        <f>VLOOKUP(B734, Menu!$A:$F, 3, 0)</f>
        <v>Snack</v>
      </c>
      <c r="G734" s="5">
        <f>VLOOKUP(A734, Orders!$A:$B, 2, 0)</f>
        <v>45890.766608796293</v>
      </c>
      <c r="H734" t="str">
        <f>VLOOKUP(A734, Orders!$A:$C, 3, 0)</f>
        <v>Head Office Café</v>
      </c>
    </row>
    <row r="735" spans="1:8" x14ac:dyDescent="0.3">
      <c r="A735" t="s">
        <v>320</v>
      </c>
      <c r="B735" t="s">
        <v>405</v>
      </c>
      <c r="C735">
        <v>2</v>
      </c>
      <c r="D735">
        <f>VLOOKUP(B735, Menu!$A:$F, 6, 0)</f>
        <v>170.83</v>
      </c>
      <c r="E735">
        <f>VLOOKUP(B735, Menu!$A:$F, 5, 0)</f>
        <v>74.069999999999993</v>
      </c>
      <c r="F735" t="str">
        <f>VLOOKUP(B735, Menu!$A:$F, 3, 0)</f>
        <v>Hot Meal</v>
      </c>
      <c r="G735" s="5">
        <f>VLOOKUP(A735, Orders!$A:$B, 2, 0)</f>
        <v>45890.766608796293</v>
      </c>
      <c r="H735" t="str">
        <f>VLOOKUP(A735, Orders!$A:$C, 3, 0)</f>
        <v>Head Office Café</v>
      </c>
    </row>
    <row r="736" spans="1:8" x14ac:dyDescent="0.3">
      <c r="A736" t="s">
        <v>320</v>
      </c>
      <c r="B736" t="s">
        <v>402</v>
      </c>
      <c r="C736">
        <v>1</v>
      </c>
      <c r="D736">
        <f>VLOOKUP(B736, Menu!$A:$F, 6, 0)</f>
        <v>30.34</v>
      </c>
      <c r="E736">
        <f>VLOOKUP(B736, Menu!$A:$F, 5, 0)</f>
        <v>14.18</v>
      </c>
      <c r="F736" t="str">
        <f>VLOOKUP(B736, Menu!$A:$F, 3, 0)</f>
        <v>Beverage</v>
      </c>
      <c r="G736" s="5">
        <f>VLOOKUP(A736, Orders!$A:$B, 2, 0)</f>
        <v>45890.766608796293</v>
      </c>
      <c r="H736" t="str">
        <f>VLOOKUP(A736, Orders!$A:$C, 3, 0)</f>
        <v>Head Office Café</v>
      </c>
    </row>
    <row r="737" spans="1:8" x14ac:dyDescent="0.3">
      <c r="A737" t="s">
        <v>321</v>
      </c>
      <c r="B737" t="s">
        <v>403</v>
      </c>
      <c r="C737">
        <v>1</v>
      </c>
      <c r="D737">
        <f>VLOOKUP(B737, Menu!$A:$F, 6, 0)</f>
        <v>76.55</v>
      </c>
      <c r="E737">
        <f>VLOOKUP(B737, Menu!$A:$F, 5, 0)</f>
        <v>38.229999999999997</v>
      </c>
      <c r="F737" t="str">
        <f>VLOOKUP(B737, Menu!$A:$F, 3, 0)</f>
        <v>Dessert</v>
      </c>
      <c r="G737" s="5">
        <f>VLOOKUP(A737, Orders!$A:$B, 2, 0)</f>
        <v>45853.589259259257</v>
      </c>
      <c r="H737" t="str">
        <f>VLOOKUP(A737, Orders!$A:$C, 3, 0)</f>
        <v>Plant 1 Canteen</v>
      </c>
    </row>
    <row r="738" spans="1:8" x14ac:dyDescent="0.3">
      <c r="A738" t="s">
        <v>321</v>
      </c>
      <c r="B738" t="s">
        <v>419</v>
      </c>
      <c r="C738">
        <v>3</v>
      </c>
      <c r="D738">
        <f>VLOOKUP(B738, Menu!$A:$F, 6, 0)</f>
        <v>50.19</v>
      </c>
      <c r="E738">
        <f>VLOOKUP(B738, Menu!$A:$F, 5, 0)</f>
        <v>22.61</v>
      </c>
      <c r="F738" t="str">
        <f>VLOOKUP(B738, Menu!$A:$F, 3, 0)</f>
        <v>Snack</v>
      </c>
      <c r="G738" s="5">
        <f>VLOOKUP(A738, Orders!$A:$B, 2, 0)</f>
        <v>45853.589259259257</v>
      </c>
      <c r="H738" t="str">
        <f>VLOOKUP(A738, Orders!$A:$C, 3, 0)</f>
        <v>Plant 1 Canteen</v>
      </c>
    </row>
    <row r="739" spans="1:8" x14ac:dyDescent="0.3">
      <c r="A739" t="s">
        <v>321</v>
      </c>
      <c r="B739" t="s">
        <v>401</v>
      </c>
      <c r="C739">
        <v>2</v>
      </c>
      <c r="D739">
        <f>VLOOKUP(B739, Menu!$A:$F, 6, 0)</f>
        <v>52.45</v>
      </c>
      <c r="E739">
        <f>VLOOKUP(B739, Menu!$A:$F, 5, 0)</f>
        <v>25.8</v>
      </c>
      <c r="F739" t="str">
        <f>VLOOKUP(B739, Menu!$A:$F, 3, 0)</f>
        <v>Snack</v>
      </c>
      <c r="G739" s="5">
        <f>VLOOKUP(A739, Orders!$A:$B, 2, 0)</f>
        <v>45853.589259259257</v>
      </c>
      <c r="H739" t="str">
        <f>VLOOKUP(A739, Orders!$A:$C, 3, 0)</f>
        <v>Plant 1 Canteen</v>
      </c>
    </row>
    <row r="740" spans="1:8" x14ac:dyDescent="0.3">
      <c r="A740" t="s">
        <v>322</v>
      </c>
      <c r="B740" t="s">
        <v>413</v>
      </c>
      <c r="C740">
        <v>1</v>
      </c>
      <c r="D740">
        <f>VLOOKUP(B740, Menu!$A:$F, 6, 0)</f>
        <v>54.2</v>
      </c>
      <c r="E740">
        <f>VLOOKUP(B740, Menu!$A:$F, 5, 0)</f>
        <v>21.95</v>
      </c>
      <c r="F740" t="str">
        <f>VLOOKUP(B740, Menu!$A:$F, 3, 0)</f>
        <v>Dessert</v>
      </c>
      <c r="G740" s="5">
        <f>VLOOKUP(A740, Orders!$A:$B, 2, 0)</f>
        <v>45858.403182870366</v>
      </c>
      <c r="H740" t="str">
        <f>VLOOKUP(A740, Orders!$A:$C, 3, 0)</f>
        <v>Plant 1 Canteen</v>
      </c>
    </row>
    <row r="741" spans="1:8" x14ac:dyDescent="0.3">
      <c r="A741" t="s">
        <v>322</v>
      </c>
      <c r="B741" t="s">
        <v>401</v>
      </c>
      <c r="C741">
        <v>1</v>
      </c>
      <c r="D741">
        <f>VLOOKUP(B741, Menu!$A:$F, 6, 0)</f>
        <v>52.45</v>
      </c>
      <c r="E741">
        <f>VLOOKUP(B741, Menu!$A:$F, 5, 0)</f>
        <v>25.8</v>
      </c>
      <c r="F741" t="str">
        <f>VLOOKUP(B741, Menu!$A:$F, 3, 0)</f>
        <v>Snack</v>
      </c>
      <c r="G741" s="5">
        <f>VLOOKUP(A741, Orders!$A:$B, 2, 0)</f>
        <v>45858.403182870366</v>
      </c>
      <c r="H741" t="str">
        <f>VLOOKUP(A741, Orders!$A:$C, 3, 0)</f>
        <v>Plant 1 Canteen</v>
      </c>
    </row>
    <row r="742" spans="1:8" x14ac:dyDescent="0.3">
      <c r="A742" t="s">
        <v>322</v>
      </c>
      <c r="B742" t="s">
        <v>405</v>
      </c>
      <c r="C742">
        <v>1</v>
      </c>
      <c r="D742">
        <f>VLOOKUP(B742, Menu!$A:$F, 6, 0)</f>
        <v>170.83</v>
      </c>
      <c r="E742">
        <f>VLOOKUP(B742, Menu!$A:$F, 5, 0)</f>
        <v>74.069999999999993</v>
      </c>
      <c r="F742" t="str">
        <f>VLOOKUP(B742, Menu!$A:$F, 3, 0)</f>
        <v>Hot Meal</v>
      </c>
      <c r="G742" s="5">
        <f>VLOOKUP(A742, Orders!$A:$B, 2, 0)</f>
        <v>45858.403182870366</v>
      </c>
      <c r="H742" t="str">
        <f>VLOOKUP(A742, Orders!$A:$C, 3, 0)</f>
        <v>Plant 1 Canteen</v>
      </c>
    </row>
    <row r="743" spans="1:8" x14ac:dyDescent="0.3">
      <c r="A743" t="s">
        <v>322</v>
      </c>
      <c r="B743" t="s">
        <v>419</v>
      </c>
      <c r="C743">
        <v>3</v>
      </c>
      <c r="D743">
        <f>VLOOKUP(B743, Menu!$A:$F, 6, 0)</f>
        <v>50.19</v>
      </c>
      <c r="E743">
        <f>VLOOKUP(B743, Menu!$A:$F, 5, 0)</f>
        <v>22.61</v>
      </c>
      <c r="F743" t="str">
        <f>VLOOKUP(B743, Menu!$A:$F, 3, 0)</f>
        <v>Snack</v>
      </c>
      <c r="G743" s="5">
        <f>VLOOKUP(A743, Orders!$A:$B, 2, 0)</f>
        <v>45858.403182870366</v>
      </c>
      <c r="H743" t="str">
        <f>VLOOKUP(A743, Orders!$A:$C, 3, 0)</f>
        <v>Plant 1 Canteen</v>
      </c>
    </row>
    <row r="744" spans="1:8" x14ac:dyDescent="0.3">
      <c r="A744" t="s">
        <v>323</v>
      </c>
      <c r="B744" t="s">
        <v>403</v>
      </c>
      <c r="C744">
        <v>2</v>
      </c>
      <c r="D744">
        <f>VLOOKUP(B744, Menu!$A:$F, 6, 0)</f>
        <v>76.55</v>
      </c>
      <c r="E744">
        <f>VLOOKUP(B744, Menu!$A:$F, 5, 0)</f>
        <v>38.229999999999997</v>
      </c>
      <c r="F744" t="str">
        <f>VLOOKUP(B744, Menu!$A:$F, 3, 0)</f>
        <v>Dessert</v>
      </c>
      <c r="G744" s="5">
        <f>VLOOKUP(A744, Orders!$A:$B, 2, 0)</f>
        <v>45856.449178240742</v>
      </c>
      <c r="H744" t="str">
        <f>VLOOKUP(A744, Orders!$A:$C, 3, 0)</f>
        <v>Head Office Café</v>
      </c>
    </row>
    <row r="745" spans="1:8" x14ac:dyDescent="0.3">
      <c r="A745" t="s">
        <v>323</v>
      </c>
      <c r="B745" t="s">
        <v>405</v>
      </c>
      <c r="C745">
        <v>1</v>
      </c>
      <c r="D745">
        <f>VLOOKUP(B745, Menu!$A:$F, 6, 0)</f>
        <v>170.83</v>
      </c>
      <c r="E745">
        <f>VLOOKUP(B745, Menu!$A:$F, 5, 0)</f>
        <v>74.069999999999993</v>
      </c>
      <c r="F745" t="str">
        <f>VLOOKUP(B745, Menu!$A:$F, 3, 0)</f>
        <v>Hot Meal</v>
      </c>
      <c r="G745" s="5">
        <f>VLOOKUP(A745, Orders!$A:$B, 2, 0)</f>
        <v>45856.449178240742</v>
      </c>
      <c r="H745" t="str">
        <f>VLOOKUP(A745, Orders!$A:$C, 3, 0)</f>
        <v>Head Office Café</v>
      </c>
    </row>
    <row r="746" spans="1:8" x14ac:dyDescent="0.3">
      <c r="A746" t="s">
        <v>324</v>
      </c>
      <c r="B746" t="s">
        <v>417</v>
      </c>
      <c r="C746">
        <v>1</v>
      </c>
      <c r="D746">
        <f>VLOOKUP(B746, Menu!$A:$F, 6, 0)</f>
        <v>146.4</v>
      </c>
      <c r="E746">
        <f>VLOOKUP(B746, Menu!$A:$F, 5, 0)</f>
        <v>80.92</v>
      </c>
      <c r="F746" t="str">
        <f>VLOOKUP(B746, Menu!$A:$F, 3, 0)</f>
        <v>Hot Meal</v>
      </c>
      <c r="G746" s="5">
        <f>VLOOKUP(A746, Orders!$A:$B, 2, 0)</f>
        <v>45894.056712962964</v>
      </c>
      <c r="H746" t="str">
        <f>VLOOKUP(A746, Orders!$A:$C, 3, 0)</f>
        <v>Head Office Café</v>
      </c>
    </row>
    <row r="747" spans="1:8" x14ac:dyDescent="0.3">
      <c r="A747" t="s">
        <v>324</v>
      </c>
      <c r="B747" t="s">
        <v>415</v>
      </c>
      <c r="C747">
        <v>1</v>
      </c>
      <c r="D747">
        <f>VLOOKUP(B747, Menu!$A:$F, 6, 0)</f>
        <v>256.91000000000003</v>
      </c>
      <c r="E747">
        <f>VLOOKUP(B747, Menu!$A:$F, 5, 0)</f>
        <v>121.24</v>
      </c>
      <c r="F747" t="str">
        <f>VLOOKUP(B747, Menu!$A:$F, 3, 0)</f>
        <v>Hot Meal</v>
      </c>
      <c r="G747" s="5">
        <f>VLOOKUP(A747, Orders!$A:$B, 2, 0)</f>
        <v>45894.056712962964</v>
      </c>
      <c r="H747" t="str">
        <f>VLOOKUP(A747, Orders!$A:$C, 3, 0)</f>
        <v>Head Office Café</v>
      </c>
    </row>
    <row r="748" spans="1:8" x14ac:dyDescent="0.3">
      <c r="A748" t="s">
        <v>325</v>
      </c>
      <c r="B748" t="s">
        <v>405</v>
      </c>
      <c r="C748">
        <v>1</v>
      </c>
      <c r="D748">
        <f>VLOOKUP(B748, Menu!$A:$F, 6, 0)</f>
        <v>170.83</v>
      </c>
      <c r="E748">
        <f>VLOOKUP(B748, Menu!$A:$F, 5, 0)</f>
        <v>74.069999999999993</v>
      </c>
      <c r="F748" t="str">
        <f>VLOOKUP(B748, Menu!$A:$F, 3, 0)</f>
        <v>Hot Meal</v>
      </c>
      <c r="G748" s="5">
        <f>VLOOKUP(A748, Orders!$A:$B, 2, 0)</f>
        <v>45869.944039351853</v>
      </c>
      <c r="H748" t="str">
        <f>VLOOKUP(A748, Orders!$A:$C, 3, 0)</f>
        <v>Plant 1 Canteen</v>
      </c>
    </row>
    <row r="749" spans="1:8" x14ac:dyDescent="0.3">
      <c r="A749" t="s">
        <v>325</v>
      </c>
      <c r="B749" t="s">
        <v>401</v>
      </c>
      <c r="C749">
        <v>2</v>
      </c>
      <c r="D749">
        <f>VLOOKUP(B749, Menu!$A:$F, 6, 0)</f>
        <v>52.45</v>
      </c>
      <c r="E749">
        <f>VLOOKUP(B749, Menu!$A:$F, 5, 0)</f>
        <v>25.8</v>
      </c>
      <c r="F749" t="str">
        <f>VLOOKUP(B749, Menu!$A:$F, 3, 0)</f>
        <v>Snack</v>
      </c>
      <c r="G749" s="5">
        <f>VLOOKUP(A749, Orders!$A:$B, 2, 0)</f>
        <v>45869.944039351853</v>
      </c>
      <c r="H749" t="str">
        <f>VLOOKUP(A749, Orders!$A:$C, 3, 0)</f>
        <v>Plant 1 Canteen</v>
      </c>
    </row>
    <row r="750" spans="1:8" x14ac:dyDescent="0.3">
      <c r="A750" t="s">
        <v>325</v>
      </c>
      <c r="B750" t="s">
        <v>411</v>
      </c>
      <c r="C750">
        <v>2</v>
      </c>
      <c r="D750">
        <f>VLOOKUP(B750, Menu!$A:$F, 6, 0)</f>
        <v>22.2</v>
      </c>
      <c r="E750">
        <f>VLOOKUP(B750, Menu!$A:$F, 5, 0)</f>
        <v>9.3800000000000008</v>
      </c>
      <c r="F750" t="str">
        <f>VLOOKUP(B750, Menu!$A:$F, 3, 0)</f>
        <v>Beverage</v>
      </c>
      <c r="G750" s="5">
        <f>VLOOKUP(A750, Orders!$A:$B, 2, 0)</f>
        <v>45869.944039351853</v>
      </c>
      <c r="H750" t="str">
        <f>VLOOKUP(A750, Orders!$A:$C, 3, 0)</f>
        <v>Plant 1 Canteen</v>
      </c>
    </row>
    <row r="751" spans="1:8" x14ac:dyDescent="0.3">
      <c r="A751" t="s">
        <v>326</v>
      </c>
      <c r="B751" t="s">
        <v>408</v>
      </c>
      <c r="C751">
        <v>3</v>
      </c>
      <c r="D751">
        <f>VLOOKUP(B751, Menu!$A:$F, 6, 0)</f>
        <v>70.540000000000006</v>
      </c>
      <c r="E751">
        <f>VLOOKUP(B751, Menu!$A:$F, 5, 0)</f>
        <v>35.81</v>
      </c>
      <c r="F751" t="str">
        <f>VLOOKUP(B751, Menu!$A:$F, 3, 0)</f>
        <v>Snack</v>
      </c>
      <c r="G751" s="5">
        <f>VLOOKUP(A751, Orders!$A:$B, 2, 0)</f>
        <v>45882.18414351852</v>
      </c>
      <c r="H751" t="str">
        <f>VLOOKUP(A751, Orders!$A:$C, 3, 0)</f>
        <v>Head Office Café</v>
      </c>
    </row>
    <row r="752" spans="1:8" x14ac:dyDescent="0.3">
      <c r="A752" t="s">
        <v>326</v>
      </c>
      <c r="B752" t="s">
        <v>410</v>
      </c>
      <c r="C752">
        <v>1</v>
      </c>
      <c r="D752">
        <f>VLOOKUP(B752, Menu!$A:$F, 6, 0)</f>
        <v>20.11</v>
      </c>
      <c r="E752">
        <f>VLOOKUP(B752, Menu!$A:$F, 5, 0)</f>
        <v>8</v>
      </c>
      <c r="F752" t="str">
        <f>VLOOKUP(B752, Menu!$A:$F, 3, 0)</f>
        <v>Beverage</v>
      </c>
      <c r="G752" s="5">
        <f>VLOOKUP(A752, Orders!$A:$B, 2, 0)</f>
        <v>45882.18414351852</v>
      </c>
      <c r="H752" t="str">
        <f>VLOOKUP(A752, Orders!$A:$C, 3, 0)</f>
        <v>Head Office Café</v>
      </c>
    </row>
    <row r="753" spans="1:8" x14ac:dyDescent="0.3">
      <c r="A753" t="s">
        <v>326</v>
      </c>
      <c r="B753" t="s">
        <v>403</v>
      </c>
      <c r="C753">
        <v>1</v>
      </c>
      <c r="D753">
        <f>VLOOKUP(B753, Menu!$A:$F, 6, 0)</f>
        <v>76.55</v>
      </c>
      <c r="E753">
        <f>VLOOKUP(B753, Menu!$A:$F, 5, 0)</f>
        <v>38.229999999999997</v>
      </c>
      <c r="F753" t="str">
        <f>VLOOKUP(B753, Menu!$A:$F, 3, 0)</f>
        <v>Dessert</v>
      </c>
      <c r="G753" s="5">
        <f>VLOOKUP(A753, Orders!$A:$B, 2, 0)</f>
        <v>45882.18414351852</v>
      </c>
      <c r="H753" t="str">
        <f>VLOOKUP(A753, Orders!$A:$C, 3, 0)</f>
        <v>Head Office Café</v>
      </c>
    </row>
    <row r="754" spans="1:8" x14ac:dyDescent="0.3">
      <c r="A754" t="s">
        <v>327</v>
      </c>
      <c r="B754" t="s">
        <v>404</v>
      </c>
      <c r="C754">
        <v>1</v>
      </c>
      <c r="D754">
        <f>VLOOKUP(B754, Menu!$A:$F, 6, 0)</f>
        <v>32.979999999999997</v>
      </c>
      <c r="E754">
        <f>VLOOKUP(B754, Menu!$A:$F, 5, 0)</f>
        <v>11.84</v>
      </c>
      <c r="F754" t="str">
        <f>VLOOKUP(B754, Menu!$A:$F, 3, 0)</f>
        <v>Beverage</v>
      </c>
      <c r="G754" s="5">
        <f>VLOOKUP(A754, Orders!$A:$B, 2, 0)</f>
        <v>45873.42019675926</v>
      </c>
      <c r="H754" t="str">
        <f>VLOOKUP(A754, Orders!$A:$C, 3, 0)</f>
        <v>Head Office Café</v>
      </c>
    </row>
    <row r="755" spans="1:8" x14ac:dyDescent="0.3">
      <c r="A755" t="s">
        <v>327</v>
      </c>
      <c r="B755" t="s">
        <v>410</v>
      </c>
      <c r="C755">
        <v>1</v>
      </c>
      <c r="D755">
        <f>VLOOKUP(B755, Menu!$A:$F, 6, 0)</f>
        <v>20.11</v>
      </c>
      <c r="E755">
        <f>VLOOKUP(B755, Menu!$A:$F, 5, 0)</f>
        <v>8</v>
      </c>
      <c r="F755" t="str">
        <f>VLOOKUP(B755, Menu!$A:$F, 3, 0)</f>
        <v>Beverage</v>
      </c>
      <c r="G755" s="5">
        <f>VLOOKUP(A755, Orders!$A:$B, 2, 0)</f>
        <v>45873.42019675926</v>
      </c>
      <c r="H755" t="str">
        <f>VLOOKUP(A755, Orders!$A:$C, 3, 0)</f>
        <v>Head Office Café</v>
      </c>
    </row>
    <row r="756" spans="1:8" x14ac:dyDescent="0.3">
      <c r="A756" t="s">
        <v>328</v>
      </c>
      <c r="B756" t="s">
        <v>415</v>
      </c>
      <c r="C756">
        <v>2</v>
      </c>
      <c r="D756">
        <f>VLOOKUP(B756, Menu!$A:$F, 6, 0)</f>
        <v>256.91000000000003</v>
      </c>
      <c r="E756">
        <f>VLOOKUP(B756, Menu!$A:$F, 5, 0)</f>
        <v>121.24</v>
      </c>
      <c r="F756" t="str">
        <f>VLOOKUP(B756, Menu!$A:$F, 3, 0)</f>
        <v>Hot Meal</v>
      </c>
      <c r="G756" s="5">
        <f>VLOOKUP(A756, Orders!$A:$B, 2, 0)</f>
        <v>45883.126481481479</v>
      </c>
      <c r="H756" t="str">
        <f>VLOOKUP(A756, Orders!$A:$C, 3, 0)</f>
        <v>Plant 1 Canteen</v>
      </c>
    </row>
    <row r="757" spans="1:8" x14ac:dyDescent="0.3">
      <c r="A757" t="s">
        <v>329</v>
      </c>
      <c r="B757" t="s">
        <v>410</v>
      </c>
      <c r="C757">
        <v>1</v>
      </c>
      <c r="D757">
        <f>VLOOKUP(B757, Menu!$A:$F, 6, 0)</f>
        <v>20.11</v>
      </c>
      <c r="E757">
        <f>VLOOKUP(B757, Menu!$A:$F, 5, 0)</f>
        <v>8</v>
      </c>
      <c r="F757" t="str">
        <f>VLOOKUP(B757, Menu!$A:$F, 3, 0)</f>
        <v>Beverage</v>
      </c>
      <c r="G757" s="5">
        <f>VLOOKUP(A757, Orders!$A:$B, 2, 0)</f>
        <v>45846.699837962973</v>
      </c>
      <c r="H757" t="str">
        <f>VLOOKUP(A757, Orders!$A:$C, 3, 0)</f>
        <v>Head Office Café</v>
      </c>
    </row>
    <row r="758" spans="1:8" x14ac:dyDescent="0.3">
      <c r="A758" t="s">
        <v>329</v>
      </c>
      <c r="B758" t="s">
        <v>402</v>
      </c>
      <c r="C758">
        <v>2</v>
      </c>
      <c r="D758">
        <f>VLOOKUP(B758, Menu!$A:$F, 6, 0)</f>
        <v>30.34</v>
      </c>
      <c r="E758">
        <f>VLOOKUP(B758, Menu!$A:$F, 5, 0)</f>
        <v>14.18</v>
      </c>
      <c r="F758" t="str">
        <f>VLOOKUP(B758, Menu!$A:$F, 3, 0)</f>
        <v>Beverage</v>
      </c>
      <c r="G758" s="5">
        <f>VLOOKUP(A758, Orders!$A:$B, 2, 0)</f>
        <v>45846.699837962973</v>
      </c>
      <c r="H758" t="str">
        <f>VLOOKUP(A758, Orders!$A:$C, 3, 0)</f>
        <v>Head Office Café</v>
      </c>
    </row>
    <row r="759" spans="1:8" x14ac:dyDescent="0.3">
      <c r="A759" t="s">
        <v>330</v>
      </c>
      <c r="B759" t="s">
        <v>416</v>
      </c>
      <c r="C759">
        <v>2</v>
      </c>
      <c r="D759">
        <f>VLOOKUP(B759, Menu!$A:$F, 6, 0)</f>
        <v>227.61</v>
      </c>
      <c r="E759">
        <f>VLOOKUP(B759, Menu!$A:$F, 5, 0)</f>
        <v>96.22</v>
      </c>
      <c r="F759" t="str">
        <f>VLOOKUP(B759, Menu!$A:$F, 3, 0)</f>
        <v>Hot Meal</v>
      </c>
      <c r="G759" s="5">
        <f>VLOOKUP(A759, Orders!$A:$B, 2, 0)</f>
        <v>45876.57953703704</v>
      </c>
      <c r="H759" t="str">
        <f>VLOOKUP(A759, Orders!$A:$C, 3, 0)</f>
        <v>Plant 2 Canteen</v>
      </c>
    </row>
    <row r="760" spans="1:8" x14ac:dyDescent="0.3">
      <c r="A760" t="s">
        <v>330</v>
      </c>
      <c r="B760" t="s">
        <v>402</v>
      </c>
      <c r="C760">
        <v>2</v>
      </c>
      <c r="D760">
        <f>VLOOKUP(B760, Menu!$A:$F, 6, 0)</f>
        <v>30.34</v>
      </c>
      <c r="E760">
        <f>VLOOKUP(B760, Menu!$A:$F, 5, 0)</f>
        <v>14.18</v>
      </c>
      <c r="F760" t="str">
        <f>VLOOKUP(B760, Menu!$A:$F, 3, 0)</f>
        <v>Beverage</v>
      </c>
      <c r="G760" s="5">
        <f>VLOOKUP(A760, Orders!$A:$B, 2, 0)</f>
        <v>45876.57953703704</v>
      </c>
      <c r="H760" t="str">
        <f>VLOOKUP(A760, Orders!$A:$C, 3, 0)</f>
        <v>Plant 2 Canteen</v>
      </c>
    </row>
    <row r="761" spans="1:8" x14ac:dyDescent="0.3">
      <c r="A761" t="s">
        <v>331</v>
      </c>
      <c r="B761" t="s">
        <v>409</v>
      </c>
      <c r="C761">
        <v>2</v>
      </c>
      <c r="D761">
        <f>VLOOKUP(B761, Menu!$A:$F, 6, 0)</f>
        <v>28.43</v>
      </c>
      <c r="E761">
        <f>VLOOKUP(B761, Menu!$A:$F, 5, 0)</f>
        <v>13.89</v>
      </c>
      <c r="F761" t="str">
        <f>VLOOKUP(B761, Menu!$A:$F, 3, 0)</f>
        <v>Beverage</v>
      </c>
      <c r="G761" s="5">
        <f>VLOOKUP(A761, Orders!$A:$B, 2, 0)</f>
        <v>45882.914803240739</v>
      </c>
      <c r="H761" t="str">
        <f>VLOOKUP(A761, Orders!$A:$C, 3, 0)</f>
        <v>Head Office Café</v>
      </c>
    </row>
    <row r="762" spans="1:8" x14ac:dyDescent="0.3">
      <c r="A762" t="s">
        <v>332</v>
      </c>
      <c r="B762" t="s">
        <v>412</v>
      </c>
      <c r="C762">
        <v>1</v>
      </c>
      <c r="D762">
        <f>VLOOKUP(B762, Menu!$A:$F, 6, 0)</f>
        <v>57.07</v>
      </c>
      <c r="E762">
        <f>VLOOKUP(B762, Menu!$A:$F, 5, 0)</f>
        <v>29.14</v>
      </c>
      <c r="F762" t="str">
        <f>VLOOKUP(B762, Menu!$A:$F, 3, 0)</f>
        <v>Dessert</v>
      </c>
      <c r="G762" s="5">
        <f>VLOOKUP(A762, Orders!$A:$B, 2, 0)</f>
        <v>45897.990231481483</v>
      </c>
      <c r="H762" t="str">
        <f>VLOOKUP(A762, Orders!$A:$C, 3, 0)</f>
        <v>Plant 2 Canteen</v>
      </c>
    </row>
    <row r="763" spans="1:8" x14ac:dyDescent="0.3">
      <c r="A763" t="s">
        <v>332</v>
      </c>
      <c r="B763" t="s">
        <v>411</v>
      </c>
      <c r="C763">
        <v>1</v>
      </c>
      <c r="D763">
        <f>VLOOKUP(B763, Menu!$A:$F, 6, 0)</f>
        <v>22.2</v>
      </c>
      <c r="E763">
        <f>VLOOKUP(B763, Menu!$A:$F, 5, 0)</f>
        <v>9.3800000000000008</v>
      </c>
      <c r="F763" t="str">
        <f>VLOOKUP(B763, Menu!$A:$F, 3, 0)</f>
        <v>Beverage</v>
      </c>
      <c r="G763" s="5">
        <f>VLOOKUP(A763, Orders!$A:$B, 2, 0)</f>
        <v>45897.990231481483</v>
      </c>
      <c r="H763" t="str">
        <f>VLOOKUP(A763, Orders!$A:$C, 3, 0)</f>
        <v>Plant 2 Canteen</v>
      </c>
    </row>
    <row r="764" spans="1:8" x14ac:dyDescent="0.3">
      <c r="A764" t="s">
        <v>333</v>
      </c>
      <c r="B764" t="s">
        <v>419</v>
      </c>
      <c r="C764">
        <v>1</v>
      </c>
      <c r="D764">
        <f>VLOOKUP(B764, Menu!$A:$F, 6, 0)</f>
        <v>50.19</v>
      </c>
      <c r="E764">
        <f>VLOOKUP(B764, Menu!$A:$F, 5, 0)</f>
        <v>22.61</v>
      </c>
      <c r="F764" t="str">
        <f>VLOOKUP(B764, Menu!$A:$F, 3, 0)</f>
        <v>Snack</v>
      </c>
      <c r="G764" s="5">
        <f>VLOOKUP(A764, Orders!$A:$B, 2, 0)</f>
        <v>45882.991446759261</v>
      </c>
      <c r="H764" t="str">
        <f>VLOOKUP(A764, Orders!$A:$C, 3, 0)</f>
        <v>Plant 1 Canteen</v>
      </c>
    </row>
    <row r="765" spans="1:8" x14ac:dyDescent="0.3">
      <c r="A765" t="s">
        <v>333</v>
      </c>
      <c r="B765" t="s">
        <v>418</v>
      </c>
      <c r="C765">
        <v>3</v>
      </c>
      <c r="D765">
        <f>VLOOKUP(B765, Menu!$A:$F, 6, 0)</f>
        <v>39.950000000000003</v>
      </c>
      <c r="E765">
        <f>VLOOKUP(B765, Menu!$A:$F, 5, 0)</f>
        <v>15.51</v>
      </c>
      <c r="F765" t="str">
        <f>VLOOKUP(B765, Menu!$A:$F, 3, 0)</f>
        <v>Snack</v>
      </c>
      <c r="G765" s="5">
        <f>VLOOKUP(A765, Orders!$A:$B, 2, 0)</f>
        <v>45882.991446759261</v>
      </c>
      <c r="H765" t="str">
        <f>VLOOKUP(A765, Orders!$A:$C, 3, 0)</f>
        <v>Plant 1 Canteen</v>
      </c>
    </row>
    <row r="766" spans="1:8" x14ac:dyDescent="0.3">
      <c r="A766" t="s">
        <v>334</v>
      </c>
      <c r="B766" t="s">
        <v>408</v>
      </c>
      <c r="C766">
        <v>3</v>
      </c>
      <c r="D766">
        <f>VLOOKUP(B766, Menu!$A:$F, 6, 0)</f>
        <v>70.540000000000006</v>
      </c>
      <c r="E766">
        <f>VLOOKUP(B766, Menu!$A:$F, 5, 0)</f>
        <v>35.81</v>
      </c>
      <c r="F766" t="str">
        <f>VLOOKUP(B766, Menu!$A:$F, 3, 0)</f>
        <v>Snack</v>
      </c>
      <c r="G766" s="5">
        <f>VLOOKUP(A766, Orders!$A:$B, 2, 0)</f>
        <v>45888.236840277779</v>
      </c>
      <c r="H766" t="str">
        <f>VLOOKUP(A766, Orders!$A:$C, 3, 0)</f>
        <v>Head Office Café</v>
      </c>
    </row>
    <row r="767" spans="1:8" x14ac:dyDescent="0.3">
      <c r="A767" t="s">
        <v>335</v>
      </c>
      <c r="B767" t="s">
        <v>415</v>
      </c>
      <c r="C767">
        <v>1</v>
      </c>
      <c r="D767">
        <f>VLOOKUP(B767, Menu!$A:$F, 6, 0)</f>
        <v>256.91000000000003</v>
      </c>
      <c r="E767">
        <f>VLOOKUP(B767, Menu!$A:$F, 5, 0)</f>
        <v>121.24</v>
      </c>
      <c r="F767" t="str">
        <f>VLOOKUP(B767, Menu!$A:$F, 3, 0)</f>
        <v>Hot Meal</v>
      </c>
      <c r="G767" s="5">
        <f>VLOOKUP(A767, Orders!$A:$B, 2, 0)</f>
        <v>45881.752106481479</v>
      </c>
      <c r="H767" t="str">
        <f>VLOOKUP(A767, Orders!$A:$C, 3, 0)</f>
        <v>Plant 2 Canteen</v>
      </c>
    </row>
    <row r="768" spans="1:8" x14ac:dyDescent="0.3">
      <c r="A768" t="s">
        <v>336</v>
      </c>
      <c r="B768" t="s">
        <v>406</v>
      </c>
      <c r="C768">
        <v>1</v>
      </c>
      <c r="D768">
        <f>VLOOKUP(B768, Menu!$A:$F, 6, 0)</f>
        <v>38.06</v>
      </c>
      <c r="E768">
        <f>VLOOKUP(B768, Menu!$A:$F, 5, 0)</f>
        <v>19.55</v>
      </c>
      <c r="F768" t="str">
        <f>VLOOKUP(B768, Menu!$A:$F, 3, 0)</f>
        <v>Snack</v>
      </c>
      <c r="G768" s="5">
        <f>VLOOKUP(A768, Orders!$A:$B, 2, 0)</f>
        <v>45874.580983796302</v>
      </c>
      <c r="H768" t="str">
        <f>VLOOKUP(A768, Orders!$A:$C, 3, 0)</f>
        <v>Plant 2 Canteen</v>
      </c>
    </row>
    <row r="769" spans="1:8" x14ac:dyDescent="0.3">
      <c r="A769" t="s">
        <v>336</v>
      </c>
      <c r="B769" t="s">
        <v>414</v>
      </c>
      <c r="C769">
        <v>1</v>
      </c>
      <c r="D769">
        <f>VLOOKUP(B769, Menu!$A:$F, 6, 0)</f>
        <v>116.8</v>
      </c>
      <c r="E769">
        <f>VLOOKUP(B769, Menu!$A:$F, 5, 0)</f>
        <v>48.97</v>
      </c>
      <c r="F769" t="str">
        <f>VLOOKUP(B769, Menu!$A:$F, 3, 0)</f>
        <v>Dessert</v>
      </c>
      <c r="G769" s="5">
        <f>VLOOKUP(A769, Orders!$A:$B, 2, 0)</f>
        <v>45874.580983796302</v>
      </c>
      <c r="H769" t="str">
        <f>VLOOKUP(A769, Orders!$A:$C, 3, 0)</f>
        <v>Plant 2 Canteen</v>
      </c>
    </row>
    <row r="770" spans="1:8" x14ac:dyDescent="0.3">
      <c r="A770" t="s">
        <v>336</v>
      </c>
      <c r="B770" t="s">
        <v>417</v>
      </c>
      <c r="C770">
        <v>2</v>
      </c>
      <c r="D770">
        <f>VLOOKUP(B770, Menu!$A:$F, 6, 0)</f>
        <v>146.4</v>
      </c>
      <c r="E770">
        <f>VLOOKUP(B770, Menu!$A:$F, 5, 0)</f>
        <v>80.92</v>
      </c>
      <c r="F770" t="str">
        <f>VLOOKUP(B770, Menu!$A:$F, 3, 0)</f>
        <v>Hot Meal</v>
      </c>
      <c r="G770" s="5">
        <f>VLOOKUP(A770, Orders!$A:$B, 2, 0)</f>
        <v>45874.580983796302</v>
      </c>
      <c r="H770" t="str">
        <f>VLOOKUP(A770, Orders!$A:$C, 3, 0)</f>
        <v>Plant 2 Canteen</v>
      </c>
    </row>
    <row r="771" spans="1:8" x14ac:dyDescent="0.3">
      <c r="A771" t="s">
        <v>336</v>
      </c>
      <c r="B771" t="s">
        <v>410</v>
      </c>
      <c r="C771">
        <v>1</v>
      </c>
      <c r="D771">
        <f>VLOOKUP(B771, Menu!$A:$F, 6, 0)</f>
        <v>20.11</v>
      </c>
      <c r="E771">
        <f>VLOOKUP(B771, Menu!$A:$F, 5, 0)</f>
        <v>8</v>
      </c>
      <c r="F771" t="str">
        <f>VLOOKUP(B771, Menu!$A:$F, 3, 0)</f>
        <v>Beverage</v>
      </c>
      <c r="G771" s="5">
        <f>VLOOKUP(A771, Orders!$A:$B, 2, 0)</f>
        <v>45874.580983796302</v>
      </c>
      <c r="H771" t="str">
        <f>VLOOKUP(A771, Orders!$A:$C, 3, 0)</f>
        <v>Plant 2 Canteen</v>
      </c>
    </row>
    <row r="772" spans="1:8" x14ac:dyDescent="0.3">
      <c r="A772" t="s">
        <v>337</v>
      </c>
      <c r="B772" t="s">
        <v>413</v>
      </c>
      <c r="C772">
        <v>1</v>
      </c>
      <c r="D772">
        <f>VLOOKUP(B772, Menu!$A:$F, 6, 0)</f>
        <v>54.2</v>
      </c>
      <c r="E772">
        <f>VLOOKUP(B772, Menu!$A:$F, 5, 0)</f>
        <v>21.95</v>
      </c>
      <c r="F772" t="str">
        <f>VLOOKUP(B772, Menu!$A:$F, 3, 0)</f>
        <v>Dessert</v>
      </c>
      <c r="G772" s="5">
        <f>VLOOKUP(A772, Orders!$A:$B, 2, 0)</f>
        <v>45872.102187500001</v>
      </c>
      <c r="H772" t="str">
        <f>VLOOKUP(A772, Orders!$A:$C, 3, 0)</f>
        <v>Head Office Café</v>
      </c>
    </row>
    <row r="773" spans="1:8" x14ac:dyDescent="0.3">
      <c r="A773" t="s">
        <v>337</v>
      </c>
      <c r="B773" t="s">
        <v>407</v>
      </c>
      <c r="C773">
        <v>1</v>
      </c>
      <c r="D773">
        <f>VLOOKUP(B773, Menu!$A:$F, 6, 0)</f>
        <v>246.09</v>
      </c>
      <c r="E773">
        <f>VLOOKUP(B773, Menu!$A:$F, 5, 0)</f>
        <v>112.08</v>
      </c>
      <c r="F773" t="str">
        <f>VLOOKUP(B773, Menu!$A:$F, 3, 0)</f>
        <v>Hot Meal</v>
      </c>
      <c r="G773" s="5">
        <f>VLOOKUP(A773, Orders!$A:$B, 2, 0)</f>
        <v>45872.102187500001</v>
      </c>
      <c r="H773" t="str">
        <f>VLOOKUP(A773, Orders!$A:$C, 3, 0)</f>
        <v>Head Office Café</v>
      </c>
    </row>
    <row r="774" spans="1:8" x14ac:dyDescent="0.3">
      <c r="A774" t="s">
        <v>337</v>
      </c>
      <c r="B774" t="s">
        <v>401</v>
      </c>
      <c r="C774">
        <v>2</v>
      </c>
      <c r="D774">
        <f>VLOOKUP(B774, Menu!$A:$F, 6, 0)</f>
        <v>52.45</v>
      </c>
      <c r="E774">
        <f>VLOOKUP(B774, Menu!$A:$F, 5, 0)</f>
        <v>25.8</v>
      </c>
      <c r="F774" t="str">
        <f>VLOOKUP(B774, Menu!$A:$F, 3, 0)</f>
        <v>Snack</v>
      </c>
      <c r="G774" s="5">
        <f>VLOOKUP(A774, Orders!$A:$B, 2, 0)</f>
        <v>45872.102187500001</v>
      </c>
      <c r="H774" t="str">
        <f>VLOOKUP(A774, Orders!$A:$C, 3, 0)</f>
        <v>Head Office Café</v>
      </c>
    </row>
    <row r="775" spans="1:8" x14ac:dyDescent="0.3">
      <c r="A775" t="s">
        <v>338</v>
      </c>
      <c r="B775" t="s">
        <v>418</v>
      </c>
      <c r="C775">
        <v>3</v>
      </c>
      <c r="D775">
        <f>VLOOKUP(B775, Menu!$A:$F, 6, 0)</f>
        <v>39.950000000000003</v>
      </c>
      <c r="E775">
        <f>VLOOKUP(B775, Menu!$A:$F, 5, 0)</f>
        <v>15.51</v>
      </c>
      <c r="F775" t="str">
        <f>VLOOKUP(B775, Menu!$A:$F, 3, 0)</f>
        <v>Snack</v>
      </c>
      <c r="G775" s="5">
        <f>VLOOKUP(A775, Orders!$A:$B, 2, 0)</f>
        <v>45845.649398148147</v>
      </c>
      <c r="H775" t="str">
        <f>VLOOKUP(A775, Orders!$A:$C, 3, 0)</f>
        <v>Plant 2 Canteen</v>
      </c>
    </row>
    <row r="776" spans="1:8" x14ac:dyDescent="0.3">
      <c r="A776" t="s">
        <v>338</v>
      </c>
      <c r="B776" t="s">
        <v>403</v>
      </c>
      <c r="C776">
        <v>1</v>
      </c>
      <c r="D776">
        <f>VLOOKUP(B776, Menu!$A:$F, 6, 0)</f>
        <v>76.55</v>
      </c>
      <c r="E776">
        <f>VLOOKUP(B776, Menu!$A:$F, 5, 0)</f>
        <v>38.229999999999997</v>
      </c>
      <c r="F776" t="str">
        <f>VLOOKUP(B776, Menu!$A:$F, 3, 0)</f>
        <v>Dessert</v>
      </c>
      <c r="G776" s="5">
        <f>VLOOKUP(A776, Orders!$A:$B, 2, 0)</f>
        <v>45845.649398148147</v>
      </c>
      <c r="H776" t="str">
        <f>VLOOKUP(A776, Orders!$A:$C, 3, 0)</f>
        <v>Plant 2 Canteen</v>
      </c>
    </row>
    <row r="777" spans="1:8" x14ac:dyDescent="0.3">
      <c r="A777" t="s">
        <v>338</v>
      </c>
      <c r="B777" t="s">
        <v>413</v>
      </c>
      <c r="C777">
        <v>2</v>
      </c>
      <c r="D777">
        <f>VLOOKUP(B777, Menu!$A:$F, 6, 0)</f>
        <v>54.2</v>
      </c>
      <c r="E777">
        <f>VLOOKUP(B777, Menu!$A:$F, 5, 0)</f>
        <v>21.95</v>
      </c>
      <c r="F777" t="str">
        <f>VLOOKUP(B777, Menu!$A:$F, 3, 0)</f>
        <v>Dessert</v>
      </c>
      <c r="G777" s="5">
        <f>VLOOKUP(A777, Orders!$A:$B, 2, 0)</f>
        <v>45845.649398148147</v>
      </c>
      <c r="H777" t="str">
        <f>VLOOKUP(A777, Orders!$A:$C, 3, 0)</f>
        <v>Plant 2 Canteen</v>
      </c>
    </row>
    <row r="778" spans="1:8" x14ac:dyDescent="0.3">
      <c r="A778" t="s">
        <v>338</v>
      </c>
      <c r="B778" t="s">
        <v>408</v>
      </c>
      <c r="C778">
        <v>1</v>
      </c>
      <c r="D778">
        <f>VLOOKUP(B778, Menu!$A:$F, 6, 0)</f>
        <v>70.540000000000006</v>
      </c>
      <c r="E778">
        <f>VLOOKUP(B778, Menu!$A:$F, 5, 0)</f>
        <v>35.81</v>
      </c>
      <c r="F778" t="str">
        <f>VLOOKUP(B778, Menu!$A:$F, 3, 0)</f>
        <v>Snack</v>
      </c>
      <c r="G778" s="5">
        <f>VLOOKUP(A778, Orders!$A:$B, 2, 0)</f>
        <v>45845.649398148147</v>
      </c>
      <c r="H778" t="str">
        <f>VLOOKUP(A778, Orders!$A:$C, 3, 0)</f>
        <v>Plant 2 Canteen</v>
      </c>
    </row>
    <row r="779" spans="1:8" x14ac:dyDescent="0.3">
      <c r="A779" t="s">
        <v>339</v>
      </c>
      <c r="B779" t="s">
        <v>411</v>
      </c>
      <c r="C779">
        <v>3</v>
      </c>
      <c r="D779">
        <f>VLOOKUP(B779, Menu!$A:$F, 6, 0)</f>
        <v>22.2</v>
      </c>
      <c r="E779">
        <f>VLOOKUP(B779, Menu!$A:$F, 5, 0)</f>
        <v>9.3800000000000008</v>
      </c>
      <c r="F779" t="str">
        <f>VLOOKUP(B779, Menu!$A:$F, 3, 0)</f>
        <v>Beverage</v>
      </c>
      <c r="G779" s="5">
        <f>VLOOKUP(A779, Orders!$A:$B, 2, 0)</f>
        <v>45866.83792824074</v>
      </c>
      <c r="H779" t="str">
        <f>VLOOKUP(A779, Orders!$A:$C, 3, 0)</f>
        <v>Plant 2 Canteen</v>
      </c>
    </row>
    <row r="780" spans="1:8" x14ac:dyDescent="0.3">
      <c r="A780" t="s">
        <v>340</v>
      </c>
      <c r="B780" t="s">
        <v>418</v>
      </c>
      <c r="C780">
        <v>2</v>
      </c>
      <c r="D780">
        <f>VLOOKUP(B780, Menu!$A:$F, 6, 0)</f>
        <v>39.950000000000003</v>
      </c>
      <c r="E780">
        <f>VLOOKUP(B780, Menu!$A:$F, 5, 0)</f>
        <v>15.51</v>
      </c>
      <c r="F780" t="str">
        <f>VLOOKUP(B780, Menu!$A:$F, 3, 0)</f>
        <v>Snack</v>
      </c>
      <c r="G780" s="5">
        <f>VLOOKUP(A780, Orders!$A:$B, 2, 0)</f>
        <v>45871.616238425922</v>
      </c>
      <c r="H780" t="str">
        <f>VLOOKUP(A780, Orders!$A:$C, 3, 0)</f>
        <v>Plant 1 Canteen</v>
      </c>
    </row>
    <row r="781" spans="1:8" x14ac:dyDescent="0.3">
      <c r="A781" t="s">
        <v>340</v>
      </c>
      <c r="B781" t="s">
        <v>406</v>
      </c>
      <c r="C781">
        <v>2</v>
      </c>
      <c r="D781">
        <f>VLOOKUP(B781, Menu!$A:$F, 6, 0)</f>
        <v>38.06</v>
      </c>
      <c r="E781">
        <f>VLOOKUP(B781, Menu!$A:$F, 5, 0)</f>
        <v>19.55</v>
      </c>
      <c r="F781" t="str">
        <f>VLOOKUP(B781, Menu!$A:$F, 3, 0)</f>
        <v>Snack</v>
      </c>
      <c r="G781" s="5">
        <f>VLOOKUP(A781, Orders!$A:$B, 2, 0)</f>
        <v>45871.616238425922</v>
      </c>
      <c r="H781" t="str">
        <f>VLOOKUP(A781, Orders!$A:$C, 3, 0)</f>
        <v>Plant 1 Canteen</v>
      </c>
    </row>
    <row r="782" spans="1:8" x14ac:dyDescent="0.3">
      <c r="A782" t="s">
        <v>341</v>
      </c>
      <c r="B782" t="s">
        <v>404</v>
      </c>
      <c r="C782">
        <v>1</v>
      </c>
      <c r="D782">
        <f>VLOOKUP(B782, Menu!$A:$F, 6, 0)</f>
        <v>32.979999999999997</v>
      </c>
      <c r="E782">
        <f>VLOOKUP(B782, Menu!$A:$F, 5, 0)</f>
        <v>11.84</v>
      </c>
      <c r="F782" t="str">
        <f>VLOOKUP(B782, Menu!$A:$F, 3, 0)</f>
        <v>Beverage</v>
      </c>
      <c r="G782" s="5">
        <f>VLOOKUP(A782, Orders!$A:$B, 2, 0)</f>
        <v>45873.214224537027</v>
      </c>
      <c r="H782" t="str">
        <f>VLOOKUP(A782, Orders!$A:$C, 3, 0)</f>
        <v>Plant 2 Canteen</v>
      </c>
    </row>
    <row r="783" spans="1:8" x14ac:dyDescent="0.3">
      <c r="A783" t="s">
        <v>342</v>
      </c>
      <c r="B783" t="s">
        <v>418</v>
      </c>
      <c r="C783">
        <v>2</v>
      </c>
      <c r="D783">
        <f>VLOOKUP(B783, Menu!$A:$F, 6, 0)</f>
        <v>39.950000000000003</v>
      </c>
      <c r="E783">
        <f>VLOOKUP(B783, Menu!$A:$F, 5, 0)</f>
        <v>15.51</v>
      </c>
      <c r="F783" t="str">
        <f>VLOOKUP(B783, Menu!$A:$F, 3, 0)</f>
        <v>Snack</v>
      </c>
      <c r="G783" s="5">
        <f>VLOOKUP(A783, Orders!$A:$B, 2, 0)</f>
        <v>45851.769953703697</v>
      </c>
      <c r="H783" t="str">
        <f>VLOOKUP(A783, Orders!$A:$C, 3, 0)</f>
        <v>Head Office Café</v>
      </c>
    </row>
    <row r="784" spans="1:8" x14ac:dyDescent="0.3">
      <c r="A784" t="s">
        <v>342</v>
      </c>
      <c r="B784" t="s">
        <v>407</v>
      </c>
      <c r="C784">
        <v>2</v>
      </c>
      <c r="D784">
        <f>VLOOKUP(B784, Menu!$A:$F, 6, 0)</f>
        <v>246.09</v>
      </c>
      <c r="E784">
        <f>VLOOKUP(B784, Menu!$A:$F, 5, 0)</f>
        <v>112.08</v>
      </c>
      <c r="F784" t="str">
        <f>VLOOKUP(B784, Menu!$A:$F, 3, 0)</f>
        <v>Hot Meal</v>
      </c>
      <c r="G784" s="5">
        <f>VLOOKUP(A784, Orders!$A:$B, 2, 0)</f>
        <v>45851.769953703697</v>
      </c>
      <c r="H784" t="str">
        <f>VLOOKUP(A784, Orders!$A:$C, 3, 0)</f>
        <v>Head Office Café</v>
      </c>
    </row>
    <row r="785" spans="1:8" x14ac:dyDescent="0.3">
      <c r="A785" t="s">
        <v>343</v>
      </c>
      <c r="B785" t="s">
        <v>419</v>
      </c>
      <c r="C785">
        <v>1</v>
      </c>
      <c r="D785">
        <f>VLOOKUP(B785, Menu!$A:$F, 6, 0)</f>
        <v>50.19</v>
      </c>
      <c r="E785">
        <f>VLOOKUP(B785, Menu!$A:$F, 5, 0)</f>
        <v>22.61</v>
      </c>
      <c r="F785" t="str">
        <f>VLOOKUP(B785, Menu!$A:$F, 3, 0)</f>
        <v>Snack</v>
      </c>
      <c r="G785" s="5">
        <f>VLOOKUP(A785, Orders!$A:$B, 2, 0)</f>
        <v>45893.515949074077</v>
      </c>
      <c r="H785" t="str">
        <f>VLOOKUP(A785, Orders!$A:$C, 3, 0)</f>
        <v>Plant 2 Canteen</v>
      </c>
    </row>
    <row r="786" spans="1:8" x14ac:dyDescent="0.3">
      <c r="A786" t="s">
        <v>343</v>
      </c>
      <c r="B786" t="s">
        <v>410</v>
      </c>
      <c r="C786">
        <v>1</v>
      </c>
      <c r="D786">
        <f>VLOOKUP(B786, Menu!$A:$F, 6, 0)</f>
        <v>20.11</v>
      </c>
      <c r="E786">
        <f>VLOOKUP(B786, Menu!$A:$F, 5, 0)</f>
        <v>8</v>
      </c>
      <c r="F786" t="str">
        <f>VLOOKUP(B786, Menu!$A:$F, 3, 0)</f>
        <v>Beverage</v>
      </c>
      <c r="G786" s="5">
        <f>VLOOKUP(A786, Orders!$A:$B, 2, 0)</f>
        <v>45893.515949074077</v>
      </c>
      <c r="H786" t="str">
        <f>VLOOKUP(A786, Orders!$A:$C, 3, 0)</f>
        <v>Plant 2 Canteen</v>
      </c>
    </row>
    <row r="787" spans="1:8" x14ac:dyDescent="0.3">
      <c r="A787" t="s">
        <v>343</v>
      </c>
      <c r="B787" t="s">
        <v>405</v>
      </c>
      <c r="C787">
        <v>1</v>
      </c>
      <c r="D787">
        <f>VLOOKUP(B787, Menu!$A:$F, 6, 0)</f>
        <v>170.83</v>
      </c>
      <c r="E787">
        <f>VLOOKUP(B787, Menu!$A:$F, 5, 0)</f>
        <v>74.069999999999993</v>
      </c>
      <c r="F787" t="str">
        <f>VLOOKUP(B787, Menu!$A:$F, 3, 0)</f>
        <v>Hot Meal</v>
      </c>
      <c r="G787" s="5">
        <f>VLOOKUP(A787, Orders!$A:$B, 2, 0)</f>
        <v>45893.515949074077</v>
      </c>
      <c r="H787" t="str">
        <f>VLOOKUP(A787, Orders!$A:$C, 3, 0)</f>
        <v>Plant 2 Canteen</v>
      </c>
    </row>
    <row r="788" spans="1:8" x14ac:dyDescent="0.3">
      <c r="A788" t="s">
        <v>343</v>
      </c>
      <c r="B788" t="s">
        <v>417</v>
      </c>
      <c r="C788">
        <v>3</v>
      </c>
      <c r="D788">
        <f>VLOOKUP(B788, Menu!$A:$F, 6, 0)</f>
        <v>146.4</v>
      </c>
      <c r="E788">
        <f>VLOOKUP(B788, Menu!$A:$F, 5, 0)</f>
        <v>80.92</v>
      </c>
      <c r="F788" t="str">
        <f>VLOOKUP(B788, Menu!$A:$F, 3, 0)</f>
        <v>Hot Meal</v>
      </c>
      <c r="G788" s="5">
        <f>VLOOKUP(A788, Orders!$A:$B, 2, 0)</f>
        <v>45893.515949074077</v>
      </c>
      <c r="H788" t="str">
        <f>VLOOKUP(A788, Orders!$A:$C, 3, 0)</f>
        <v>Plant 2 Canteen</v>
      </c>
    </row>
    <row r="789" spans="1:8" x14ac:dyDescent="0.3">
      <c r="A789" t="s">
        <v>344</v>
      </c>
      <c r="B789" t="s">
        <v>403</v>
      </c>
      <c r="C789">
        <v>1</v>
      </c>
      <c r="D789">
        <f>VLOOKUP(B789, Menu!$A:$F, 6, 0)</f>
        <v>76.55</v>
      </c>
      <c r="E789">
        <f>VLOOKUP(B789, Menu!$A:$F, 5, 0)</f>
        <v>38.229999999999997</v>
      </c>
      <c r="F789" t="str">
        <f>VLOOKUP(B789, Menu!$A:$F, 3, 0)</f>
        <v>Dessert</v>
      </c>
      <c r="G789" s="5">
        <f>VLOOKUP(A789, Orders!$A:$B, 2, 0)</f>
        <v>45890.357719907413</v>
      </c>
      <c r="H789" t="str">
        <f>VLOOKUP(A789, Orders!$A:$C, 3, 0)</f>
        <v>Plant 1 Canteen</v>
      </c>
    </row>
    <row r="790" spans="1:8" x14ac:dyDescent="0.3">
      <c r="A790" t="s">
        <v>344</v>
      </c>
      <c r="B790" t="s">
        <v>407</v>
      </c>
      <c r="C790">
        <v>1</v>
      </c>
      <c r="D790">
        <f>VLOOKUP(B790, Menu!$A:$F, 6, 0)</f>
        <v>246.09</v>
      </c>
      <c r="E790">
        <f>VLOOKUP(B790, Menu!$A:$F, 5, 0)</f>
        <v>112.08</v>
      </c>
      <c r="F790" t="str">
        <f>VLOOKUP(B790, Menu!$A:$F, 3, 0)</f>
        <v>Hot Meal</v>
      </c>
      <c r="G790" s="5">
        <f>VLOOKUP(A790, Orders!$A:$B, 2, 0)</f>
        <v>45890.357719907413</v>
      </c>
      <c r="H790" t="str">
        <f>VLOOKUP(A790, Orders!$A:$C, 3, 0)</f>
        <v>Plant 1 Canteen</v>
      </c>
    </row>
    <row r="791" spans="1:8" x14ac:dyDescent="0.3">
      <c r="A791" t="s">
        <v>344</v>
      </c>
      <c r="B791" t="s">
        <v>411</v>
      </c>
      <c r="C791">
        <v>2</v>
      </c>
      <c r="D791">
        <f>VLOOKUP(B791, Menu!$A:$F, 6, 0)</f>
        <v>22.2</v>
      </c>
      <c r="E791">
        <f>VLOOKUP(B791, Menu!$A:$F, 5, 0)</f>
        <v>9.3800000000000008</v>
      </c>
      <c r="F791" t="str">
        <f>VLOOKUP(B791, Menu!$A:$F, 3, 0)</f>
        <v>Beverage</v>
      </c>
      <c r="G791" s="5">
        <f>VLOOKUP(A791, Orders!$A:$B, 2, 0)</f>
        <v>45890.357719907413</v>
      </c>
      <c r="H791" t="str">
        <f>VLOOKUP(A791, Orders!$A:$C, 3, 0)</f>
        <v>Plant 1 Canteen</v>
      </c>
    </row>
    <row r="792" spans="1:8" x14ac:dyDescent="0.3">
      <c r="A792" t="s">
        <v>344</v>
      </c>
      <c r="B792" t="s">
        <v>402</v>
      </c>
      <c r="C792">
        <v>2</v>
      </c>
      <c r="D792">
        <f>VLOOKUP(B792, Menu!$A:$F, 6, 0)</f>
        <v>30.34</v>
      </c>
      <c r="E792">
        <f>VLOOKUP(B792, Menu!$A:$F, 5, 0)</f>
        <v>14.18</v>
      </c>
      <c r="F792" t="str">
        <f>VLOOKUP(B792, Menu!$A:$F, 3, 0)</f>
        <v>Beverage</v>
      </c>
      <c r="G792" s="5">
        <f>VLOOKUP(A792, Orders!$A:$B, 2, 0)</f>
        <v>45890.357719907413</v>
      </c>
      <c r="H792" t="str">
        <f>VLOOKUP(A792, Orders!$A:$C, 3, 0)</f>
        <v>Plant 1 Canteen</v>
      </c>
    </row>
    <row r="793" spans="1:8" x14ac:dyDescent="0.3">
      <c r="A793" t="s">
        <v>345</v>
      </c>
      <c r="B793" t="s">
        <v>415</v>
      </c>
      <c r="C793">
        <v>1</v>
      </c>
      <c r="D793">
        <f>VLOOKUP(B793, Menu!$A:$F, 6, 0)</f>
        <v>256.91000000000003</v>
      </c>
      <c r="E793">
        <f>VLOOKUP(B793, Menu!$A:$F, 5, 0)</f>
        <v>121.24</v>
      </c>
      <c r="F793" t="str">
        <f>VLOOKUP(B793, Menu!$A:$F, 3, 0)</f>
        <v>Hot Meal</v>
      </c>
      <c r="G793" s="5">
        <f>VLOOKUP(A793, Orders!$A:$B, 2, 0)</f>
        <v>45888.619328703702</v>
      </c>
      <c r="H793" t="str">
        <f>VLOOKUP(A793, Orders!$A:$C, 3, 0)</f>
        <v>Plant 2 Canteen</v>
      </c>
    </row>
    <row r="794" spans="1:8" x14ac:dyDescent="0.3">
      <c r="A794" t="s">
        <v>345</v>
      </c>
      <c r="B794" t="s">
        <v>413</v>
      </c>
      <c r="C794">
        <v>3</v>
      </c>
      <c r="D794">
        <f>VLOOKUP(B794, Menu!$A:$F, 6, 0)</f>
        <v>54.2</v>
      </c>
      <c r="E794">
        <f>VLOOKUP(B794, Menu!$A:$F, 5, 0)</f>
        <v>21.95</v>
      </c>
      <c r="F794" t="str">
        <f>VLOOKUP(B794, Menu!$A:$F, 3, 0)</f>
        <v>Dessert</v>
      </c>
      <c r="G794" s="5">
        <f>VLOOKUP(A794, Orders!$A:$B, 2, 0)</f>
        <v>45888.619328703702</v>
      </c>
      <c r="H794" t="str">
        <f>VLOOKUP(A794, Orders!$A:$C, 3, 0)</f>
        <v>Plant 2 Canteen</v>
      </c>
    </row>
    <row r="795" spans="1:8" x14ac:dyDescent="0.3">
      <c r="A795" t="s">
        <v>345</v>
      </c>
      <c r="B795" t="s">
        <v>414</v>
      </c>
      <c r="C795">
        <v>1</v>
      </c>
      <c r="D795">
        <f>VLOOKUP(B795, Menu!$A:$F, 6, 0)</f>
        <v>116.8</v>
      </c>
      <c r="E795">
        <f>VLOOKUP(B795, Menu!$A:$F, 5, 0)</f>
        <v>48.97</v>
      </c>
      <c r="F795" t="str">
        <f>VLOOKUP(B795, Menu!$A:$F, 3, 0)</f>
        <v>Dessert</v>
      </c>
      <c r="G795" s="5">
        <f>VLOOKUP(A795, Orders!$A:$B, 2, 0)</f>
        <v>45888.619328703702</v>
      </c>
      <c r="H795" t="str">
        <f>VLOOKUP(A795, Orders!$A:$C, 3, 0)</f>
        <v>Plant 2 Canteen</v>
      </c>
    </row>
    <row r="796" spans="1:8" x14ac:dyDescent="0.3">
      <c r="A796" t="s">
        <v>345</v>
      </c>
      <c r="B796" t="s">
        <v>407</v>
      </c>
      <c r="C796">
        <v>2</v>
      </c>
      <c r="D796">
        <f>VLOOKUP(B796, Menu!$A:$F, 6, 0)</f>
        <v>246.09</v>
      </c>
      <c r="E796">
        <f>VLOOKUP(B796, Menu!$A:$F, 5, 0)</f>
        <v>112.08</v>
      </c>
      <c r="F796" t="str">
        <f>VLOOKUP(B796, Menu!$A:$F, 3, 0)</f>
        <v>Hot Meal</v>
      </c>
      <c r="G796" s="5">
        <f>VLOOKUP(A796, Orders!$A:$B, 2, 0)</f>
        <v>45888.619328703702</v>
      </c>
      <c r="H796" t="str">
        <f>VLOOKUP(A796, Orders!$A:$C, 3, 0)</f>
        <v>Plant 2 Canteen</v>
      </c>
    </row>
    <row r="797" spans="1:8" x14ac:dyDescent="0.3">
      <c r="A797" t="s">
        <v>346</v>
      </c>
      <c r="B797" t="s">
        <v>404</v>
      </c>
      <c r="C797">
        <v>1</v>
      </c>
      <c r="D797">
        <f>VLOOKUP(B797, Menu!$A:$F, 6, 0)</f>
        <v>32.979999999999997</v>
      </c>
      <c r="E797">
        <f>VLOOKUP(B797, Menu!$A:$F, 5, 0)</f>
        <v>11.84</v>
      </c>
      <c r="F797" t="str">
        <f>VLOOKUP(B797, Menu!$A:$F, 3, 0)</f>
        <v>Beverage</v>
      </c>
      <c r="G797" s="5">
        <f>VLOOKUP(A797, Orders!$A:$B, 2, 0)</f>
        <v>45856.751782407409</v>
      </c>
      <c r="H797" t="str">
        <f>VLOOKUP(A797, Orders!$A:$C, 3, 0)</f>
        <v>Plant 1 Canteen</v>
      </c>
    </row>
    <row r="798" spans="1:8" x14ac:dyDescent="0.3">
      <c r="A798" t="s">
        <v>346</v>
      </c>
      <c r="B798" t="s">
        <v>406</v>
      </c>
      <c r="C798">
        <v>2</v>
      </c>
      <c r="D798">
        <f>VLOOKUP(B798, Menu!$A:$F, 6, 0)</f>
        <v>38.06</v>
      </c>
      <c r="E798">
        <f>VLOOKUP(B798, Menu!$A:$F, 5, 0)</f>
        <v>19.55</v>
      </c>
      <c r="F798" t="str">
        <f>VLOOKUP(B798, Menu!$A:$F, 3, 0)</f>
        <v>Snack</v>
      </c>
      <c r="G798" s="5">
        <f>VLOOKUP(A798, Orders!$A:$B, 2, 0)</f>
        <v>45856.751782407409</v>
      </c>
      <c r="H798" t="str">
        <f>VLOOKUP(A798, Orders!$A:$C, 3, 0)</f>
        <v>Plant 1 Canteen</v>
      </c>
    </row>
    <row r="799" spans="1:8" x14ac:dyDescent="0.3">
      <c r="A799" t="s">
        <v>347</v>
      </c>
      <c r="B799" t="s">
        <v>410</v>
      </c>
      <c r="C799">
        <v>1</v>
      </c>
      <c r="D799">
        <f>VLOOKUP(B799, Menu!$A:$F, 6, 0)</f>
        <v>20.11</v>
      </c>
      <c r="E799">
        <f>VLOOKUP(B799, Menu!$A:$F, 5, 0)</f>
        <v>8</v>
      </c>
      <c r="F799" t="str">
        <f>VLOOKUP(B799, Menu!$A:$F, 3, 0)</f>
        <v>Beverage</v>
      </c>
      <c r="G799" s="5">
        <f>VLOOKUP(A799, Orders!$A:$B, 2, 0)</f>
        <v>45861.245138888888</v>
      </c>
      <c r="H799" t="str">
        <f>VLOOKUP(A799, Orders!$A:$C, 3, 0)</f>
        <v>Plant 1 Canteen</v>
      </c>
    </row>
    <row r="800" spans="1:8" x14ac:dyDescent="0.3">
      <c r="A800" t="s">
        <v>347</v>
      </c>
      <c r="B800" t="s">
        <v>412</v>
      </c>
      <c r="C800">
        <v>2</v>
      </c>
      <c r="D800">
        <f>VLOOKUP(B800, Menu!$A:$F, 6, 0)</f>
        <v>57.07</v>
      </c>
      <c r="E800">
        <f>VLOOKUP(B800, Menu!$A:$F, 5, 0)</f>
        <v>29.14</v>
      </c>
      <c r="F800" t="str">
        <f>VLOOKUP(B800, Menu!$A:$F, 3, 0)</f>
        <v>Dessert</v>
      </c>
      <c r="G800" s="5">
        <f>VLOOKUP(A800, Orders!$A:$B, 2, 0)</f>
        <v>45861.245138888888</v>
      </c>
      <c r="H800" t="str">
        <f>VLOOKUP(A800, Orders!$A:$C, 3, 0)</f>
        <v>Plant 1 Canteen</v>
      </c>
    </row>
    <row r="801" spans="1:8" x14ac:dyDescent="0.3">
      <c r="A801" t="s">
        <v>347</v>
      </c>
      <c r="B801" t="s">
        <v>419</v>
      </c>
      <c r="C801">
        <v>1</v>
      </c>
      <c r="D801">
        <f>VLOOKUP(B801, Menu!$A:$F, 6, 0)</f>
        <v>50.19</v>
      </c>
      <c r="E801">
        <f>VLOOKUP(B801, Menu!$A:$F, 5, 0)</f>
        <v>22.61</v>
      </c>
      <c r="F801" t="str">
        <f>VLOOKUP(B801, Menu!$A:$F, 3, 0)</f>
        <v>Snack</v>
      </c>
      <c r="G801" s="5">
        <f>VLOOKUP(A801, Orders!$A:$B, 2, 0)</f>
        <v>45861.245138888888</v>
      </c>
      <c r="H801" t="str">
        <f>VLOOKUP(A801, Orders!$A:$C, 3, 0)</f>
        <v>Plant 1 Canteen</v>
      </c>
    </row>
    <row r="802" spans="1:8" x14ac:dyDescent="0.3">
      <c r="A802" t="s">
        <v>348</v>
      </c>
      <c r="B802" t="s">
        <v>403</v>
      </c>
      <c r="C802">
        <v>2</v>
      </c>
      <c r="D802">
        <f>VLOOKUP(B802, Menu!$A:$F, 6, 0)</f>
        <v>76.55</v>
      </c>
      <c r="E802">
        <f>VLOOKUP(B802, Menu!$A:$F, 5, 0)</f>
        <v>38.229999999999997</v>
      </c>
      <c r="F802" t="str">
        <f>VLOOKUP(B802, Menu!$A:$F, 3, 0)</f>
        <v>Dessert</v>
      </c>
      <c r="G802" s="5">
        <f>VLOOKUP(A802, Orders!$A:$B, 2, 0)</f>
        <v>45849.069791666669</v>
      </c>
      <c r="H802" t="str">
        <f>VLOOKUP(A802, Orders!$A:$C, 3, 0)</f>
        <v>Head Office Café</v>
      </c>
    </row>
    <row r="803" spans="1:8" x14ac:dyDescent="0.3">
      <c r="A803" t="s">
        <v>348</v>
      </c>
      <c r="B803" t="s">
        <v>414</v>
      </c>
      <c r="C803">
        <v>1</v>
      </c>
      <c r="D803">
        <f>VLOOKUP(B803, Menu!$A:$F, 6, 0)</f>
        <v>116.8</v>
      </c>
      <c r="E803">
        <f>VLOOKUP(B803, Menu!$A:$F, 5, 0)</f>
        <v>48.97</v>
      </c>
      <c r="F803" t="str">
        <f>VLOOKUP(B803, Menu!$A:$F, 3, 0)</f>
        <v>Dessert</v>
      </c>
      <c r="G803" s="5">
        <f>VLOOKUP(A803, Orders!$A:$B, 2, 0)</f>
        <v>45849.069791666669</v>
      </c>
      <c r="H803" t="str">
        <f>VLOOKUP(A803, Orders!$A:$C, 3, 0)</f>
        <v>Head Office Café</v>
      </c>
    </row>
    <row r="804" spans="1:8" x14ac:dyDescent="0.3">
      <c r="A804" t="s">
        <v>348</v>
      </c>
      <c r="B804" t="s">
        <v>406</v>
      </c>
      <c r="C804">
        <v>2</v>
      </c>
      <c r="D804">
        <f>VLOOKUP(B804, Menu!$A:$F, 6, 0)</f>
        <v>38.06</v>
      </c>
      <c r="E804">
        <f>VLOOKUP(B804, Menu!$A:$F, 5, 0)</f>
        <v>19.55</v>
      </c>
      <c r="F804" t="str">
        <f>VLOOKUP(B804, Menu!$A:$F, 3, 0)</f>
        <v>Snack</v>
      </c>
      <c r="G804" s="5">
        <f>VLOOKUP(A804, Orders!$A:$B, 2, 0)</f>
        <v>45849.069791666669</v>
      </c>
      <c r="H804" t="str">
        <f>VLOOKUP(A804, Orders!$A:$C, 3, 0)</f>
        <v>Head Office Café</v>
      </c>
    </row>
    <row r="805" spans="1:8" x14ac:dyDescent="0.3">
      <c r="A805" t="s">
        <v>349</v>
      </c>
      <c r="B805" t="s">
        <v>408</v>
      </c>
      <c r="C805">
        <v>2</v>
      </c>
      <c r="D805">
        <f>VLOOKUP(B805, Menu!$A:$F, 6, 0)</f>
        <v>70.540000000000006</v>
      </c>
      <c r="E805">
        <f>VLOOKUP(B805, Menu!$A:$F, 5, 0)</f>
        <v>35.81</v>
      </c>
      <c r="F805" t="str">
        <f>VLOOKUP(B805, Menu!$A:$F, 3, 0)</f>
        <v>Snack</v>
      </c>
      <c r="G805" s="5">
        <f>VLOOKUP(A805, Orders!$A:$B, 2, 0)</f>
        <v>45842.914907407408</v>
      </c>
      <c r="H805" t="str">
        <f>VLOOKUP(A805, Orders!$A:$C, 3, 0)</f>
        <v>Head Office Café</v>
      </c>
    </row>
    <row r="806" spans="1:8" x14ac:dyDescent="0.3">
      <c r="A806" t="s">
        <v>349</v>
      </c>
      <c r="B806" t="s">
        <v>403</v>
      </c>
      <c r="C806">
        <v>1</v>
      </c>
      <c r="D806">
        <f>VLOOKUP(B806, Menu!$A:$F, 6, 0)</f>
        <v>76.55</v>
      </c>
      <c r="E806">
        <f>VLOOKUP(B806, Menu!$A:$F, 5, 0)</f>
        <v>38.229999999999997</v>
      </c>
      <c r="F806" t="str">
        <f>VLOOKUP(B806, Menu!$A:$F, 3, 0)</f>
        <v>Dessert</v>
      </c>
      <c r="G806" s="5">
        <f>VLOOKUP(A806, Orders!$A:$B, 2, 0)</f>
        <v>45842.914907407408</v>
      </c>
      <c r="H806" t="str">
        <f>VLOOKUP(A806, Orders!$A:$C, 3, 0)</f>
        <v>Head Office Café</v>
      </c>
    </row>
    <row r="807" spans="1:8" x14ac:dyDescent="0.3">
      <c r="A807" t="s">
        <v>349</v>
      </c>
      <c r="B807" t="s">
        <v>412</v>
      </c>
      <c r="C807">
        <v>1</v>
      </c>
      <c r="D807">
        <f>VLOOKUP(B807, Menu!$A:$F, 6, 0)</f>
        <v>57.07</v>
      </c>
      <c r="E807">
        <f>VLOOKUP(B807, Menu!$A:$F, 5, 0)</f>
        <v>29.14</v>
      </c>
      <c r="F807" t="str">
        <f>VLOOKUP(B807, Menu!$A:$F, 3, 0)</f>
        <v>Dessert</v>
      </c>
      <c r="G807" s="5">
        <f>VLOOKUP(A807, Orders!$A:$B, 2, 0)</f>
        <v>45842.914907407408</v>
      </c>
      <c r="H807" t="str">
        <f>VLOOKUP(A807, Orders!$A:$C, 3, 0)</f>
        <v>Head Office Café</v>
      </c>
    </row>
    <row r="808" spans="1:8" x14ac:dyDescent="0.3">
      <c r="A808" t="s">
        <v>350</v>
      </c>
      <c r="B808" t="s">
        <v>413</v>
      </c>
      <c r="C808">
        <v>1</v>
      </c>
      <c r="D808">
        <f>VLOOKUP(B808, Menu!$A:$F, 6, 0)</f>
        <v>54.2</v>
      </c>
      <c r="E808">
        <f>VLOOKUP(B808, Menu!$A:$F, 5, 0)</f>
        <v>21.95</v>
      </c>
      <c r="F808" t="str">
        <f>VLOOKUP(B808, Menu!$A:$F, 3, 0)</f>
        <v>Dessert</v>
      </c>
      <c r="G808" s="5">
        <f>VLOOKUP(A808, Orders!$A:$B, 2, 0)</f>
        <v>45897.236875000002</v>
      </c>
      <c r="H808" t="str">
        <f>VLOOKUP(A808, Orders!$A:$C, 3, 0)</f>
        <v>Plant 2 Canteen</v>
      </c>
    </row>
    <row r="809" spans="1:8" x14ac:dyDescent="0.3">
      <c r="A809" t="s">
        <v>351</v>
      </c>
      <c r="B809" t="s">
        <v>404</v>
      </c>
      <c r="C809">
        <v>1</v>
      </c>
      <c r="D809">
        <f>VLOOKUP(B809, Menu!$A:$F, 6, 0)</f>
        <v>32.979999999999997</v>
      </c>
      <c r="E809">
        <f>VLOOKUP(B809, Menu!$A:$F, 5, 0)</f>
        <v>11.84</v>
      </c>
      <c r="F809" t="str">
        <f>VLOOKUP(B809, Menu!$A:$F, 3, 0)</f>
        <v>Beverage</v>
      </c>
      <c r="G809" s="5">
        <f>VLOOKUP(A809, Orders!$A:$B, 2, 0)</f>
        <v>45855.322256944448</v>
      </c>
      <c r="H809" t="str">
        <f>VLOOKUP(A809, Orders!$A:$C, 3, 0)</f>
        <v>Head Office Café</v>
      </c>
    </row>
    <row r="810" spans="1:8" x14ac:dyDescent="0.3">
      <c r="A810" t="s">
        <v>352</v>
      </c>
      <c r="B810" t="s">
        <v>403</v>
      </c>
      <c r="C810">
        <v>3</v>
      </c>
      <c r="D810">
        <f>VLOOKUP(B810, Menu!$A:$F, 6, 0)</f>
        <v>76.55</v>
      </c>
      <c r="E810">
        <f>VLOOKUP(B810, Menu!$A:$F, 5, 0)</f>
        <v>38.229999999999997</v>
      </c>
      <c r="F810" t="str">
        <f>VLOOKUP(B810, Menu!$A:$F, 3, 0)</f>
        <v>Dessert</v>
      </c>
      <c r="G810" s="5">
        <f>VLOOKUP(A810, Orders!$A:$B, 2, 0)</f>
        <v>45874.619953703703</v>
      </c>
      <c r="H810" t="str">
        <f>VLOOKUP(A810, Orders!$A:$C, 3, 0)</f>
        <v>Head Office Café</v>
      </c>
    </row>
    <row r="811" spans="1:8" x14ac:dyDescent="0.3">
      <c r="A811" t="s">
        <v>352</v>
      </c>
      <c r="B811" t="s">
        <v>414</v>
      </c>
      <c r="C811">
        <v>1</v>
      </c>
      <c r="D811">
        <f>VLOOKUP(B811, Menu!$A:$F, 6, 0)</f>
        <v>116.8</v>
      </c>
      <c r="E811">
        <f>VLOOKUP(B811, Menu!$A:$F, 5, 0)</f>
        <v>48.97</v>
      </c>
      <c r="F811" t="str">
        <f>VLOOKUP(B811, Menu!$A:$F, 3, 0)</f>
        <v>Dessert</v>
      </c>
      <c r="G811" s="5">
        <f>VLOOKUP(A811, Orders!$A:$B, 2, 0)</f>
        <v>45874.619953703703</v>
      </c>
      <c r="H811" t="str">
        <f>VLOOKUP(A811, Orders!$A:$C, 3, 0)</f>
        <v>Head Office Café</v>
      </c>
    </row>
    <row r="812" spans="1:8" x14ac:dyDescent="0.3">
      <c r="A812" t="s">
        <v>353</v>
      </c>
      <c r="B812" t="s">
        <v>411</v>
      </c>
      <c r="C812">
        <v>3</v>
      </c>
      <c r="D812">
        <f>VLOOKUP(B812, Menu!$A:$F, 6, 0)</f>
        <v>22.2</v>
      </c>
      <c r="E812">
        <f>VLOOKUP(B812, Menu!$A:$F, 5, 0)</f>
        <v>9.3800000000000008</v>
      </c>
      <c r="F812" t="str">
        <f>VLOOKUP(B812, Menu!$A:$F, 3, 0)</f>
        <v>Beverage</v>
      </c>
      <c r="G812" s="5">
        <f>VLOOKUP(A812, Orders!$A:$B, 2, 0)</f>
        <v>45898.53292824074</v>
      </c>
      <c r="H812" t="str">
        <f>VLOOKUP(A812, Orders!$A:$C, 3, 0)</f>
        <v>Plant 2 Canteen</v>
      </c>
    </row>
    <row r="813" spans="1:8" x14ac:dyDescent="0.3">
      <c r="A813" t="s">
        <v>354</v>
      </c>
      <c r="B813" t="s">
        <v>401</v>
      </c>
      <c r="C813">
        <v>2</v>
      </c>
      <c r="D813">
        <f>VLOOKUP(B813, Menu!$A:$F, 6, 0)</f>
        <v>52.45</v>
      </c>
      <c r="E813">
        <f>VLOOKUP(B813, Menu!$A:$F, 5, 0)</f>
        <v>25.8</v>
      </c>
      <c r="F813" t="str">
        <f>VLOOKUP(B813, Menu!$A:$F, 3, 0)</f>
        <v>Snack</v>
      </c>
      <c r="G813" s="5">
        <f>VLOOKUP(A813, Orders!$A:$B, 2, 0)</f>
        <v>45891.097337962958</v>
      </c>
      <c r="H813" t="str">
        <f>VLOOKUP(A813, Orders!$A:$C, 3, 0)</f>
        <v>Plant 1 Canteen</v>
      </c>
    </row>
    <row r="814" spans="1:8" x14ac:dyDescent="0.3">
      <c r="A814" t="s">
        <v>354</v>
      </c>
      <c r="B814" t="s">
        <v>417</v>
      </c>
      <c r="C814">
        <v>1</v>
      </c>
      <c r="D814">
        <f>VLOOKUP(B814, Menu!$A:$F, 6, 0)</f>
        <v>146.4</v>
      </c>
      <c r="E814">
        <f>VLOOKUP(B814, Menu!$A:$F, 5, 0)</f>
        <v>80.92</v>
      </c>
      <c r="F814" t="str">
        <f>VLOOKUP(B814, Menu!$A:$F, 3, 0)</f>
        <v>Hot Meal</v>
      </c>
      <c r="G814" s="5">
        <f>VLOOKUP(A814, Orders!$A:$B, 2, 0)</f>
        <v>45891.097337962958</v>
      </c>
      <c r="H814" t="str">
        <f>VLOOKUP(A814, Orders!$A:$C, 3, 0)</f>
        <v>Plant 1 Canteen</v>
      </c>
    </row>
    <row r="815" spans="1:8" x14ac:dyDescent="0.3">
      <c r="A815" t="s">
        <v>355</v>
      </c>
      <c r="B815" t="s">
        <v>404</v>
      </c>
      <c r="C815">
        <v>3</v>
      </c>
      <c r="D815">
        <f>VLOOKUP(B815, Menu!$A:$F, 6, 0)</f>
        <v>32.979999999999997</v>
      </c>
      <c r="E815">
        <f>VLOOKUP(B815, Menu!$A:$F, 5, 0)</f>
        <v>11.84</v>
      </c>
      <c r="F815" t="str">
        <f>VLOOKUP(B815, Menu!$A:$F, 3, 0)</f>
        <v>Beverage</v>
      </c>
      <c r="G815" s="5">
        <f>VLOOKUP(A815, Orders!$A:$B, 2, 0)</f>
        <v>45874.963807870372</v>
      </c>
      <c r="H815" t="str">
        <f>VLOOKUP(A815, Orders!$A:$C, 3, 0)</f>
        <v>Head Office Café</v>
      </c>
    </row>
    <row r="816" spans="1:8" x14ac:dyDescent="0.3">
      <c r="A816" t="s">
        <v>355</v>
      </c>
      <c r="B816" t="s">
        <v>417</v>
      </c>
      <c r="C816">
        <v>1</v>
      </c>
      <c r="D816">
        <f>VLOOKUP(B816, Menu!$A:$F, 6, 0)</f>
        <v>146.4</v>
      </c>
      <c r="E816">
        <f>VLOOKUP(B816, Menu!$A:$F, 5, 0)</f>
        <v>80.92</v>
      </c>
      <c r="F816" t="str">
        <f>VLOOKUP(B816, Menu!$A:$F, 3, 0)</f>
        <v>Hot Meal</v>
      </c>
      <c r="G816" s="5">
        <f>VLOOKUP(A816, Orders!$A:$B, 2, 0)</f>
        <v>45874.963807870372</v>
      </c>
      <c r="H816" t="str">
        <f>VLOOKUP(A816, Orders!$A:$C, 3, 0)</f>
        <v>Head Office Café</v>
      </c>
    </row>
    <row r="817" spans="1:8" x14ac:dyDescent="0.3">
      <c r="A817" t="s">
        <v>355</v>
      </c>
      <c r="B817" t="s">
        <v>413</v>
      </c>
      <c r="C817">
        <v>2</v>
      </c>
      <c r="D817">
        <f>VLOOKUP(B817, Menu!$A:$F, 6, 0)</f>
        <v>54.2</v>
      </c>
      <c r="E817">
        <f>VLOOKUP(B817, Menu!$A:$F, 5, 0)</f>
        <v>21.95</v>
      </c>
      <c r="F817" t="str">
        <f>VLOOKUP(B817, Menu!$A:$F, 3, 0)</f>
        <v>Dessert</v>
      </c>
      <c r="G817" s="5">
        <f>VLOOKUP(A817, Orders!$A:$B, 2, 0)</f>
        <v>45874.963807870372</v>
      </c>
      <c r="H817" t="str">
        <f>VLOOKUP(A817, Orders!$A:$C, 3, 0)</f>
        <v>Head Office Café</v>
      </c>
    </row>
    <row r="818" spans="1:8" x14ac:dyDescent="0.3">
      <c r="A818" t="s">
        <v>355</v>
      </c>
      <c r="B818" t="s">
        <v>411</v>
      </c>
      <c r="C818">
        <v>2</v>
      </c>
      <c r="D818">
        <f>VLOOKUP(B818, Menu!$A:$F, 6, 0)</f>
        <v>22.2</v>
      </c>
      <c r="E818">
        <f>VLOOKUP(B818, Menu!$A:$F, 5, 0)</f>
        <v>9.3800000000000008</v>
      </c>
      <c r="F818" t="str">
        <f>VLOOKUP(B818, Menu!$A:$F, 3, 0)</f>
        <v>Beverage</v>
      </c>
      <c r="G818" s="5">
        <f>VLOOKUP(A818, Orders!$A:$B, 2, 0)</f>
        <v>45874.963807870372</v>
      </c>
      <c r="H818" t="str">
        <f>VLOOKUP(A818, Orders!$A:$C, 3, 0)</f>
        <v>Head Office Café</v>
      </c>
    </row>
    <row r="819" spans="1:8" x14ac:dyDescent="0.3">
      <c r="A819" t="s">
        <v>356</v>
      </c>
      <c r="B819" t="s">
        <v>410</v>
      </c>
      <c r="C819">
        <v>2</v>
      </c>
      <c r="D819">
        <f>VLOOKUP(B819, Menu!$A:$F, 6, 0)</f>
        <v>20.11</v>
      </c>
      <c r="E819">
        <f>VLOOKUP(B819, Menu!$A:$F, 5, 0)</f>
        <v>8</v>
      </c>
      <c r="F819" t="str">
        <f>VLOOKUP(B819, Menu!$A:$F, 3, 0)</f>
        <v>Beverage</v>
      </c>
      <c r="G819" s="5">
        <f>VLOOKUP(A819, Orders!$A:$B, 2, 0)</f>
        <v>45866.607314814813</v>
      </c>
      <c r="H819" t="str">
        <f>VLOOKUP(A819, Orders!$A:$C, 3, 0)</f>
        <v>Plant 2 Canteen</v>
      </c>
    </row>
    <row r="820" spans="1:8" x14ac:dyDescent="0.3">
      <c r="A820" t="s">
        <v>356</v>
      </c>
      <c r="B820" t="s">
        <v>412</v>
      </c>
      <c r="C820">
        <v>1</v>
      </c>
      <c r="D820">
        <f>VLOOKUP(B820, Menu!$A:$F, 6, 0)</f>
        <v>57.07</v>
      </c>
      <c r="E820">
        <f>VLOOKUP(B820, Menu!$A:$F, 5, 0)</f>
        <v>29.14</v>
      </c>
      <c r="F820" t="str">
        <f>VLOOKUP(B820, Menu!$A:$F, 3, 0)</f>
        <v>Dessert</v>
      </c>
      <c r="G820" s="5">
        <f>VLOOKUP(A820, Orders!$A:$B, 2, 0)</f>
        <v>45866.607314814813</v>
      </c>
      <c r="H820" t="str">
        <f>VLOOKUP(A820, Orders!$A:$C, 3, 0)</f>
        <v>Plant 2 Canteen</v>
      </c>
    </row>
    <row r="821" spans="1:8" x14ac:dyDescent="0.3">
      <c r="A821" t="s">
        <v>357</v>
      </c>
      <c r="B821" t="s">
        <v>405</v>
      </c>
      <c r="C821">
        <v>2</v>
      </c>
      <c r="D821">
        <f>VLOOKUP(B821, Menu!$A:$F, 6, 0)</f>
        <v>170.83</v>
      </c>
      <c r="E821">
        <f>VLOOKUP(B821, Menu!$A:$F, 5, 0)</f>
        <v>74.069999999999993</v>
      </c>
      <c r="F821" t="str">
        <f>VLOOKUP(B821, Menu!$A:$F, 3, 0)</f>
        <v>Hot Meal</v>
      </c>
      <c r="G821" s="5">
        <f>VLOOKUP(A821, Orders!$A:$B, 2, 0)</f>
        <v>45854.984282407408</v>
      </c>
      <c r="H821" t="str">
        <f>VLOOKUP(A821, Orders!$A:$C, 3, 0)</f>
        <v>Plant 1 Canteen</v>
      </c>
    </row>
    <row r="822" spans="1:8" x14ac:dyDescent="0.3">
      <c r="A822" t="s">
        <v>358</v>
      </c>
      <c r="B822" t="s">
        <v>401</v>
      </c>
      <c r="C822">
        <v>2</v>
      </c>
      <c r="D822">
        <f>VLOOKUP(B822, Menu!$A:$F, 6, 0)</f>
        <v>52.45</v>
      </c>
      <c r="E822">
        <f>VLOOKUP(B822, Menu!$A:$F, 5, 0)</f>
        <v>25.8</v>
      </c>
      <c r="F822" t="str">
        <f>VLOOKUP(B822, Menu!$A:$F, 3, 0)</f>
        <v>Snack</v>
      </c>
      <c r="G822" s="5">
        <f>VLOOKUP(A822, Orders!$A:$B, 2, 0)</f>
        <v>45844.316145833327</v>
      </c>
      <c r="H822" t="str">
        <f>VLOOKUP(A822, Orders!$A:$C, 3, 0)</f>
        <v>Head Office Café</v>
      </c>
    </row>
    <row r="823" spans="1:8" x14ac:dyDescent="0.3">
      <c r="A823" t="s">
        <v>358</v>
      </c>
      <c r="B823" t="s">
        <v>409</v>
      </c>
      <c r="C823">
        <v>1</v>
      </c>
      <c r="D823">
        <f>VLOOKUP(B823, Menu!$A:$F, 6, 0)</f>
        <v>28.43</v>
      </c>
      <c r="E823">
        <f>VLOOKUP(B823, Menu!$A:$F, 5, 0)</f>
        <v>13.89</v>
      </c>
      <c r="F823" t="str">
        <f>VLOOKUP(B823, Menu!$A:$F, 3, 0)</f>
        <v>Beverage</v>
      </c>
      <c r="G823" s="5">
        <f>VLOOKUP(A823, Orders!$A:$B, 2, 0)</f>
        <v>45844.316145833327</v>
      </c>
      <c r="H823" t="str">
        <f>VLOOKUP(A823, Orders!$A:$C, 3, 0)</f>
        <v>Head Office Café</v>
      </c>
    </row>
    <row r="824" spans="1:8" x14ac:dyDescent="0.3">
      <c r="A824" t="s">
        <v>358</v>
      </c>
      <c r="B824" t="s">
        <v>414</v>
      </c>
      <c r="C824">
        <v>3</v>
      </c>
      <c r="D824">
        <f>VLOOKUP(B824, Menu!$A:$F, 6, 0)</f>
        <v>116.8</v>
      </c>
      <c r="E824">
        <f>VLOOKUP(B824, Menu!$A:$F, 5, 0)</f>
        <v>48.97</v>
      </c>
      <c r="F824" t="str">
        <f>VLOOKUP(B824, Menu!$A:$F, 3, 0)</f>
        <v>Dessert</v>
      </c>
      <c r="G824" s="5">
        <f>VLOOKUP(A824, Orders!$A:$B, 2, 0)</f>
        <v>45844.316145833327</v>
      </c>
      <c r="H824" t="str">
        <f>VLOOKUP(A824, Orders!$A:$C, 3, 0)</f>
        <v>Head Office Café</v>
      </c>
    </row>
    <row r="825" spans="1:8" x14ac:dyDescent="0.3">
      <c r="A825" t="s">
        <v>358</v>
      </c>
      <c r="B825" t="s">
        <v>417</v>
      </c>
      <c r="C825">
        <v>1</v>
      </c>
      <c r="D825">
        <f>VLOOKUP(B825, Menu!$A:$F, 6, 0)</f>
        <v>146.4</v>
      </c>
      <c r="E825">
        <f>VLOOKUP(B825, Menu!$A:$F, 5, 0)</f>
        <v>80.92</v>
      </c>
      <c r="F825" t="str">
        <f>VLOOKUP(B825, Menu!$A:$F, 3, 0)</f>
        <v>Hot Meal</v>
      </c>
      <c r="G825" s="5">
        <f>VLOOKUP(A825, Orders!$A:$B, 2, 0)</f>
        <v>45844.316145833327</v>
      </c>
      <c r="H825" t="str">
        <f>VLOOKUP(A825, Orders!$A:$C, 3, 0)</f>
        <v>Head Office Café</v>
      </c>
    </row>
    <row r="826" spans="1:8" x14ac:dyDescent="0.3">
      <c r="A826" t="s">
        <v>359</v>
      </c>
      <c r="B826" t="s">
        <v>407</v>
      </c>
      <c r="C826">
        <v>1</v>
      </c>
      <c r="D826">
        <f>VLOOKUP(B826, Menu!$A:$F, 6, 0)</f>
        <v>246.09</v>
      </c>
      <c r="E826">
        <f>VLOOKUP(B826, Menu!$A:$F, 5, 0)</f>
        <v>112.08</v>
      </c>
      <c r="F826" t="str">
        <f>VLOOKUP(B826, Menu!$A:$F, 3, 0)</f>
        <v>Hot Meal</v>
      </c>
      <c r="G826" s="5">
        <f>VLOOKUP(A826, Orders!$A:$B, 2, 0)</f>
        <v>45849.210474537038</v>
      </c>
      <c r="H826" t="str">
        <f>VLOOKUP(A826, Orders!$A:$C, 3, 0)</f>
        <v>Head Office Café</v>
      </c>
    </row>
    <row r="827" spans="1:8" x14ac:dyDescent="0.3">
      <c r="A827" t="s">
        <v>359</v>
      </c>
      <c r="B827" t="s">
        <v>411</v>
      </c>
      <c r="C827">
        <v>2</v>
      </c>
      <c r="D827">
        <f>VLOOKUP(B827, Menu!$A:$F, 6, 0)</f>
        <v>22.2</v>
      </c>
      <c r="E827">
        <f>VLOOKUP(B827, Menu!$A:$F, 5, 0)</f>
        <v>9.3800000000000008</v>
      </c>
      <c r="F827" t="str">
        <f>VLOOKUP(B827, Menu!$A:$F, 3, 0)</f>
        <v>Beverage</v>
      </c>
      <c r="G827" s="5">
        <f>VLOOKUP(A827, Orders!$A:$B, 2, 0)</f>
        <v>45849.210474537038</v>
      </c>
      <c r="H827" t="str">
        <f>VLOOKUP(A827, Orders!$A:$C, 3, 0)</f>
        <v>Head Office Café</v>
      </c>
    </row>
    <row r="828" spans="1:8" x14ac:dyDescent="0.3">
      <c r="A828" t="s">
        <v>359</v>
      </c>
      <c r="B828" t="s">
        <v>409</v>
      </c>
      <c r="C828">
        <v>3</v>
      </c>
      <c r="D828">
        <f>VLOOKUP(B828, Menu!$A:$F, 6, 0)</f>
        <v>28.43</v>
      </c>
      <c r="E828">
        <f>VLOOKUP(B828, Menu!$A:$F, 5, 0)</f>
        <v>13.89</v>
      </c>
      <c r="F828" t="str">
        <f>VLOOKUP(B828, Menu!$A:$F, 3, 0)</f>
        <v>Beverage</v>
      </c>
      <c r="G828" s="5">
        <f>VLOOKUP(A828, Orders!$A:$B, 2, 0)</f>
        <v>45849.210474537038</v>
      </c>
      <c r="H828" t="str">
        <f>VLOOKUP(A828, Orders!$A:$C, 3, 0)</f>
        <v>Head Office Café</v>
      </c>
    </row>
    <row r="829" spans="1:8" x14ac:dyDescent="0.3">
      <c r="A829" t="s">
        <v>359</v>
      </c>
      <c r="B829" t="s">
        <v>414</v>
      </c>
      <c r="C829">
        <v>3</v>
      </c>
      <c r="D829">
        <f>VLOOKUP(B829, Menu!$A:$F, 6, 0)</f>
        <v>116.8</v>
      </c>
      <c r="E829">
        <f>VLOOKUP(B829, Menu!$A:$F, 5, 0)</f>
        <v>48.97</v>
      </c>
      <c r="F829" t="str">
        <f>VLOOKUP(B829, Menu!$A:$F, 3, 0)</f>
        <v>Dessert</v>
      </c>
      <c r="G829" s="5">
        <f>VLOOKUP(A829, Orders!$A:$B, 2, 0)</f>
        <v>45849.210474537038</v>
      </c>
      <c r="H829" t="str">
        <f>VLOOKUP(A829, Orders!$A:$C, 3, 0)</f>
        <v>Head Office Café</v>
      </c>
    </row>
    <row r="830" spans="1:8" x14ac:dyDescent="0.3">
      <c r="A830" t="s">
        <v>360</v>
      </c>
      <c r="B830" t="s">
        <v>414</v>
      </c>
      <c r="C830">
        <v>1</v>
      </c>
      <c r="D830">
        <f>VLOOKUP(B830, Menu!$A:$F, 6, 0)</f>
        <v>116.8</v>
      </c>
      <c r="E830">
        <f>VLOOKUP(B830, Menu!$A:$F, 5, 0)</f>
        <v>48.97</v>
      </c>
      <c r="F830" t="str">
        <f>VLOOKUP(B830, Menu!$A:$F, 3, 0)</f>
        <v>Dessert</v>
      </c>
      <c r="G830" s="5">
        <f>VLOOKUP(A830, Orders!$A:$B, 2, 0)</f>
        <v>45847.393460648149</v>
      </c>
      <c r="H830" t="str">
        <f>VLOOKUP(A830, Orders!$A:$C, 3, 0)</f>
        <v>Plant 1 Canteen</v>
      </c>
    </row>
    <row r="831" spans="1:8" x14ac:dyDescent="0.3">
      <c r="A831" t="s">
        <v>360</v>
      </c>
      <c r="B831" t="s">
        <v>409</v>
      </c>
      <c r="C831">
        <v>2</v>
      </c>
      <c r="D831">
        <f>VLOOKUP(B831, Menu!$A:$F, 6, 0)</f>
        <v>28.43</v>
      </c>
      <c r="E831">
        <f>VLOOKUP(B831, Menu!$A:$F, 5, 0)</f>
        <v>13.89</v>
      </c>
      <c r="F831" t="str">
        <f>VLOOKUP(B831, Menu!$A:$F, 3, 0)</f>
        <v>Beverage</v>
      </c>
      <c r="G831" s="5">
        <f>VLOOKUP(A831, Orders!$A:$B, 2, 0)</f>
        <v>45847.393460648149</v>
      </c>
      <c r="H831" t="str">
        <f>VLOOKUP(A831, Orders!$A:$C, 3, 0)</f>
        <v>Plant 1 Canteen</v>
      </c>
    </row>
    <row r="832" spans="1:8" x14ac:dyDescent="0.3">
      <c r="A832" t="s">
        <v>361</v>
      </c>
      <c r="B832" t="s">
        <v>416</v>
      </c>
      <c r="C832">
        <v>1</v>
      </c>
      <c r="D832">
        <f>VLOOKUP(B832, Menu!$A:$F, 6, 0)</f>
        <v>227.61</v>
      </c>
      <c r="E832">
        <f>VLOOKUP(B832, Menu!$A:$F, 5, 0)</f>
        <v>96.22</v>
      </c>
      <c r="F832" t="str">
        <f>VLOOKUP(B832, Menu!$A:$F, 3, 0)</f>
        <v>Hot Meal</v>
      </c>
      <c r="G832" s="5">
        <f>VLOOKUP(A832, Orders!$A:$B, 2, 0)</f>
        <v>45853.556134259263</v>
      </c>
      <c r="H832" t="str">
        <f>VLOOKUP(A832, Orders!$A:$C, 3, 0)</f>
        <v>Plant 2 Canteen</v>
      </c>
    </row>
    <row r="833" spans="1:8" x14ac:dyDescent="0.3">
      <c r="A833" t="s">
        <v>361</v>
      </c>
      <c r="B833" t="s">
        <v>419</v>
      </c>
      <c r="C833">
        <v>3</v>
      </c>
      <c r="D833">
        <f>VLOOKUP(B833, Menu!$A:$F, 6, 0)</f>
        <v>50.19</v>
      </c>
      <c r="E833">
        <f>VLOOKUP(B833, Menu!$A:$F, 5, 0)</f>
        <v>22.61</v>
      </c>
      <c r="F833" t="str">
        <f>VLOOKUP(B833, Menu!$A:$F, 3, 0)</f>
        <v>Snack</v>
      </c>
      <c r="G833" s="5">
        <f>VLOOKUP(A833, Orders!$A:$B, 2, 0)</f>
        <v>45853.556134259263</v>
      </c>
      <c r="H833" t="str">
        <f>VLOOKUP(A833, Orders!$A:$C, 3, 0)</f>
        <v>Plant 2 Canteen</v>
      </c>
    </row>
    <row r="834" spans="1:8" x14ac:dyDescent="0.3">
      <c r="A834" t="s">
        <v>361</v>
      </c>
      <c r="B834" t="s">
        <v>408</v>
      </c>
      <c r="C834">
        <v>2</v>
      </c>
      <c r="D834">
        <f>VLOOKUP(B834, Menu!$A:$F, 6, 0)</f>
        <v>70.540000000000006</v>
      </c>
      <c r="E834">
        <f>VLOOKUP(B834, Menu!$A:$F, 5, 0)</f>
        <v>35.81</v>
      </c>
      <c r="F834" t="str">
        <f>VLOOKUP(B834, Menu!$A:$F, 3, 0)</f>
        <v>Snack</v>
      </c>
      <c r="G834" s="5">
        <f>VLOOKUP(A834, Orders!$A:$B, 2, 0)</f>
        <v>45853.556134259263</v>
      </c>
      <c r="H834" t="str">
        <f>VLOOKUP(A834, Orders!$A:$C, 3, 0)</f>
        <v>Plant 2 Canteen</v>
      </c>
    </row>
    <row r="835" spans="1:8" x14ac:dyDescent="0.3">
      <c r="A835" t="s">
        <v>362</v>
      </c>
      <c r="B835" t="s">
        <v>419</v>
      </c>
      <c r="C835">
        <v>1</v>
      </c>
      <c r="D835">
        <f>VLOOKUP(B835, Menu!$A:$F, 6, 0)</f>
        <v>50.19</v>
      </c>
      <c r="E835">
        <f>VLOOKUP(B835, Menu!$A:$F, 5, 0)</f>
        <v>22.61</v>
      </c>
      <c r="F835" t="str">
        <f>VLOOKUP(B835, Menu!$A:$F, 3, 0)</f>
        <v>Snack</v>
      </c>
      <c r="G835" s="5">
        <f>VLOOKUP(A835, Orders!$A:$B, 2, 0)</f>
        <v>45873.191342592603</v>
      </c>
      <c r="H835" t="str">
        <f>VLOOKUP(A835, Orders!$A:$C, 3, 0)</f>
        <v>Plant 1 Canteen</v>
      </c>
    </row>
    <row r="836" spans="1:8" x14ac:dyDescent="0.3">
      <c r="A836" t="s">
        <v>363</v>
      </c>
      <c r="B836" t="s">
        <v>410</v>
      </c>
      <c r="C836">
        <v>1</v>
      </c>
      <c r="D836">
        <f>VLOOKUP(B836, Menu!$A:$F, 6, 0)</f>
        <v>20.11</v>
      </c>
      <c r="E836">
        <f>VLOOKUP(B836, Menu!$A:$F, 5, 0)</f>
        <v>8</v>
      </c>
      <c r="F836" t="str">
        <f>VLOOKUP(B836, Menu!$A:$F, 3, 0)</f>
        <v>Beverage</v>
      </c>
      <c r="G836" s="5">
        <f>VLOOKUP(A836, Orders!$A:$B, 2, 0)</f>
        <v>45887.990046296298</v>
      </c>
      <c r="H836" t="str">
        <f>VLOOKUP(A836, Orders!$A:$C, 3, 0)</f>
        <v>Plant 2 Canteen</v>
      </c>
    </row>
    <row r="837" spans="1:8" x14ac:dyDescent="0.3">
      <c r="A837" t="s">
        <v>364</v>
      </c>
      <c r="B837" t="s">
        <v>406</v>
      </c>
      <c r="C837">
        <v>1</v>
      </c>
      <c r="D837">
        <f>VLOOKUP(B837, Menu!$A:$F, 6, 0)</f>
        <v>38.06</v>
      </c>
      <c r="E837">
        <f>VLOOKUP(B837, Menu!$A:$F, 5, 0)</f>
        <v>19.55</v>
      </c>
      <c r="F837" t="str">
        <f>VLOOKUP(B837, Menu!$A:$F, 3, 0)</f>
        <v>Snack</v>
      </c>
      <c r="G837" s="5">
        <f>VLOOKUP(A837, Orders!$A:$B, 2, 0)</f>
        <v>45875.650405092587</v>
      </c>
      <c r="H837" t="str">
        <f>VLOOKUP(A837, Orders!$A:$C, 3, 0)</f>
        <v>Plant 1 Canteen</v>
      </c>
    </row>
    <row r="838" spans="1:8" x14ac:dyDescent="0.3">
      <c r="A838" t="s">
        <v>364</v>
      </c>
      <c r="B838" t="s">
        <v>409</v>
      </c>
      <c r="C838">
        <v>1</v>
      </c>
      <c r="D838">
        <f>VLOOKUP(B838, Menu!$A:$F, 6, 0)</f>
        <v>28.43</v>
      </c>
      <c r="E838">
        <f>VLOOKUP(B838, Menu!$A:$F, 5, 0)</f>
        <v>13.89</v>
      </c>
      <c r="F838" t="str">
        <f>VLOOKUP(B838, Menu!$A:$F, 3, 0)</f>
        <v>Beverage</v>
      </c>
      <c r="G838" s="5">
        <f>VLOOKUP(A838, Orders!$A:$B, 2, 0)</f>
        <v>45875.650405092587</v>
      </c>
      <c r="H838" t="str">
        <f>VLOOKUP(A838, Orders!$A:$C, 3, 0)</f>
        <v>Plant 1 Canteen</v>
      </c>
    </row>
    <row r="839" spans="1:8" x14ac:dyDescent="0.3">
      <c r="A839" t="s">
        <v>364</v>
      </c>
      <c r="B839" t="s">
        <v>419</v>
      </c>
      <c r="C839">
        <v>1</v>
      </c>
      <c r="D839">
        <f>VLOOKUP(B839, Menu!$A:$F, 6, 0)</f>
        <v>50.19</v>
      </c>
      <c r="E839">
        <f>VLOOKUP(B839, Menu!$A:$F, 5, 0)</f>
        <v>22.61</v>
      </c>
      <c r="F839" t="str">
        <f>VLOOKUP(B839, Menu!$A:$F, 3, 0)</f>
        <v>Snack</v>
      </c>
      <c r="G839" s="5">
        <f>VLOOKUP(A839, Orders!$A:$B, 2, 0)</f>
        <v>45875.650405092587</v>
      </c>
      <c r="H839" t="str">
        <f>VLOOKUP(A839, Orders!$A:$C, 3, 0)</f>
        <v>Plant 1 Canteen</v>
      </c>
    </row>
    <row r="840" spans="1:8" x14ac:dyDescent="0.3">
      <c r="A840" t="s">
        <v>365</v>
      </c>
      <c r="B840" t="s">
        <v>417</v>
      </c>
      <c r="C840">
        <v>2</v>
      </c>
      <c r="D840">
        <f>VLOOKUP(B840, Menu!$A:$F, 6, 0)</f>
        <v>146.4</v>
      </c>
      <c r="E840">
        <f>VLOOKUP(B840, Menu!$A:$F, 5, 0)</f>
        <v>80.92</v>
      </c>
      <c r="F840" t="str">
        <f>VLOOKUP(B840, Menu!$A:$F, 3, 0)</f>
        <v>Hot Meal</v>
      </c>
      <c r="G840" s="5">
        <f>VLOOKUP(A840, Orders!$A:$B, 2, 0)</f>
        <v>45871.803460648152</v>
      </c>
      <c r="H840" t="str">
        <f>VLOOKUP(A840, Orders!$A:$C, 3, 0)</f>
        <v>Plant 1 Canteen</v>
      </c>
    </row>
    <row r="841" spans="1:8" x14ac:dyDescent="0.3">
      <c r="A841" t="s">
        <v>366</v>
      </c>
      <c r="B841" t="s">
        <v>413</v>
      </c>
      <c r="C841">
        <v>1</v>
      </c>
      <c r="D841">
        <f>VLOOKUP(B841, Menu!$A:$F, 6, 0)</f>
        <v>54.2</v>
      </c>
      <c r="E841">
        <f>VLOOKUP(B841, Menu!$A:$F, 5, 0)</f>
        <v>21.95</v>
      </c>
      <c r="F841" t="str">
        <f>VLOOKUP(B841, Menu!$A:$F, 3, 0)</f>
        <v>Dessert</v>
      </c>
      <c r="G841" s="5">
        <f>VLOOKUP(A841, Orders!$A:$B, 2, 0)</f>
        <v>45885.120821759258</v>
      </c>
      <c r="H841" t="str">
        <f>VLOOKUP(A841, Orders!$A:$C, 3, 0)</f>
        <v>Head Office Café</v>
      </c>
    </row>
    <row r="842" spans="1:8" x14ac:dyDescent="0.3">
      <c r="A842" t="s">
        <v>366</v>
      </c>
      <c r="B842" t="s">
        <v>417</v>
      </c>
      <c r="C842">
        <v>3</v>
      </c>
      <c r="D842">
        <f>VLOOKUP(B842, Menu!$A:$F, 6, 0)</f>
        <v>146.4</v>
      </c>
      <c r="E842">
        <f>VLOOKUP(B842, Menu!$A:$F, 5, 0)</f>
        <v>80.92</v>
      </c>
      <c r="F842" t="str">
        <f>VLOOKUP(B842, Menu!$A:$F, 3, 0)</f>
        <v>Hot Meal</v>
      </c>
      <c r="G842" s="5">
        <f>VLOOKUP(A842, Orders!$A:$B, 2, 0)</f>
        <v>45885.120821759258</v>
      </c>
      <c r="H842" t="str">
        <f>VLOOKUP(A842, Orders!$A:$C, 3, 0)</f>
        <v>Head Office Café</v>
      </c>
    </row>
    <row r="843" spans="1:8" x14ac:dyDescent="0.3">
      <c r="A843" t="s">
        <v>366</v>
      </c>
      <c r="B843" t="s">
        <v>401</v>
      </c>
      <c r="C843">
        <v>1</v>
      </c>
      <c r="D843">
        <f>VLOOKUP(B843, Menu!$A:$F, 6, 0)</f>
        <v>52.45</v>
      </c>
      <c r="E843">
        <f>VLOOKUP(B843, Menu!$A:$F, 5, 0)</f>
        <v>25.8</v>
      </c>
      <c r="F843" t="str">
        <f>VLOOKUP(B843, Menu!$A:$F, 3, 0)</f>
        <v>Snack</v>
      </c>
      <c r="G843" s="5">
        <f>VLOOKUP(A843, Orders!$A:$B, 2, 0)</f>
        <v>45885.120821759258</v>
      </c>
      <c r="H843" t="str">
        <f>VLOOKUP(A843, Orders!$A:$C, 3, 0)</f>
        <v>Head Office Café</v>
      </c>
    </row>
    <row r="844" spans="1:8" x14ac:dyDescent="0.3">
      <c r="A844" t="s">
        <v>367</v>
      </c>
      <c r="B844" t="s">
        <v>410</v>
      </c>
      <c r="C844">
        <v>2</v>
      </c>
      <c r="D844">
        <f>VLOOKUP(B844, Menu!$A:$F, 6, 0)</f>
        <v>20.11</v>
      </c>
      <c r="E844">
        <f>VLOOKUP(B844, Menu!$A:$F, 5, 0)</f>
        <v>8</v>
      </c>
      <c r="F844" t="str">
        <f>VLOOKUP(B844, Menu!$A:$F, 3, 0)</f>
        <v>Beverage</v>
      </c>
      <c r="G844" s="5">
        <f>VLOOKUP(A844, Orders!$A:$B, 2, 0)</f>
        <v>45882.804872685178</v>
      </c>
      <c r="H844" t="str">
        <f>VLOOKUP(A844, Orders!$A:$C, 3, 0)</f>
        <v>Head Office Café</v>
      </c>
    </row>
    <row r="845" spans="1:8" x14ac:dyDescent="0.3">
      <c r="A845" t="s">
        <v>367</v>
      </c>
      <c r="B845" t="s">
        <v>405</v>
      </c>
      <c r="C845">
        <v>1</v>
      </c>
      <c r="D845">
        <f>VLOOKUP(B845, Menu!$A:$F, 6, 0)</f>
        <v>170.83</v>
      </c>
      <c r="E845">
        <f>VLOOKUP(B845, Menu!$A:$F, 5, 0)</f>
        <v>74.069999999999993</v>
      </c>
      <c r="F845" t="str">
        <f>VLOOKUP(B845, Menu!$A:$F, 3, 0)</f>
        <v>Hot Meal</v>
      </c>
      <c r="G845" s="5">
        <f>VLOOKUP(A845, Orders!$A:$B, 2, 0)</f>
        <v>45882.804872685178</v>
      </c>
      <c r="H845" t="str">
        <f>VLOOKUP(A845, Orders!$A:$C, 3, 0)</f>
        <v>Head Office Café</v>
      </c>
    </row>
    <row r="846" spans="1:8" x14ac:dyDescent="0.3">
      <c r="A846" t="s">
        <v>367</v>
      </c>
      <c r="B846" t="s">
        <v>415</v>
      </c>
      <c r="C846">
        <v>2</v>
      </c>
      <c r="D846">
        <f>VLOOKUP(B846, Menu!$A:$F, 6, 0)</f>
        <v>256.91000000000003</v>
      </c>
      <c r="E846">
        <f>VLOOKUP(B846, Menu!$A:$F, 5, 0)</f>
        <v>121.24</v>
      </c>
      <c r="F846" t="str">
        <f>VLOOKUP(B846, Menu!$A:$F, 3, 0)</f>
        <v>Hot Meal</v>
      </c>
      <c r="G846" s="5">
        <f>VLOOKUP(A846, Orders!$A:$B, 2, 0)</f>
        <v>45882.804872685178</v>
      </c>
      <c r="H846" t="str">
        <f>VLOOKUP(A846, Orders!$A:$C, 3, 0)</f>
        <v>Head Office Café</v>
      </c>
    </row>
    <row r="847" spans="1:8" x14ac:dyDescent="0.3">
      <c r="A847" t="s">
        <v>368</v>
      </c>
      <c r="B847" t="s">
        <v>406</v>
      </c>
      <c r="C847">
        <v>2</v>
      </c>
      <c r="D847">
        <f>VLOOKUP(B847, Menu!$A:$F, 6, 0)</f>
        <v>38.06</v>
      </c>
      <c r="E847">
        <f>VLOOKUP(B847, Menu!$A:$F, 5, 0)</f>
        <v>19.55</v>
      </c>
      <c r="F847" t="str">
        <f>VLOOKUP(B847, Menu!$A:$F, 3, 0)</f>
        <v>Snack</v>
      </c>
      <c r="G847" s="5">
        <f>VLOOKUP(A847, Orders!$A:$B, 2, 0)</f>
        <v>45864.097743055558</v>
      </c>
      <c r="H847" t="str">
        <f>VLOOKUP(A847, Orders!$A:$C, 3, 0)</f>
        <v>Plant 1 Canteen</v>
      </c>
    </row>
    <row r="848" spans="1:8" x14ac:dyDescent="0.3">
      <c r="A848" t="s">
        <v>368</v>
      </c>
      <c r="B848" t="s">
        <v>407</v>
      </c>
      <c r="C848">
        <v>1</v>
      </c>
      <c r="D848">
        <f>VLOOKUP(B848, Menu!$A:$F, 6, 0)</f>
        <v>246.09</v>
      </c>
      <c r="E848">
        <f>VLOOKUP(B848, Menu!$A:$F, 5, 0)</f>
        <v>112.08</v>
      </c>
      <c r="F848" t="str">
        <f>VLOOKUP(B848, Menu!$A:$F, 3, 0)</f>
        <v>Hot Meal</v>
      </c>
      <c r="G848" s="5">
        <f>VLOOKUP(A848, Orders!$A:$B, 2, 0)</f>
        <v>45864.097743055558</v>
      </c>
      <c r="H848" t="str">
        <f>VLOOKUP(A848, Orders!$A:$C, 3, 0)</f>
        <v>Plant 1 Canteen</v>
      </c>
    </row>
    <row r="849" spans="1:8" x14ac:dyDescent="0.3">
      <c r="A849" t="s">
        <v>368</v>
      </c>
      <c r="B849" t="s">
        <v>418</v>
      </c>
      <c r="C849">
        <v>2</v>
      </c>
      <c r="D849">
        <f>VLOOKUP(B849, Menu!$A:$F, 6, 0)</f>
        <v>39.950000000000003</v>
      </c>
      <c r="E849">
        <f>VLOOKUP(B849, Menu!$A:$F, 5, 0)</f>
        <v>15.51</v>
      </c>
      <c r="F849" t="str">
        <f>VLOOKUP(B849, Menu!$A:$F, 3, 0)</f>
        <v>Snack</v>
      </c>
      <c r="G849" s="5">
        <f>VLOOKUP(A849, Orders!$A:$B, 2, 0)</f>
        <v>45864.097743055558</v>
      </c>
      <c r="H849" t="str">
        <f>VLOOKUP(A849, Orders!$A:$C, 3, 0)</f>
        <v>Plant 1 Canteen</v>
      </c>
    </row>
    <row r="850" spans="1:8" x14ac:dyDescent="0.3">
      <c r="A850" t="s">
        <v>368</v>
      </c>
      <c r="B850" t="s">
        <v>412</v>
      </c>
      <c r="C850">
        <v>1</v>
      </c>
      <c r="D850">
        <f>VLOOKUP(B850, Menu!$A:$F, 6, 0)</f>
        <v>57.07</v>
      </c>
      <c r="E850">
        <f>VLOOKUP(B850, Menu!$A:$F, 5, 0)</f>
        <v>29.14</v>
      </c>
      <c r="F850" t="str">
        <f>VLOOKUP(B850, Menu!$A:$F, 3, 0)</f>
        <v>Dessert</v>
      </c>
      <c r="G850" s="5">
        <f>VLOOKUP(A850, Orders!$A:$B, 2, 0)</f>
        <v>45864.097743055558</v>
      </c>
      <c r="H850" t="str">
        <f>VLOOKUP(A850, Orders!$A:$C, 3, 0)</f>
        <v>Plant 1 Canteen</v>
      </c>
    </row>
    <row r="851" spans="1:8" x14ac:dyDescent="0.3">
      <c r="A851" t="s">
        <v>369</v>
      </c>
      <c r="B851" t="s">
        <v>411</v>
      </c>
      <c r="C851">
        <v>2</v>
      </c>
      <c r="D851">
        <f>VLOOKUP(B851, Menu!$A:$F, 6, 0)</f>
        <v>22.2</v>
      </c>
      <c r="E851">
        <f>VLOOKUP(B851, Menu!$A:$F, 5, 0)</f>
        <v>9.3800000000000008</v>
      </c>
      <c r="F851" t="str">
        <f>VLOOKUP(B851, Menu!$A:$F, 3, 0)</f>
        <v>Beverage</v>
      </c>
      <c r="G851" s="5">
        <f>VLOOKUP(A851, Orders!$A:$B, 2, 0)</f>
        <v>45880.343958333331</v>
      </c>
      <c r="H851" t="str">
        <f>VLOOKUP(A851, Orders!$A:$C, 3, 0)</f>
        <v>Plant 1 Canteen</v>
      </c>
    </row>
    <row r="852" spans="1:8" x14ac:dyDescent="0.3">
      <c r="A852" t="s">
        <v>369</v>
      </c>
      <c r="B852" t="s">
        <v>408</v>
      </c>
      <c r="C852">
        <v>1</v>
      </c>
      <c r="D852">
        <f>VLOOKUP(B852, Menu!$A:$F, 6, 0)</f>
        <v>70.540000000000006</v>
      </c>
      <c r="E852">
        <f>VLOOKUP(B852, Menu!$A:$F, 5, 0)</f>
        <v>35.81</v>
      </c>
      <c r="F852" t="str">
        <f>VLOOKUP(B852, Menu!$A:$F, 3, 0)</f>
        <v>Snack</v>
      </c>
      <c r="G852" s="5">
        <f>VLOOKUP(A852, Orders!$A:$B, 2, 0)</f>
        <v>45880.343958333331</v>
      </c>
      <c r="H852" t="str">
        <f>VLOOKUP(A852, Orders!$A:$C, 3, 0)</f>
        <v>Plant 1 Canteen</v>
      </c>
    </row>
    <row r="853" spans="1:8" x14ac:dyDescent="0.3">
      <c r="A853" t="s">
        <v>369</v>
      </c>
      <c r="B853" t="s">
        <v>419</v>
      </c>
      <c r="C853">
        <v>1</v>
      </c>
      <c r="D853">
        <f>VLOOKUP(B853, Menu!$A:$F, 6, 0)</f>
        <v>50.19</v>
      </c>
      <c r="E853">
        <f>VLOOKUP(B853, Menu!$A:$F, 5, 0)</f>
        <v>22.61</v>
      </c>
      <c r="F853" t="str">
        <f>VLOOKUP(B853, Menu!$A:$F, 3, 0)</f>
        <v>Snack</v>
      </c>
      <c r="G853" s="5">
        <f>VLOOKUP(A853, Orders!$A:$B, 2, 0)</f>
        <v>45880.343958333331</v>
      </c>
      <c r="H853" t="str">
        <f>VLOOKUP(A853, Orders!$A:$C, 3, 0)</f>
        <v>Plant 1 Canteen</v>
      </c>
    </row>
    <row r="854" spans="1:8" x14ac:dyDescent="0.3">
      <c r="A854" t="s">
        <v>369</v>
      </c>
      <c r="B854" t="s">
        <v>413</v>
      </c>
      <c r="C854">
        <v>1</v>
      </c>
      <c r="D854">
        <f>VLOOKUP(B854, Menu!$A:$F, 6, 0)</f>
        <v>54.2</v>
      </c>
      <c r="E854">
        <f>VLOOKUP(B854, Menu!$A:$F, 5, 0)</f>
        <v>21.95</v>
      </c>
      <c r="F854" t="str">
        <f>VLOOKUP(B854, Menu!$A:$F, 3, 0)</f>
        <v>Dessert</v>
      </c>
      <c r="G854" s="5">
        <f>VLOOKUP(A854, Orders!$A:$B, 2, 0)</f>
        <v>45880.343958333331</v>
      </c>
      <c r="H854" t="str">
        <f>VLOOKUP(A854, Orders!$A:$C, 3, 0)</f>
        <v>Plant 1 Canteen</v>
      </c>
    </row>
    <row r="855" spans="1:8" x14ac:dyDescent="0.3">
      <c r="A855" t="s">
        <v>370</v>
      </c>
      <c r="B855" t="s">
        <v>410</v>
      </c>
      <c r="C855">
        <v>1</v>
      </c>
      <c r="D855">
        <f>VLOOKUP(B855, Menu!$A:$F, 6, 0)</f>
        <v>20.11</v>
      </c>
      <c r="E855">
        <f>VLOOKUP(B855, Menu!$A:$F, 5, 0)</f>
        <v>8</v>
      </c>
      <c r="F855" t="str">
        <f>VLOOKUP(B855, Menu!$A:$F, 3, 0)</f>
        <v>Beverage</v>
      </c>
      <c r="G855" s="5">
        <f>VLOOKUP(A855, Orders!$A:$B, 2, 0)</f>
        <v>45851.080300925933</v>
      </c>
      <c r="H855" t="str">
        <f>VLOOKUP(A855, Orders!$A:$C, 3, 0)</f>
        <v>Plant 1 Canteen</v>
      </c>
    </row>
    <row r="856" spans="1:8" x14ac:dyDescent="0.3">
      <c r="A856" t="s">
        <v>370</v>
      </c>
      <c r="B856" t="s">
        <v>403</v>
      </c>
      <c r="C856">
        <v>2</v>
      </c>
      <c r="D856">
        <f>VLOOKUP(B856, Menu!$A:$F, 6, 0)</f>
        <v>76.55</v>
      </c>
      <c r="E856">
        <f>VLOOKUP(B856, Menu!$A:$F, 5, 0)</f>
        <v>38.229999999999997</v>
      </c>
      <c r="F856" t="str">
        <f>VLOOKUP(B856, Menu!$A:$F, 3, 0)</f>
        <v>Dessert</v>
      </c>
      <c r="G856" s="5">
        <f>VLOOKUP(A856, Orders!$A:$B, 2, 0)</f>
        <v>45851.080300925933</v>
      </c>
      <c r="H856" t="str">
        <f>VLOOKUP(A856, Orders!$A:$C, 3, 0)</f>
        <v>Plant 1 Canteen</v>
      </c>
    </row>
    <row r="857" spans="1:8" x14ac:dyDescent="0.3">
      <c r="A857" t="s">
        <v>371</v>
      </c>
      <c r="B857" t="s">
        <v>416</v>
      </c>
      <c r="C857">
        <v>2</v>
      </c>
      <c r="D857">
        <f>VLOOKUP(B857, Menu!$A:$F, 6, 0)</f>
        <v>227.61</v>
      </c>
      <c r="E857">
        <f>VLOOKUP(B857, Menu!$A:$F, 5, 0)</f>
        <v>96.22</v>
      </c>
      <c r="F857" t="str">
        <f>VLOOKUP(B857, Menu!$A:$F, 3, 0)</f>
        <v>Hot Meal</v>
      </c>
      <c r="G857" s="5">
        <f>VLOOKUP(A857, Orders!$A:$B, 2, 0)</f>
        <v>45845.347962962973</v>
      </c>
      <c r="H857" t="str">
        <f>VLOOKUP(A857, Orders!$A:$C, 3, 0)</f>
        <v>Plant 1 Canteen</v>
      </c>
    </row>
    <row r="858" spans="1:8" x14ac:dyDescent="0.3">
      <c r="A858" t="s">
        <v>371</v>
      </c>
      <c r="B858" t="s">
        <v>413</v>
      </c>
      <c r="C858">
        <v>1</v>
      </c>
      <c r="D858">
        <f>VLOOKUP(B858, Menu!$A:$F, 6, 0)</f>
        <v>54.2</v>
      </c>
      <c r="E858">
        <f>VLOOKUP(B858, Menu!$A:$F, 5, 0)</f>
        <v>21.95</v>
      </c>
      <c r="F858" t="str">
        <f>VLOOKUP(B858, Menu!$A:$F, 3, 0)</f>
        <v>Dessert</v>
      </c>
      <c r="G858" s="5">
        <f>VLOOKUP(A858, Orders!$A:$B, 2, 0)</f>
        <v>45845.347962962973</v>
      </c>
      <c r="H858" t="str">
        <f>VLOOKUP(A858, Orders!$A:$C, 3, 0)</f>
        <v>Plant 1 Canteen</v>
      </c>
    </row>
    <row r="859" spans="1:8" x14ac:dyDescent="0.3">
      <c r="A859" t="s">
        <v>371</v>
      </c>
      <c r="B859" t="s">
        <v>419</v>
      </c>
      <c r="C859">
        <v>2</v>
      </c>
      <c r="D859">
        <f>VLOOKUP(B859, Menu!$A:$F, 6, 0)</f>
        <v>50.19</v>
      </c>
      <c r="E859">
        <f>VLOOKUP(B859, Menu!$A:$F, 5, 0)</f>
        <v>22.61</v>
      </c>
      <c r="F859" t="str">
        <f>VLOOKUP(B859, Menu!$A:$F, 3, 0)</f>
        <v>Snack</v>
      </c>
      <c r="G859" s="5">
        <f>VLOOKUP(A859, Orders!$A:$B, 2, 0)</f>
        <v>45845.347962962973</v>
      </c>
      <c r="H859" t="str">
        <f>VLOOKUP(A859, Orders!$A:$C, 3, 0)</f>
        <v>Plant 1 Canteen</v>
      </c>
    </row>
    <row r="860" spans="1:8" x14ac:dyDescent="0.3">
      <c r="A860" t="s">
        <v>371</v>
      </c>
      <c r="B860" t="s">
        <v>404</v>
      </c>
      <c r="C860">
        <v>2</v>
      </c>
      <c r="D860">
        <f>VLOOKUP(B860, Menu!$A:$F, 6, 0)</f>
        <v>32.979999999999997</v>
      </c>
      <c r="E860">
        <f>VLOOKUP(B860, Menu!$A:$F, 5, 0)</f>
        <v>11.84</v>
      </c>
      <c r="F860" t="str">
        <f>VLOOKUP(B860, Menu!$A:$F, 3, 0)</f>
        <v>Beverage</v>
      </c>
      <c r="G860" s="5">
        <f>VLOOKUP(A860, Orders!$A:$B, 2, 0)</f>
        <v>45845.347962962973</v>
      </c>
      <c r="H860" t="str">
        <f>VLOOKUP(A860, Orders!$A:$C, 3, 0)</f>
        <v>Plant 1 Canteen</v>
      </c>
    </row>
    <row r="861" spans="1:8" x14ac:dyDescent="0.3">
      <c r="A861" t="s">
        <v>372</v>
      </c>
      <c r="B861" t="s">
        <v>405</v>
      </c>
      <c r="C861">
        <v>2</v>
      </c>
      <c r="D861">
        <f>VLOOKUP(B861, Menu!$A:$F, 6, 0)</f>
        <v>170.83</v>
      </c>
      <c r="E861">
        <f>VLOOKUP(B861, Menu!$A:$F, 5, 0)</f>
        <v>74.069999999999993</v>
      </c>
      <c r="F861" t="str">
        <f>VLOOKUP(B861, Menu!$A:$F, 3, 0)</f>
        <v>Hot Meal</v>
      </c>
      <c r="G861" s="5">
        <f>VLOOKUP(A861, Orders!$A:$B, 2, 0)</f>
        <v>45840.845706018517</v>
      </c>
      <c r="H861" t="str">
        <f>VLOOKUP(A861, Orders!$A:$C, 3, 0)</f>
        <v>Head Office Café</v>
      </c>
    </row>
    <row r="862" spans="1:8" x14ac:dyDescent="0.3">
      <c r="A862" t="s">
        <v>372</v>
      </c>
      <c r="B862" t="s">
        <v>414</v>
      </c>
      <c r="C862">
        <v>2</v>
      </c>
      <c r="D862">
        <f>VLOOKUP(B862, Menu!$A:$F, 6, 0)</f>
        <v>116.8</v>
      </c>
      <c r="E862">
        <f>VLOOKUP(B862, Menu!$A:$F, 5, 0)</f>
        <v>48.97</v>
      </c>
      <c r="F862" t="str">
        <f>VLOOKUP(B862, Menu!$A:$F, 3, 0)</f>
        <v>Dessert</v>
      </c>
      <c r="G862" s="5">
        <f>VLOOKUP(A862, Orders!$A:$B, 2, 0)</f>
        <v>45840.845706018517</v>
      </c>
      <c r="H862" t="str">
        <f>VLOOKUP(A862, Orders!$A:$C, 3, 0)</f>
        <v>Head Office Café</v>
      </c>
    </row>
    <row r="863" spans="1:8" x14ac:dyDescent="0.3">
      <c r="A863" t="s">
        <v>372</v>
      </c>
      <c r="B863" t="s">
        <v>417</v>
      </c>
      <c r="C863">
        <v>1</v>
      </c>
      <c r="D863">
        <f>VLOOKUP(B863, Menu!$A:$F, 6, 0)</f>
        <v>146.4</v>
      </c>
      <c r="E863">
        <f>VLOOKUP(B863, Menu!$A:$F, 5, 0)</f>
        <v>80.92</v>
      </c>
      <c r="F863" t="str">
        <f>VLOOKUP(B863, Menu!$A:$F, 3, 0)</f>
        <v>Hot Meal</v>
      </c>
      <c r="G863" s="5">
        <f>VLOOKUP(A863, Orders!$A:$B, 2, 0)</f>
        <v>45840.845706018517</v>
      </c>
      <c r="H863" t="str">
        <f>VLOOKUP(A863, Orders!$A:$C, 3, 0)</f>
        <v>Head Office Café</v>
      </c>
    </row>
    <row r="864" spans="1:8" x14ac:dyDescent="0.3">
      <c r="A864" t="s">
        <v>373</v>
      </c>
      <c r="B864" t="s">
        <v>419</v>
      </c>
      <c r="C864">
        <v>2</v>
      </c>
      <c r="D864">
        <f>VLOOKUP(B864, Menu!$A:$F, 6, 0)</f>
        <v>50.19</v>
      </c>
      <c r="E864">
        <f>VLOOKUP(B864, Menu!$A:$F, 5, 0)</f>
        <v>22.61</v>
      </c>
      <c r="F864" t="str">
        <f>VLOOKUP(B864, Menu!$A:$F, 3, 0)</f>
        <v>Snack</v>
      </c>
      <c r="G864" s="5">
        <f>VLOOKUP(A864, Orders!$A:$B, 2, 0)</f>
        <v>45853.189918981479</v>
      </c>
      <c r="H864" t="str">
        <f>VLOOKUP(A864, Orders!$A:$C, 3, 0)</f>
        <v>Plant 2 Canteen</v>
      </c>
    </row>
    <row r="865" spans="1:8" x14ac:dyDescent="0.3">
      <c r="A865" t="s">
        <v>373</v>
      </c>
      <c r="B865" t="s">
        <v>412</v>
      </c>
      <c r="C865">
        <v>2</v>
      </c>
      <c r="D865">
        <f>VLOOKUP(B865, Menu!$A:$F, 6, 0)</f>
        <v>57.07</v>
      </c>
      <c r="E865">
        <f>VLOOKUP(B865, Menu!$A:$F, 5, 0)</f>
        <v>29.14</v>
      </c>
      <c r="F865" t="str">
        <f>VLOOKUP(B865, Menu!$A:$F, 3, 0)</f>
        <v>Dessert</v>
      </c>
      <c r="G865" s="5">
        <f>VLOOKUP(A865, Orders!$A:$B, 2, 0)</f>
        <v>45853.189918981479</v>
      </c>
      <c r="H865" t="str">
        <f>VLOOKUP(A865, Orders!$A:$C, 3, 0)</f>
        <v>Plant 2 Canteen</v>
      </c>
    </row>
    <row r="866" spans="1:8" x14ac:dyDescent="0.3">
      <c r="A866" t="s">
        <v>374</v>
      </c>
      <c r="B866" t="s">
        <v>417</v>
      </c>
      <c r="C866">
        <v>1</v>
      </c>
      <c r="D866">
        <f>VLOOKUP(B866, Menu!$A:$F, 6, 0)</f>
        <v>146.4</v>
      </c>
      <c r="E866">
        <f>VLOOKUP(B866, Menu!$A:$F, 5, 0)</f>
        <v>80.92</v>
      </c>
      <c r="F866" t="str">
        <f>VLOOKUP(B866, Menu!$A:$F, 3, 0)</f>
        <v>Hot Meal</v>
      </c>
      <c r="G866" s="5">
        <f>VLOOKUP(A866, Orders!$A:$B, 2, 0)</f>
        <v>45862.606469907398</v>
      </c>
      <c r="H866" t="str">
        <f>VLOOKUP(A866, Orders!$A:$C, 3, 0)</f>
        <v>Head Office Café</v>
      </c>
    </row>
    <row r="867" spans="1:8" x14ac:dyDescent="0.3">
      <c r="A867" t="s">
        <v>375</v>
      </c>
      <c r="B867" t="s">
        <v>409</v>
      </c>
      <c r="C867">
        <v>1</v>
      </c>
      <c r="D867">
        <f>VLOOKUP(B867, Menu!$A:$F, 6, 0)</f>
        <v>28.43</v>
      </c>
      <c r="E867">
        <f>VLOOKUP(B867, Menu!$A:$F, 5, 0)</f>
        <v>13.89</v>
      </c>
      <c r="F867" t="str">
        <f>VLOOKUP(B867, Menu!$A:$F, 3, 0)</f>
        <v>Beverage</v>
      </c>
      <c r="G867" s="5">
        <f>VLOOKUP(A867, Orders!$A:$B, 2, 0)</f>
        <v>45890.075300925928</v>
      </c>
      <c r="H867" t="str">
        <f>VLOOKUP(A867, Orders!$A:$C, 3, 0)</f>
        <v>Plant 2 Canteen</v>
      </c>
    </row>
    <row r="868" spans="1:8" x14ac:dyDescent="0.3">
      <c r="A868" t="s">
        <v>375</v>
      </c>
      <c r="B868" t="s">
        <v>402</v>
      </c>
      <c r="C868">
        <v>1</v>
      </c>
      <c r="D868">
        <f>VLOOKUP(B868, Menu!$A:$F, 6, 0)</f>
        <v>30.34</v>
      </c>
      <c r="E868">
        <f>VLOOKUP(B868, Menu!$A:$F, 5, 0)</f>
        <v>14.18</v>
      </c>
      <c r="F868" t="str">
        <f>VLOOKUP(B868, Menu!$A:$F, 3, 0)</f>
        <v>Beverage</v>
      </c>
      <c r="G868" s="5">
        <f>VLOOKUP(A868, Orders!$A:$B, 2, 0)</f>
        <v>45890.075300925928</v>
      </c>
      <c r="H868" t="str">
        <f>VLOOKUP(A868, Orders!$A:$C, 3, 0)</f>
        <v>Plant 2 Canteen</v>
      </c>
    </row>
    <row r="869" spans="1:8" x14ac:dyDescent="0.3">
      <c r="A869" t="s">
        <v>375</v>
      </c>
      <c r="B869" t="s">
        <v>404</v>
      </c>
      <c r="C869">
        <v>3</v>
      </c>
      <c r="D869">
        <f>VLOOKUP(B869, Menu!$A:$F, 6, 0)</f>
        <v>32.979999999999997</v>
      </c>
      <c r="E869">
        <f>VLOOKUP(B869, Menu!$A:$F, 5, 0)</f>
        <v>11.84</v>
      </c>
      <c r="F869" t="str">
        <f>VLOOKUP(B869, Menu!$A:$F, 3, 0)</f>
        <v>Beverage</v>
      </c>
      <c r="G869" s="5">
        <f>VLOOKUP(A869, Orders!$A:$B, 2, 0)</f>
        <v>45890.075300925928</v>
      </c>
      <c r="H869" t="str">
        <f>VLOOKUP(A869, Orders!$A:$C, 3, 0)</f>
        <v>Plant 2 Canteen</v>
      </c>
    </row>
    <row r="870" spans="1:8" x14ac:dyDescent="0.3">
      <c r="A870" t="s">
        <v>376</v>
      </c>
      <c r="B870" t="s">
        <v>414</v>
      </c>
      <c r="C870">
        <v>2</v>
      </c>
      <c r="D870">
        <f>VLOOKUP(B870, Menu!$A:$F, 6, 0)</f>
        <v>116.8</v>
      </c>
      <c r="E870">
        <f>VLOOKUP(B870, Menu!$A:$F, 5, 0)</f>
        <v>48.97</v>
      </c>
      <c r="F870" t="str">
        <f>VLOOKUP(B870, Menu!$A:$F, 3, 0)</f>
        <v>Dessert</v>
      </c>
      <c r="G870" s="5">
        <f>VLOOKUP(A870, Orders!$A:$B, 2, 0)</f>
        <v>45888.506631944438</v>
      </c>
      <c r="H870" t="str">
        <f>VLOOKUP(A870, Orders!$A:$C, 3, 0)</f>
        <v>Head Office Café</v>
      </c>
    </row>
    <row r="871" spans="1:8" x14ac:dyDescent="0.3">
      <c r="A871" t="s">
        <v>376</v>
      </c>
      <c r="B871" t="s">
        <v>412</v>
      </c>
      <c r="C871">
        <v>3</v>
      </c>
      <c r="D871">
        <f>VLOOKUP(B871, Menu!$A:$F, 6, 0)</f>
        <v>57.07</v>
      </c>
      <c r="E871">
        <f>VLOOKUP(B871, Menu!$A:$F, 5, 0)</f>
        <v>29.14</v>
      </c>
      <c r="F871" t="str">
        <f>VLOOKUP(B871, Menu!$A:$F, 3, 0)</f>
        <v>Dessert</v>
      </c>
      <c r="G871" s="5">
        <f>VLOOKUP(A871, Orders!$A:$B, 2, 0)</f>
        <v>45888.506631944438</v>
      </c>
      <c r="H871" t="str">
        <f>VLOOKUP(A871, Orders!$A:$C, 3, 0)</f>
        <v>Head Office Café</v>
      </c>
    </row>
    <row r="872" spans="1:8" x14ac:dyDescent="0.3">
      <c r="A872" t="s">
        <v>377</v>
      </c>
      <c r="B872" t="s">
        <v>401</v>
      </c>
      <c r="C872">
        <v>3</v>
      </c>
      <c r="D872">
        <f>VLOOKUP(B872, Menu!$A:$F, 6, 0)</f>
        <v>52.45</v>
      </c>
      <c r="E872">
        <f>VLOOKUP(B872, Menu!$A:$F, 5, 0)</f>
        <v>25.8</v>
      </c>
      <c r="F872" t="str">
        <f>VLOOKUP(B872, Menu!$A:$F, 3, 0)</f>
        <v>Snack</v>
      </c>
      <c r="G872" s="5">
        <f>VLOOKUP(A872, Orders!$A:$B, 2, 0)</f>
        <v>45884.895578703698</v>
      </c>
      <c r="H872" t="str">
        <f>VLOOKUP(A872, Orders!$A:$C, 3, 0)</f>
        <v>Plant 1 Canteen</v>
      </c>
    </row>
    <row r="873" spans="1:8" x14ac:dyDescent="0.3">
      <c r="A873" t="s">
        <v>377</v>
      </c>
      <c r="B873" t="s">
        <v>404</v>
      </c>
      <c r="C873">
        <v>1</v>
      </c>
      <c r="D873">
        <f>VLOOKUP(B873, Menu!$A:$F, 6, 0)</f>
        <v>32.979999999999997</v>
      </c>
      <c r="E873">
        <f>VLOOKUP(B873, Menu!$A:$F, 5, 0)</f>
        <v>11.84</v>
      </c>
      <c r="F873" t="str">
        <f>VLOOKUP(B873, Menu!$A:$F, 3, 0)</f>
        <v>Beverage</v>
      </c>
      <c r="G873" s="5">
        <f>VLOOKUP(A873, Orders!$A:$B, 2, 0)</f>
        <v>45884.895578703698</v>
      </c>
      <c r="H873" t="str">
        <f>VLOOKUP(A873, Orders!$A:$C, 3, 0)</f>
        <v>Plant 1 Canteen</v>
      </c>
    </row>
    <row r="874" spans="1:8" x14ac:dyDescent="0.3">
      <c r="A874" t="s">
        <v>377</v>
      </c>
      <c r="B874" t="s">
        <v>413</v>
      </c>
      <c r="C874">
        <v>1</v>
      </c>
      <c r="D874">
        <f>VLOOKUP(B874, Menu!$A:$F, 6, 0)</f>
        <v>54.2</v>
      </c>
      <c r="E874">
        <f>VLOOKUP(B874, Menu!$A:$F, 5, 0)</f>
        <v>21.95</v>
      </c>
      <c r="F874" t="str">
        <f>VLOOKUP(B874, Menu!$A:$F, 3, 0)</f>
        <v>Dessert</v>
      </c>
      <c r="G874" s="5">
        <f>VLOOKUP(A874, Orders!$A:$B, 2, 0)</f>
        <v>45884.895578703698</v>
      </c>
      <c r="H874" t="str">
        <f>VLOOKUP(A874, Orders!$A:$C, 3, 0)</f>
        <v>Plant 1 Canteen</v>
      </c>
    </row>
    <row r="875" spans="1:8" x14ac:dyDescent="0.3">
      <c r="A875" t="s">
        <v>377</v>
      </c>
      <c r="B875" t="s">
        <v>402</v>
      </c>
      <c r="C875">
        <v>1</v>
      </c>
      <c r="D875">
        <f>VLOOKUP(B875, Menu!$A:$F, 6, 0)</f>
        <v>30.34</v>
      </c>
      <c r="E875">
        <f>VLOOKUP(B875, Menu!$A:$F, 5, 0)</f>
        <v>14.18</v>
      </c>
      <c r="F875" t="str">
        <f>VLOOKUP(B875, Menu!$A:$F, 3, 0)</f>
        <v>Beverage</v>
      </c>
      <c r="G875" s="5">
        <f>VLOOKUP(A875, Orders!$A:$B, 2, 0)</f>
        <v>45884.895578703698</v>
      </c>
      <c r="H875" t="str">
        <f>VLOOKUP(A875, Orders!$A:$C, 3, 0)</f>
        <v>Plant 1 Canteen</v>
      </c>
    </row>
    <row r="876" spans="1:8" x14ac:dyDescent="0.3">
      <c r="A876" t="s">
        <v>378</v>
      </c>
      <c r="B876" t="s">
        <v>418</v>
      </c>
      <c r="C876">
        <v>1</v>
      </c>
      <c r="D876">
        <f>VLOOKUP(B876, Menu!$A:$F, 6, 0)</f>
        <v>39.950000000000003</v>
      </c>
      <c r="E876">
        <f>VLOOKUP(B876, Menu!$A:$F, 5, 0)</f>
        <v>15.51</v>
      </c>
      <c r="F876" t="str">
        <f>VLOOKUP(B876, Menu!$A:$F, 3, 0)</f>
        <v>Snack</v>
      </c>
      <c r="G876" s="5">
        <f>VLOOKUP(A876, Orders!$A:$B, 2, 0)</f>
        <v>45863.87699074074</v>
      </c>
      <c r="H876" t="str">
        <f>VLOOKUP(A876, Orders!$A:$C, 3, 0)</f>
        <v>Head Office Café</v>
      </c>
    </row>
    <row r="877" spans="1:8" x14ac:dyDescent="0.3">
      <c r="A877" t="s">
        <v>378</v>
      </c>
      <c r="B877" t="s">
        <v>403</v>
      </c>
      <c r="C877">
        <v>3</v>
      </c>
      <c r="D877">
        <f>VLOOKUP(B877, Menu!$A:$F, 6, 0)</f>
        <v>76.55</v>
      </c>
      <c r="E877">
        <f>VLOOKUP(B877, Menu!$A:$F, 5, 0)</f>
        <v>38.229999999999997</v>
      </c>
      <c r="F877" t="str">
        <f>VLOOKUP(B877, Menu!$A:$F, 3, 0)</f>
        <v>Dessert</v>
      </c>
      <c r="G877" s="5">
        <f>VLOOKUP(A877, Orders!$A:$B, 2, 0)</f>
        <v>45863.87699074074</v>
      </c>
      <c r="H877" t="str">
        <f>VLOOKUP(A877, Orders!$A:$C, 3, 0)</f>
        <v>Head Office Café</v>
      </c>
    </row>
    <row r="878" spans="1:8" x14ac:dyDescent="0.3">
      <c r="A878" t="s">
        <v>378</v>
      </c>
      <c r="B878" t="s">
        <v>417</v>
      </c>
      <c r="C878">
        <v>1</v>
      </c>
      <c r="D878">
        <f>VLOOKUP(B878, Menu!$A:$F, 6, 0)</f>
        <v>146.4</v>
      </c>
      <c r="E878">
        <f>VLOOKUP(B878, Menu!$A:$F, 5, 0)</f>
        <v>80.92</v>
      </c>
      <c r="F878" t="str">
        <f>VLOOKUP(B878, Menu!$A:$F, 3, 0)</f>
        <v>Hot Meal</v>
      </c>
      <c r="G878" s="5">
        <f>VLOOKUP(A878, Orders!$A:$B, 2, 0)</f>
        <v>45863.87699074074</v>
      </c>
      <c r="H878" t="str">
        <f>VLOOKUP(A878, Orders!$A:$C, 3, 0)</f>
        <v>Head Office Café</v>
      </c>
    </row>
    <row r="879" spans="1:8" x14ac:dyDescent="0.3">
      <c r="A879" t="s">
        <v>379</v>
      </c>
      <c r="B879" t="s">
        <v>401</v>
      </c>
      <c r="C879">
        <v>1</v>
      </c>
      <c r="D879">
        <f>VLOOKUP(B879, Menu!$A:$F, 6, 0)</f>
        <v>52.45</v>
      </c>
      <c r="E879">
        <f>VLOOKUP(B879, Menu!$A:$F, 5, 0)</f>
        <v>25.8</v>
      </c>
      <c r="F879" t="str">
        <f>VLOOKUP(B879, Menu!$A:$F, 3, 0)</f>
        <v>Snack</v>
      </c>
      <c r="G879" s="5">
        <f>VLOOKUP(A879, Orders!$A:$B, 2, 0)</f>
        <v>45872.726990740739</v>
      </c>
      <c r="H879" t="str">
        <f>VLOOKUP(A879, Orders!$A:$C, 3, 0)</f>
        <v>Plant 1 Canteen</v>
      </c>
    </row>
    <row r="880" spans="1:8" x14ac:dyDescent="0.3">
      <c r="A880" t="s">
        <v>379</v>
      </c>
      <c r="B880" t="s">
        <v>409</v>
      </c>
      <c r="C880">
        <v>2</v>
      </c>
      <c r="D880">
        <f>VLOOKUP(B880, Menu!$A:$F, 6, 0)</f>
        <v>28.43</v>
      </c>
      <c r="E880">
        <f>VLOOKUP(B880, Menu!$A:$F, 5, 0)</f>
        <v>13.89</v>
      </c>
      <c r="F880" t="str">
        <f>VLOOKUP(B880, Menu!$A:$F, 3, 0)</f>
        <v>Beverage</v>
      </c>
      <c r="G880" s="5">
        <f>VLOOKUP(A880, Orders!$A:$B, 2, 0)</f>
        <v>45872.726990740739</v>
      </c>
      <c r="H880" t="str">
        <f>VLOOKUP(A880, Orders!$A:$C, 3, 0)</f>
        <v>Plant 1 Canteen</v>
      </c>
    </row>
    <row r="881" spans="1:8" x14ac:dyDescent="0.3">
      <c r="A881" t="s">
        <v>380</v>
      </c>
      <c r="B881" t="s">
        <v>413</v>
      </c>
      <c r="C881">
        <v>2</v>
      </c>
      <c r="D881">
        <f>VLOOKUP(B881, Menu!$A:$F, 6, 0)</f>
        <v>54.2</v>
      </c>
      <c r="E881">
        <f>VLOOKUP(B881, Menu!$A:$F, 5, 0)</f>
        <v>21.95</v>
      </c>
      <c r="F881" t="str">
        <f>VLOOKUP(B881, Menu!$A:$F, 3, 0)</f>
        <v>Dessert</v>
      </c>
      <c r="G881" s="5">
        <f>VLOOKUP(A881, Orders!$A:$B, 2, 0)</f>
        <v>45895.747199074067</v>
      </c>
      <c r="H881" t="str">
        <f>VLOOKUP(A881, Orders!$A:$C, 3, 0)</f>
        <v>Head Office Café</v>
      </c>
    </row>
    <row r="882" spans="1:8" x14ac:dyDescent="0.3">
      <c r="A882" t="s">
        <v>381</v>
      </c>
      <c r="B882" t="s">
        <v>406</v>
      </c>
      <c r="C882">
        <v>2</v>
      </c>
      <c r="D882">
        <f>VLOOKUP(B882, Menu!$A:$F, 6, 0)</f>
        <v>38.06</v>
      </c>
      <c r="E882">
        <f>VLOOKUP(B882, Menu!$A:$F, 5, 0)</f>
        <v>19.55</v>
      </c>
      <c r="F882" t="str">
        <f>VLOOKUP(B882, Menu!$A:$F, 3, 0)</f>
        <v>Snack</v>
      </c>
      <c r="G882" s="5">
        <f>VLOOKUP(A882, Orders!$A:$B, 2, 0)</f>
        <v>45873.454837962963</v>
      </c>
      <c r="H882" t="str">
        <f>VLOOKUP(A882, Orders!$A:$C, 3, 0)</f>
        <v>Head Office Café</v>
      </c>
    </row>
    <row r="883" spans="1:8" x14ac:dyDescent="0.3">
      <c r="A883" t="s">
        <v>381</v>
      </c>
      <c r="B883" t="s">
        <v>413</v>
      </c>
      <c r="C883">
        <v>1</v>
      </c>
      <c r="D883">
        <f>VLOOKUP(B883, Menu!$A:$F, 6, 0)</f>
        <v>54.2</v>
      </c>
      <c r="E883">
        <f>VLOOKUP(B883, Menu!$A:$F, 5, 0)</f>
        <v>21.95</v>
      </c>
      <c r="F883" t="str">
        <f>VLOOKUP(B883, Menu!$A:$F, 3, 0)</f>
        <v>Dessert</v>
      </c>
      <c r="G883" s="5">
        <f>VLOOKUP(A883, Orders!$A:$B, 2, 0)</f>
        <v>45873.454837962963</v>
      </c>
      <c r="H883" t="str">
        <f>VLOOKUP(A883, Orders!$A:$C, 3, 0)</f>
        <v>Head Office Café</v>
      </c>
    </row>
    <row r="884" spans="1:8" x14ac:dyDescent="0.3">
      <c r="A884" t="s">
        <v>381</v>
      </c>
      <c r="B884" t="s">
        <v>419</v>
      </c>
      <c r="C884">
        <v>2</v>
      </c>
      <c r="D884">
        <f>VLOOKUP(B884, Menu!$A:$F, 6, 0)</f>
        <v>50.19</v>
      </c>
      <c r="E884">
        <f>VLOOKUP(B884, Menu!$A:$F, 5, 0)</f>
        <v>22.61</v>
      </c>
      <c r="F884" t="str">
        <f>VLOOKUP(B884, Menu!$A:$F, 3, 0)</f>
        <v>Snack</v>
      </c>
      <c r="G884" s="5">
        <f>VLOOKUP(A884, Orders!$A:$B, 2, 0)</f>
        <v>45873.454837962963</v>
      </c>
      <c r="H884" t="str">
        <f>VLOOKUP(A884, Orders!$A:$C, 3, 0)</f>
        <v>Head Office Café</v>
      </c>
    </row>
    <row r="885" spans="1:8" x14ac:dyDescent="0.3">
      <c r="A885" t="s">
        <v>382</v>
      </c>
      <c r="B885" t="s">
        <v>411</v>
      </c>
      <c r="C885">
        <v>1</v>
      </c>
      <c r="D885">
        <f>VLOOKUP(B885, Menu!$A:$F, 6, 0)</f>
        <v>22.2</v>
      </c>
      <c r="E885">
        <f>VLOOKUP(B885, Menu!$A:$F, 5, 0)</f>
        <v>9.3800000000000008</v>
      </c>
      <c r="F885" t="str">
        <f>VLOOKUP(B885, Menu!$A:$F, 3, 0)</f>
        <v>Beverage</v>
      </c>
      <c r="G885" s="5">
        <f>VLOOKUP(A885, Orders!$A:$B, 2, 0)</f>
        <v>45884.360405092593</v>
      </c>
      <c r="H885" t="str">
        <f>VLOOKUP(A885, Orders!$A:$C, 3, 0)</f>
        <v>Head Office Café</v>
      </c>
    </row>
    <row r="886" spans="1:8" x14ac:dyDescent="0.3">
      <c r="A886" t="s">
        <v>382</v>
      </c>
      <c r="B886" t="s">
        <v>413</v>
      </c>
      <c r="C886">
        <v>3</v>
      </c>
      <c r="D886">
        <f>VLOOKUP(B886, Menu!$A:$F, 6, 0)</f>
        <v>54.2</v>
      </c>
      <c r="E886">
        <f>VLOOKUP(B886, Menu!$A:$F, 5, 0)</f>
        <v>21.95</v>
      </c>
      <c r="F886" t="str">
        <f>VLOOKUP(B886, Menu!$A:$F, 3, 0)</f>
        <v>Dessert</v>
      </c>
      <c r="G886" s="5">
        <f>VLOOKUP(A886, Orders!$A:$B, 2, 0)</f>
        <v>45884.360405092593</v>
      </c>
      <c r="H886" t="str">
        <f>VLOOKUP(A886, Orders!$A:$C, 3, 0)</f>
        <v>Head Office Café</v>
      </c>
    </row>
    <row r="887" spans="1:8" x14ac:dyDescent="0.3">
      <c r="A887" t="s">
        <v>382</v>
      </c>
      <c r="B887" t="s">
        <v>416</v>
      </c>
      <c r="C887">
        <v>2</v>
      </c>
      <c r="D887">
        <f>VLOOKUP(B887, Menu!$A:$F, 6, 0)</f>
        <v>227.61</v>
      </c>
      <c r="E887">
        <f>VLOOKUP(B887, Menu!$A:$F, 5, 0)</f>
        <v>96.22</v>
      </c>
      <c r="F887" t="str">
        <f>VLOOKUP(B887, Menu!$A:$F, 3, 0)</f>
        <v>Hot Meal</v>
      </c>
      <c r="G887" s="5">
        <f>VLOOKUP(A887, Orders!$A:$B, 2, 0)</f>
        <v>45884.360405092593</v>
      </c>
      <c r="H887" t="str">
        <f>VLOOKUP(A887, Orders!$A:$C, 3, 0)</f>
        <v>Head Office Café</v>
      </c>
    </row>
    <row r="888" spans="1:8" x14ac:dyDescent="0.3">
      <c r="A888" t="s">
        <v>383</v>
      </c>
      <c r="B888" t="s">
        <v>410</v>
      </c>
      <c r="C888">
        <v>1</v>
      </c>
      <c r="D888">
        <f>VLOOKUP(B888, Menu!$A:$F, 6, 0)</f>
        <v>20.11</v>
      </c>
      <c r="E888">
        <f>VLOOKUP(B888, Menu!$A:$F, 5, 0)</f>
        <v>8</v>
      </c>
      <c r="F888" t="str">
        <f>VLOOKUP(B888, Menu!$A:$F, 3, 0)</f>
        <v>Beverage</v>
      </c>
      <c r="G888" s="5">
        <f>VLOOKUP(A888, Orders!$A:$B, 2, 0)</f>
        <v>45852.342881944453</v>
      </c>
      <c r="H888" t="str">
        <f>VLOOKUP(A888, Orders!$A:$C, 3, 0)</f>
        <v>Plant 1 Canteen</v>
      </c>
    </row>
    <row r="889" spans="1:8" x14ac:dyDescent="0.3">
      <c r="A889" t="s">
        <v>383</v>
      </c>
      <c r="B889" t="s">
        <v>409</v>
      </c>
      <c r="C889">
        <v>2</v>
      </c>
      <c r="D889">
        <f>VLOOKUP(B889, Menu!$A:$F, 6, 0)</f>
        <v>28.43</v>
      </c>
      <c r="E889">
        <f>VLOOKUP(B889, Menu!$A:$F, 5, 0)</f>
        <v>13.89</v>
      </c>
      <c r="F889" t="str">
        <f>VLOOKUP(B889, Menu!$A:$F, 3, 0)</f>
        <v>Beverage</v>
      </c>
      <c r="G889" s="5">
        <f>VLOOKUP(A889, Orders!$A:$B, 2, 0)</f>
        <v>45852.342881944453</v>
      </c>
      <c r="H889" t="str">
        <f>VLOOKUP(A889, Orders!$A:$C, 3, 0)</f>
        <v>Plant 1 Canteen</v>
      </c>
    </row>
    <row r="890" spans="1:8" x14ac:dyDescent="0.3">
      <c r="A890" t="s">
        <v>384</v>
      </c>
      <c r="B890" t="s">
        <v>417</v>
      </c>
      <c r="C890">
        <v>2</v>
      </c>
      <c r="D890">
        <f>VLOOKUP(B890, Menu!$A:$F, 6, 0)</f>
        <v>146.4</v>
      </c>
      <c r="E890">
        <f>VLOOKUP(B890, Menu!$A:$F, 5, 0)</f>
        <v>80.92</v>
      </c>
      <c r="F890" t="str">
        <f>VLOOKUP(B890, Menu!$A:$F, 3, 0)</f>
        <v>Hot Meal</v>
      </c>
      <c r="G890" s="5">
        <f>VLOOKUP(A890, Orders!$A:$B, 2, 0)</f>
        <v>45867.740439814806</v>
      </c>
      <c r="H890" t="str">
        <f>VLOOKUP(A890, Orders!$A:$C, 3, 0)</f>
        <v>Plant 1 Canteen</v>
      </c>
    </row>
    <row r="891" spans="1:8" x14ac:dyDescent="0.3">
      <c r="A891" t="s">
        <v>384</v>
      </c>
      <c r="B891" t="s">
        <v>415</v>
      </c>
      <c r="C891">
        <v>1</v>
      </c>
      <c r="D891">
        <f>VLOOKUP(B891, Menu!$A:$F, 6, 0)</f>
        <v>256.91000000000003</v>
      </c>
      <c r="E891">
        <f>VLOOKUP(B891, Menu!$A:$F, 5, 0)</f>
        <v>121.24</v>
      </c>
      <c r="F891" t="str">
        <f>VLOOKUP(B891, Menu!$A:$F, 3, 0)</f>
        <v>Hot Meal</v>
      </c>
      <c r="G891" s="5">
        <f>VLOOKUP(A891, Orders!$A:$B, 2, 0)</f>
        <v>45867.740439814806</v>
      </c>
      <c r="H891" t="str">
        <f>VLOOKUP(A891, Orders!$A:$C, 3, 0)</f>
        <v>Plant 1 Canteen</v>
      </c>
    </row>
    <row r="892" spans="1:8" x14ac:dyDescent="0.3">
      <c r="A892" t="s">
        <v>385</v>
      </c>
      <c r="B892" t="s">
        <v>405</v>
      </c>
      <c r="C892">
        <v>2</v>
      </c>
      <c r="D892">
        <f>VLOOKUP(B892, Menu!$A:$F, 6, 0)</f>
        <v>170.83</v>
      </c>
      <c r="E892">
        <f>VLOOKUP(B892, Menu!$A:$F, 5, 0)</f>
        <v>74.069999999999993</v>
      </c>
      <c r="F892" t="str">
        <f>VLOOKUP(B892, Menu!$A:$F, 3, 0)</f>
        <v>Hot Meal</v>
      </c>
      <c r="G892" s="5">
        <f>VLOOKUP(A892, Orders!$A:$B, 2, 0)</f>
        <v>45869.89130787037</v>
      </c>
      <c r="H892" t="str">
        <f>VLOOKUP(A892, Orders!$A:$C, 3, 0)</f>
        <v>Plant 2 Canteen</v>
      </c>
    </row>
    <row r="893" spans="1:8" x14ac:dyDescent="0.3">
      <c r="A893" t="s">
        <v>385</v>
      </c>
      <c r="B893" t="s">
        <v>415</v>
      </c>
      <c r="C893">
        <v>3</v>
      </c>
      <c r="D893">
        <f>VLOOKUP(B893, Menu!$A:$F, 6, 0)</f>
        <v>256.91000000000003</v>
      </c>
      <c r="E893">
        <f>VLOOKUP(B893, Menu!$A:$F, 5, 0)</f>
        <v>121.24</v>
      </c>
      <c r="F893" t="str">
        <f>VLOOKUP(B893, Menu!$A:$F, 3, 0)</f>
        <v>Hot Meal</v>
      </c>
      <c r="G893" s="5">
        <f>VLOOKUP(A893, Orders!$A:$B, 2, 0)</f>
        <v>45869.89130787037</v>
      </c>
      <c r="H893" t="str">
        <f>VLOOKUP(A893, Orders!$A:$C, 3, 0)</f>
        <v>Plant 2 Canteen</v>
      </c>
    </row>
    <row r="894" spans="1:8" x14ac:dyDescent="0.3">
      <c r="A894" t="s">
        <v>385</v>
      </c>
      <c r="B894" t="s">
        <v>408</v>
      </c>
      <c r="C894">
        <v>1</v>
      </c>
      <c r="D894">
        <f>VLOOKUP(B894, Menu!$A:$F, 6, 0)</f>
        <v>70.540000000000006</v>
      </c>
      <c r="E894">
        <f>VLOOKUP(B894, Menu!$A:$F, 5, 0)</f>
        <v>35.81</v>
      </c>
      <c r="F894" t="str">
        <f>VLOOKUP(B894, Menu!$A:$F, 3, 0)</f>
        <v>Snack</v>
      </c>
      <c r="G894" s="5">
        <f>VLOOKUP(A894, Orders!$A:$B, 2, 0)</f>
        <v>45869.89130787037</v>
      </c>
      <c r="H894" t="str">
        <f>VLOOKUP(A894, Orders!$A:$C, 3, 0)</f>
        <v>Plant 2 Canteen</v>
      </c>
    </row>
    <row r="895" spans="1:8" x14ac:dyDescent="0.3">
      <c r="A895" t="s">
        <v>385</v>
      </c>
      <c r="B895" t="s">
        <v>412</v>
      </c>
      <c r="C895">
        <v>2</v>
      </c>
      <c r="D895">
        <f>VLOOKUP(B895, Menu!$A:$F, 6, 0)</f>
        <v>57.07</v>
      </c>
      <c r="E895">
        <f>VLOOKUP(B895, Menu!$A:$F, 5, 0)</f>
        <v>29.14</v>
      </c>
      <c r="F895" t="str">
        <f>VLOOKUP(B895, Menu!$A:$F, 3, 0)</f>
        <v>Dessert</v>
      </c>
      <c r="G895" s="5">
        <f>VLOOKUP(A895, Orders!$A:$B, 2, 0)</f>
        <v>45869.89130787037</v>
      </c>
      <c r="H895" t="str">
        <f>VLOOKUP(A895, Orders!$A:$C, 3, 0)</f>
        <v>Plant 2 Canteen</v>
      </c>
    </row>
    <row r="896" spans="1:8" x14ac:dyDescent="0.3">
      <c r="A896" t="s">
        <v>386</v>
      </c>
      <c r="B896" t="s">
        <v>414</v>
      </c>
      <c r="C896">
        <v>1</v>
      </c>
      <c r="D896">
        <f>VLOOKUP(B896, Menu!$A:$F, 6, 0)</f>
        <v>116.8</v>
      </c>
      <c r="E896">
        <f>VLOOKUP(B896, Menu!$A:$F, 5, 0)</f>
        <v>48.97</v>
      </c>
      <c r="F896" t="str">
        <f>VLOOKUP(B896, Menu!$A:$F, 3, 0)</f>
        <v>Dessert</v>
      </c>
      <c r="G896" s="5">
        <f>VLOOKUP(A896, Orders!$A:$B, 2, 0)</f>
        <v>45885.212557870371</v>
      </c>
      <c r="H896" t="str">
        <f>VLOOKUP(A896, Orders!$A:$C, 3, 0)</f>
        <v>Plant 2 Canteen</v>
      </c>
    </row>
    <row r="897" spans="1:8" x14ac:dyDescent="0.3">
      <c r="A897" t="s">
        <v>386</v>
      </c>
      <c r="B897" t="s">
        <v>407</v>
      </c>
      <c r="C897">
        <v>1</v>
      </c>
      <c r="D897">
        <f>VLOOKUP(B897, Menu!$A:$F, 6, 0)</f>
        <v>246.09</v>
      </c>
      <c r="E897">
        <f>VLOOKUP(B897, Menu!$A:$F, 5, 0)</f>
        <v>112.08</v>
      </c>
      <c r="F897" t="str">
        <f>VLOOKUP(B897, Menu!$A:$F, 3, 0)</f>
        <v>Hot Meal</v>
      </c>
      <c r="G897" s="5">
        <f>VLOOKUP(A897, Orders!$A:$B, 2, 0)</f>
        <v>45885.212557870371</v>
      </c>
      <c r="H897" t="str">
        <f>VLOOKUP(A897, Orders!$A:$C, 3, 0)</f>
        <v>Plant 2 Canteen</v>
      </c>
    </row>
    <row r="898" spans="1:8" x14ac:dyDescent="0.3">
      <c r="A898" t="s">
        <v>386</v>
      </c>
      <c r="B898" t="s">
        <v>403</v>
      </c>
      <c r="C898">
        <v>3</v>
      </c>
      <c r="D898">
        <f>VLOOKUP(B898, Menu!$A:$F, 6, 0)</f>
        <v>76.55</v>
      </c>
      <c r="E898">
        <f>VLOOKUP(B898, Menu!$A:$F, 5, 0)</f>
        <v>38.229999999999997</v>
      </c>
      <c r="F898" t="str">
        <f>VLOOKUP(B898, Menu!$A:$F, 3, 0)</f>
        <v>Dessert</v>
      </c>
      <c r="G898" s="5">
        <f>VLOOKUP(A898, Orders!$A:$B, 2, 0)</f>
        <v>45885.212557870371</v>
      </c>
      <c r="H898" t="str">
        <f>VLOOKUP(A898, Orders!$A:$C, 3, 0)</f>
        <v>Plant 2 Canteen</v>
      </c>
    </row>
    <row r="899" spans="1:8" x14ac:dyDescent="0.3">
      <c r="A899" t="s">
        <v>386</v>
      </c>
      <c r="B899" t="s">
        <v>405</v>
      </c>
      <c r="C899">
        <v>2</v>
      </c>
      <c r="D899">
        <f>VLOOKUP(B899, Menu!$A:$F, 6, 0)</f>
        <v>170.83</v>
      </c>
      <c r="E899">
        <f>VLOOKUP(B899, Menu!$A:$F, 5, 0)</f>
        <v>74.069999999999993</v>
      </c>
      <c r="F899" t="str">
        <f>VLOOKUP(B899, Menu!$A:$F, 3, 0)</f>
        <v>Hot Meal</v>
      </c>
      <c r="G899" s="5">
        <f>VLOOKUP(A899, Orders!$A:$B, 2, 0)</f>
        <v>45885.212557870371</v>
      </c>
      <c r="H899" t="str">
        <f>VLOOKUP(A899, Orders!$A:$C, 3, 0)</f>
        <v>Plant 2 Canteen</v>
      </c>
    </row>
    <row r="900" spans="1:8" x14ac:dyDescent="0.3">
      <c r="A900" t="s">
        <v>387</v>
      </c>
      <c r="B900" t="s">
        <v>404</v>
      </c>
      <c r="C900">
        <v>2</v>
      </c>
      <c r="D900">
        <f>VLOOKUP(B900, Menu!$A:$F, 6, 0)</f>
        <v>32.979999999999997</v>
      </c>
      <c r="E900">
        <f>VLOOKUP(B900, Menu!$A:$F, 5, 0)</f>
        <v>11.84</v>
      </c>
      <c r="F900" t="str">
        <f>VLOOKUP(B900, Menu!$A:$F, 3, 0)</f>
        <v>Beverage</v>
      </c>
      <c r="G900" s="5">
        <f>VLOOKUP(A900, Orders!$A:$B, 2, 0)</f>
        <v>45867.028611111113</v>
      </c>
      <c r="H900" t="str">
        <f>VLOOKUP(A900, Orders!$A:$C, 3, 0)</f>
        <v>Plant 2 Canteen</v>
      </c>
    </row>
    <row r="901" spans="1:8" x14ac:dyDescent="0.3">
      <c r="A901" t="s">
        <v>387</v>
      </c>
      <c r="B901" t="s">
        <v>417</v>
      </c>
      <c r="C901">
        <v>2</v>
      </c>
      <c r="D901">
        <f>VLOOKUP(B901, Menu!$A:$F, 6, 0)</f>
        <v>146.4</v>
      </c>
      <c r="E901">
        <f>VLOOKUP(B901, Menu!$A:$F, 5, 0)</f>
        <v>80.92</v>
      </c>
      <c r="F901" t="str">
        <f>VLOOKUP(B901, Menu!$A:$F, 3, 0)</f>
        <v>Hot Meal</v>
      </c>
      <c r="G901" s="5">
        <f>VLOOKUP(A901, Orders!$A:$B, 2, 0)</f>
        <v>45867.028611111113</v>
      </c>
      <c r="H901" t="str">
        <f>VLOOKUP(A901, Orders!$A:$C, 3, 0)</f>
        <v>Plant 2 Canteen</v>
      </c>
    </row>
    <row r="902" spans="1:8" x14ac:dyDescent="0.3">
      <c r="A902" t="s">
        <v>387</v>
      </c>
      <c r="B902" t="s">
        <v>409</v>
      </c>
      <c r="C902">
        <v>1</v>
      </c>
      <c r="D902">
        <f>VLOOKUP(B902, Menu!$A:$F, 6, 0)</f>
        <v>28.43</v>
      </c>
      <c r="E902">
        <f>VLOOKUP(B902, Menu!$A:$F, 5, 0)</f>
        <v>13.89</v>
      </c>
      <c r="F902" t="str">
        <f>VLOOKUP(B902, Menu!$A:$F, 3, 0)</f>
        <v>Beverage</v>
      </c>
      <c r="G902" s="5">
        <f>VLOOKUP(A902, Orders!$A:$B, 2, 0)</f>
        <v>45867.028611111113</v>
      </c>
      <c r="H902" t="str">
        <f>VLOOKUP(A902, Orders!$A:$C, 3, 0)</f>
        <v>Plant 2 Canteen</v>
      </c>
    </row>
    <row r="903" spans="1:8" x14ac:dyDescent="0.3">
      <c r="A903" t="s">
        <v>388</v>
      </c>
      <c r="B903" t="s">
        <v>402</v>
      </c>
      <c r="C903">
        <v>2</v>
      </c>
      <c r="D903">
        <f>VLOOKUP(B903, Menu!$A:$F, 6, 0)</f>
        <v>30.34</v>
      </c>
      <c r="E903">
        <f>VLOOKUP(B903, Menu!$A:$F, 5, 0)</f>
        <v>14.18</v>
      </c>
      <c r="F903" t="str">
        <f>VLOOKUP(B903, Menu!$A:$F, 3, 0)</f>
        <v>Beverage</v>
      </c>
      <c r="G903" s="5">
        <f>VLOOKUP(A903, Orders!$A:$B, 2, 0)</f>
        <v>45865.776701388888</v>
      </c>
      <c r="H903" t="str">
        <f>VLOOKUP(A903, Orders!$A:$C, 3, 0)</f>
        <v>Plant 1 Canteen</v>
      </c>
    </row>
    <row r="904" spans="1:8" x14ac:dyDescent="0.3">
      <c r="A904" t="s">
        <v>389</v>
      </c>
      <c r="B904" t="s">
        <v>410</v>
      </c>
      <c r="C904">
        <v>1</v>
      </c>
      <c r="D904">
        <f>VLOOKUP(B904, Menu!$A:$F, 6, 0)</f>
        <v>20.11</v>
      </c>
      <c r="E904">
        <f>VLOOKUP(B904, Menu!$A:$F, 5, 0)</f>
        <v>8</v>
      </c>
      <c r="F904" t="str">
        <f>VLOOKUP(B904, Menu!$A:$F, 3, 0)</f>
        <v>Beverage</v>
      </c>
      <c r="G904" s="5">
        <f>VLOOKUP(A904, Orders!$A:$B, 2, 0)</f>
        <v>45881.944189814807</v>
      </c>
      <c r="H904" t="str">
        <f>VLOOKUP(A904, Orders!$A:$C, 3, 0)</f>
        <v>Plant 2 Canteen</v>
      </c>
    </row>
    <row r="905" spans="1:8" x14ac:dyDescent="0.3">
      <c r="A905" t="s">
        <v>389</v>
      </c>
      <c r="B905" t="s">
        <v>413</v>
      </c>
      <c r="C905">
        <v>2</v>
      </c>
      <c r="D905">
        <f>VLOOKUP(B905, Menu!$A:$F, 6, 0)</f>
        <v>54.2</v>
      </c>
      <c r="E905">
        <f>VLOOKUP(B905, Menu!$A:$F, 5, 0)</f>
        <v>21.95</v>
      </c>
      <c r="F905" t="str">
        <f>VLOOKUP(B905, Menu!$A:$F, 3, 0)</f>
        <v>Dessert</v>
      </c>
      <c r="G905" s="5">
        <f>VLOOKUP(A905, Orders!$A:$B, 2, 0)</f>
        <v>45881.944189814807</v>
      </c>
      <c r="H905" t="str">
        <f>VLOOKUP(A905, Orders!$A:$C, 3, 0)</f>
        <v>Plant 2 Canteen</v>
      </c>
    </row>
    <row r="906" spans="1:8" x14ac:dyDescent="0.3">
      <c r="A906" t="s">
        <v>389</v>
      </c>
      <c r="B906" t="s">
        <v>402</v>
      </c>
      <c r="C906">
        <v>1</v>
      </c>
      <c r="D906">
        <f>VLOOKUP(B906, Menu!$A:$F, 6, 0)</f>
        <v>30.34</v>
      </c>
      <c r="E906">
        <f>VLOOKUP(B906, Menu!$A:$F, 5, 0)</f>
        <v>14.18</v>
      </c>
      <c r="F906" t="str">
        <f>VLOOKUP(B906, Menu!$A:$F, 3, 0)</f>
        <v>Beverage</v>
      </c>
      <c r="G906" s="5">
        <f>VLOOKUP(A906, Orders!$A:$B, 2, 0)</f>
        <v>45881.944189814807</v>
      </c>
      <c r="H906" t="str">
        <f>VLOOKUP(A906, Orders!$A:$C, 3, 0)</f>
        <v>Plant 2 Canteen</v>
      </c>
    </row>
    <row r="907" spans="1:8" x14ac:dyDescent="0.3">
      <c r="A907" t="s">
        <v>389</v>
      </c>
      <c r="B907" t="s">
        <v>406</v>
      </c>
      <c r="C907">
        <v>2</v>
      </c>
      <c r="D907">
        <f>VLOOKUP(B907, Menu!$A:$F, 6, 0)</f>
        <v>38.06</v>
      </c>
      <c r="E907">
        <f>VLOOKUP(B907, Menu!$A:$F, 5, 0)</f>
        <v>19.55</v>
      </c>
      <c r="F907" t="str">
        <f>VLOOKUP(B907, Menu!$A:$F, 3, 0)</f>
        <v>Snack</v>
      </c>
      <c r="G907" s="5">
        <f>VLOOKUP(A907, Orders!$A:$B, 2, 0)</f>
        <v>45881.944189814807</v>
      </c>
      <c r="H907" t="str">
        <f>VLOOKUP(A907, Orders!$A:$C, 3, 0)</f>
        <v>Plant 2 Canteen</v>
      </c>
    </row>
    <row r="908" spans="1:8" x14ac:dyDescent="0.3">
      <c r="A908" t="s">
        <v>390</v>
      </c>
      <c r="B908" t="s">
        <v>403</v>
      </c>
      <c r="C908">
        <v>3</v>
      </c>
      <c r="D908">
        <f>VLOOKUP(B908, Menu!$A:$F, 6, 0)</f>
        <v>76.55</v>
      </c>
      <c r="E908">
        <f>VLOOKUP(B908, Menu!$A:$F, 5, 0)</f>
        <v>38.229999999999997</v>
      </c>
      <c r="F908" t="str">
        <f>VLOOKUP(B908, Menu!$A:$F, 3, 0)</f>
        <v>Dessert</v>
      </c>
      <c r="G908" s="5">
        <f>VLOOKUP(A908, Orders!$A:$B, 2, 0)</f>
        <v>45887.554722222223</v>
      </c>
      <c r="H908" t="str">
        <f>VLOOKUP(A908, Orders!$A:$C, 3, 0)</f>
        <v>Plant 2 Canteen</v>
      </c>
    </row>
    <row r="909" spans="1:8" x14ac:dyDescent="0.3">
      <c r="A909" t="s">
        <v>391</v>
      </c>
      <c r="B909" t="s">
        <v>403</v>
      </c>
      <c r="C909">
        <v>2</v>
      </c>
      <c r="D909">
        <f>VLOOKUP(B909, Menu!$A:$F, 6, 0)</f>
        <v>76.55</v>
      </c>
      <c r="E909">
        <f>VLOOKUP(B909, Menu!$A:$F, 5, 0)</f>
        <v>38.229999999999997</v>
      </c>
      <c r="F909" t="str">
        <f>VLOOKUP(B909, Menu!$A:$F, 3, 0)</f>
        <v>Dessert</v>
      </c>
      <c r="G909" s="5">
        <f>VLOOKUP(A909, Orders!$A:$B, 2, 0)</f>
        <v>45880.464826388888</v>
      </c>
      <c r="H909" t="str">
        <f>VLOOKUP(A909, Orders!$A:$C, 3, 0)</f>
        <v>Plant 1 Canteen</v>
      </c>
    </row>
    <row r="910" spans="1:8" x14ac:dyDescent="0.3">
      <c r="A910" t="s">
        <v>391</v>
      </c>
      <c r="B910" t="s">
        <v>406</v>
      </c>
      <c r="C910">
        <v>1</v>
      </c>
      <c r="D910">
        <f>VLOOKUP(B910, Menu!$A:$F, 6, 0)</f>
        <v>38.06</v>
      </c>
      <c r="E910">
        <f>VLOOKUP(B910, Menu!$A:$F, 5, 0)</f>
        <v>19.55</v>
      </c>
      <c r="F910" t="str">
        <f>VLOOKUP(B910, Menu!$A:$F, 3, 0)</f>
        <v>Snack</v>
      </c>
      <c r="G910" s="5">
        <f>VLOOKUP(A910, Orders!$A:$B, 2, 0)</f>
        <v>45880.464826388888</v>
      </c>
      <c r="H910" t="str">
        <f>VLOOKUP(A910, Orders!$A:$C, 3, 0)</f>
        <v>Plant 1 Canteen</v>
      </c>
    </row>
    <row r="911" spans="1:8" x14ac:dyDescent="0.3">
      <c r="A911" t="s">
        <v>392</v>
      </c>
      <c r="B911" t="s">
        <v>412</v>
      </c>
      <c r="C911">
        <v>1</v>
      </c>
      <c r="D911">
        <f>VLOOKUP(B911, Menu!$A:$F, 6, 0)</f>
        <v>57.07</v>
      </c>
      <c r="E911">
        <f>VLOOKUP(B911, Menu!$A:$F, 5, 0)</f>
        <v>29.14</v>
      </c>
      <c r="F911" t="str">
        <f>VLOOKUP(B911, Menu!$A:$F, 3, 0)</f>
        <v>Dessert</v>
      </c>
      <c r="G911" s="5">
        <f>VLOOKUP(A911, Orders!$A:$B, 2, 0)</f>
        <v>45892.210300925923</v>
      </c>
      <c r="H911" t="str">
        <f>VLOOKUP(A911, Orders!$A:$C, 3, 0)</f>
        <v>Plant 2 Canteen</v>
      </c>
    </row>
    <row r="912" spans="1:8" x14ac:dyDescent="0.3">
      <c r="A912" t="s">
        <v>392</v>
      </c>
      <c r="B912" t="s">
        <v>402</v>
      </c>
      <c r="C912">
        <v>1</v>
      </c>
      <c r="D912">
        <f>VLOOKUP(B912, Menu!$A:$F, 6, 0)</f>
        <v>30.34</v>
      </c>
      <c r="E912">
        <f>VLOOKUP(B912, Menu!$A:$F, 5, 0)</f>
        <v>14.18</v>
      </c>
      <c r="F912" t="str">
        <f>VLOOKUP(B912, Menu!$A:$F, 3, 0)</f>
        <v>Beverage</v>
      </c>
      <c r="G912" s="5">
        <f>VLOOKUP(A912, Orders!$A:$B, 2, 0)</f>
        <v>45892.210300925923</v>
      </c>
      <c r="H912" t="str">
        <f>VLOOKUP(A912, Orders!$A:$C, 3, 0)</f>
        <v>Plant 2 Canteen</v>
      </c>
    </row>
    <row r="913" spans="1:8" x14ac:dyDescent="0.3">
      <c r="A913" t="s">
        <v>393</v>
      </c>
      <c r="B913" t="s">
        <v>419</v>
      </c>
      <c r="C913">
        <v>2</v>
      </c>
      <c r="D913">
        <f>VLOOKUP(B913, Menu!$A:$F, 6, 0)</f>
        <v>50.19</v>
      </c>
      <c r="E913">
        <f>VLOOKUP(B913, Menu!$A:$F, 5, 0)</f>
        <v>22.61</v>
      </c>
      <c r="F913" t="str">
        <f>VLOOKUP(B913, Menu!$A:$F, 3, 0)</f>
        <v>Snack</v>
      </c>
      <c r="G913" s="5">
        <f>VLOOKUP(A913, Orders!$A:$B, 2, 0)</f>
        <v>45871.087858796287</v>
      </c>
      <c r="H913" t="str">
        <f>VLOOKUP(A913, Orders!$A:$C, 3, 0)</f>
        <v>Head Office Café</v>
      </c>
    </row>
    <row r="914" spans="1:8" x14ac:dyDescent="0.3">
      <c r="A914" t="s">
        <v>393</v>
      </c>
      <c r="B914" t="s">
        <v>416</v>
      </c>
      <c r="C914">
        <v>2</v>
      </c>
      <c r="D914">
        <f>VLOOKUP(B914, Menu!$A:$F, 6, 0)</f>
        <v>227.61</v>
      </c>
      <c r="E914">
        <f>VLOOKUP(B914, Menu!$A:$F, 5, 0)</f>
        <v>96.22</v>
      </c>
      <c r="F914" t="str">
        <f>VLOOKUP(B914, Menu!$A:$F, 3, 0)</f>
        <v>Hot Meal</v>
      </c>
      <c r="G914" s="5">
        <f>VLOOKUP(A914, Orders!$A:$B, 2, 0)</f>
        <v>45871.087858796287</v>
      </c>
      <c r="H914" t="str">
        <f>VLOOKUP(A914, Orders!$A:$C, 3, 0)</f>
        <v>Head Office Café</v>
      </c>
    </row>
    <row r="915" spans="1:8" x14ac:dyDescent="0.3">
      <c r="A915" t="s">
        <v>393</v>
      </c>
      <c r="B915" t="s">
        <v>405</v>
      </c>
      <c r="C915">
        <v>1</v>
      </c>
      <c r="D915">
        <f>VLOOKUP(B915, Menu!$A:$F, 6, 0)</f>
        <v>170.83</v>
      </c>
      <c r="E915">
        <f>VLOOKUP(B915, Menu!$A:$F, 5, 0)</f>
        <v>74.069999999999993</v>
      </c>
      <c r="F915" t="str">
        <f>VLOOKUP(B915, Menu!$A:$F, 3, 0)</f>
        <v>Hot Meal</v>
      </c>
      <c r="G915" s="5">
        <f>VLOOKUP(A915, Orders!$A:$B, 2, 0)</f>
        <v>45871.087858796287</v>
      </c>
      <c r="H915" t="str">
        <f>VLOOKUP(A915, Orders!$A:$C, 3, 0)</f>
        <v>Head Office Café</v>
      </c>
    </row>
    <row r="916" spans="1:8" x14ac:dyDescent="0.3">
      <c r="A916" t="s">
        <v>393</v>
      </c>
      <c r="B916" t="s">
        <v>402</v>
      </c>
      <c r="C916">
        <v>2</v>
      </c>
      <c r="D916">
        <f>VLOOKUP(B916, Menu!$A:$F, 6, 0)</f>
        <v>30.34</v>
      </c>
      <c r="E916">
        <f>VLOOKUP(B916, Menu!$A:$F, 5, 0)</f>
        <v>14.18</v>
      </c>
      <c r="F916" t="str">
        <f>VLOOKUP(B916, Menu!$A:$F, 3, 0)</f>
        <v>Beverage</v>
      </c>
      <c r="G916" s="5">
        <f>VLOOKUP(A916, Orders!$A:$B, 2, 0)</f>
        <v>45871.087858796287</v>
      </c>
      <c r="H916" t="str">
        <f>VLOOKUP(A916, Orders!$A:$C, 3, 0)</f>
        <v>Head Office Café</v>
      </c>
    </row>
    <row r="917" spans="1:8" x14ac:dyDescent="0.3">
      <c r="A917" t="s">
        <v>394</v>
      </c>
      <c r="B917" t="s">
        <v>410</v>
      </c>
      <c r="C917">
        <v>1</v>
      </c>
      <c r="D917">
        <f>VLOOKUP(B917, Menu!$A:$F, 6, 0)</f>
        <v>20.11</v>
      </c>
      <c r="E917">
        <f>VLOOKUP(B917, Menu!$A:$F, 5, 0)</f>
        <v>8</v>
      </c>
      <c r="F917" t="str">
        <f>VLOOKUP(B917, Menu!$A:$F, 3, 0)</f>
        <v>Beverage</v>
      </c>
      <c r="G917" s="5">
        <f>VLOOKUP(A917, Orders!$A:$B, 2, 0)</f>
        <v>45897.758750000001</v>
      </c>
      <c r="H917" t="str">
        <f>VLOOKUP(A917, Orders!$A:$C, 3, 0)</f>
        <v>Head Office Café</v>
      </c>
    </row>
    <row r="918" spans="1:8" x14ac:dyDescent="0.3">
      <c r="A918" t="s">
        <v>394</v>
      </c>
      <c r="B918" t="s">
        <v>411</v>
      </c>
      <c r="C918">
        <v>1</v>
      </c>
      <c r="D918">
        <f>VLOOKUP(B918, Menu!$A:$F, 6, 0)</f>
        <v>22.2</v>
      </c>
      <c r="E918">
        <f>VLOOKUP(B918, Menu!$A:$F, 5, 0)</f>
        <v>9.3800000000000008</v>
      </c>
      <c r="F918" t="str">
        <f>VLOOKUP(B918, Menu!$A:$F, 3, 0)</f>
        <v>Beverage</v>
      </c>
      <c r="G918" s="5">
        <f>VLOOKUP(A918, Orders!$A:$B, 2, 0)</f>
        <v>45897.758750000001</v>
      </c>
      <c r="H918" t="str">
        <f>VLOOKUP(A918, Orders!$A:$C, 3, 0)</f>
        <v>Head Office Café</v>
      </c>
    </row>
    <row r="919" spans="1:8" x14ac:dyDescent="0.3">
      <c r="A919" t="s">
        <v>394</v>
      </c>
      <c r="B919" t="s">
        <v>412</v>
      </c>
      <c r="C919">
        <v>1</v>
      </c>
      <c r="D919">
        <f>VLOOKUP(B919, Menu!$A:$F, 6, 0)</f>
        <v>57.07</v>
      </c>
      <c r="E919">
        <f>VLOOKUP(B919, Menu!$A:$F, 5, 0)</f>
        <v>29.14</v>
      </c>
      <c r="F919" t="str">
        <f>VLOOKUP(B919, Menu!$A:$F, 3, 0)</f>
        <v>Dessert</v>
      </c>
      <c r="G919" s="5">
        <f>VLOOKUP(A919, Orders!$A:$B, 2, 0)</f>
        <v>45897.758750000001</v>
      </c>
      <c r="H919" t="str">
        <f>VLOOKUP(A919, Orders!$A:$C, 3, 0)</f>
        <v>Head Office Café</v>
      </c>
    </row>
    <row r="920" spans="1:8" x14ac:dyDescent="0.3">
      <c r="A920" t="s">
        <v>395</v>
      </c>
      <c r="B920" t="s">
        <v>408</v>
      </c>
      <c r="C920">
        <v>1</v>
      </c>
      <c r="D920">
        <f>VLOOKUP(B920, Menu!$A:$F, 6, 0)</f>
        <v>70.540000000000006</v>
      </c>
      <c r="E920">
        <f>VLOOKUP(B920, Menu!$A:$F, 5, 0)</f>
        <v>35.81</v>
      </c>
      <c r="F920" t="str">
        <f>VLOOKUP(B920, Menu!$A:$F, 3, 0)</f>
        <v>Snack</v>
      </c>
      <c r="G920" s="5">
        <f>VLOOKUP(A920, Orders!$A:$B, 2, 0)</f>
        <v>45873.38181712963</v>
      </c>
      <c r="H920" t="str">
        <f>VLOOKUP(A920, Orders!$A:$C, 3, 0)</f>
        <v>Plant 2 Canteen</v>
      </c>
    </row>
    <row r="921" spans="1:8" x14ac:dyDescent="0.3">
      <c r="A921" t="s">
        <v>395</v>
      </c>
      <c r="B921" t="s">
        <v>402</v>
      </c>
      <c r="C921">
        <v>1</v>
      </c>
      <c r="D921">
        <f>VLOOKUP(B921, Menu!$A:$F, 6, 0)</f>
        <v>30.34</v>
      </c>
      <c r="E921">
        <f>VLOOKUP(B921, Menu!$A:$F, 5, 0)</f>
        <v>14.18</v>
      </c>
      <c r="F921" t="str">
        <f>VLOOKUP(B921, Menu!$A:$F, 3, 0)</f>
        <v>Beverage</v>
      </c>
      <c r="G921" s="5">
        <f>VLOOKUP(A921, Orders!$A:$B, 2, 0)</f>
        <v>45873.38181712963</v>
      </c>
      <c r="H921" t="str">
        <f>VLOOKUP(A921, Orders!$A:$C, 3, 0)</f>
        <v>Plant 2 Canteen</v>
      </c>
    </row>
    <row r="922" spans="1:8" x14ac:dyDescent="0.3">
      <c r="A922" t="s">
        <v>396</v>
      </c>
      <c r="B922" t="s">
        <v>416</v>
      </c>
      <c r="C922">
        <v>2</v>
      </c>
      <c r="D922">
        <f>VLOOKUP(B922, Menu!$A:$F, 6, 0)</f>
        <v>227.61</v>
      </c>
      <c r="E922">
        <f>VLOOKUP(B922, Menu!$A:$F, 5, 0)</f>
        <v>96.22</v>
      </c>
      <c r="F922" t="str">
        <f>VLOOKUP(B922, Menu!$A:$F, 3, 0)</f>
        <v>Hot Meal</v>
      </c>
      <c r="G922" s="5">
        <f>VLOOKUP(A922, Orders!$A:$B, 2, 0)</f>
        <v>45881.478530092587</v>
      </c>
      <c r="H922" t="str">
        <f>VLOOKUP(A922, Orders!$A:$C, 3, 0)</f>
        <v>Plant 2 Canteen</v>
      </c>
    </row>
    <row r="923" spans="1:8" x14ac:dyDescent="0.3">
      <c r="A923" t="s">
        <v>397</v>
      </c>
      <c r="B923" t="s">
        <v>405</v>
      </c>
      <c r="C923">
        <v>1</v>
      </c>
      <c r="D923">
        <f>VLOOKUP(B923, Menu!$A:$F, 6, 0)</f>
        <v>170.83</v>
      </c>
      <c r="E923">
        <f>VLOOKUP(B923, Menu!$A:$F, 5, 0)</f>
        <v>74.069999999999993</v>
      </c>
      <c r="F923" t="str">
        <f>VLOOKUP(B923, Menu!$A:$F, 3, 0)</f>
        <v>Hot Meal</v>
      </c>
      <c r="G923" s="5">
        <f>VLOOKUP(A923, Orders!$A:$B, 2, 0)</f>
        <v>45878.689097222217</v>
      </c>
      <c r="H923" t="str">
        <f>VLOOKUP(A923, Orders!$A:$C, 3, 0)</f>
        <v>Plant 2 Canteen</v>
      </c>
    </row>
    <row r="924" spans="1:8" x14ac:dyDescent="0.3">
      <c r="A924" t="s">
        <v>397</v>
      </c>
      <c r="B924" t="s">
        <v>415</v>
      </c>
      <c r="C924">
        <v>3</v>
      </c>
      <c r="D924">
        <f>VLOOKUP(B924, Menu!$A:$F, 6, 0)</f>
        <v>256.91000000000003</v>
      </c>
      <c r="E924">
        <f>VLOOKUP(B924, Menu!$A:$F, 5, 0)</f>
        <v>121.24</v>
      </c>
      <c r="F924" t="str">
        <f>VLOOKUP(B924, Menu!$A:$F, 3, 0)</f>
        <v>Hot Meal</v>
      </c>
      <c r="G924" s="5">
        <f>VLOOKUP(A924, Orders!$A:$B, 2, 0)</f>
        <v>45878.689097222217</v>
      </c>
      <c r="H924" t="str">
        <f>VLOOKUP(A924, Orders!$A:$C, 3, 0)</f>
        <v>Plant 2 Canteen</v>
      </c>
    </row>
    <row r="925" spans="1:8" x14ac:dyDescent="0.3">
      <c r="A925" t="s">
        <v>397</v>
      </c>
      <c r="B925" t="s">
        <v>402</v>
      </c>
      <c r="C925">
        <v>2</v>
      </c>
      <c r="D925">
        <f>VLOOKUP(B925, Menu!$A:$F, 6, 0)</f>
        <v>30.34</v>
      </c>
      <c r="E925">
        <f>VLOOKUP(B925, Menu!$A:$F, 5, 0)</f>
        <v>14.18</v>
      </c>
      <c r="F925" t="str">
        <f>VLOOKUP(B925, Menu!$A:$F, 3, 0)</f>
        <v>Beverage</v>
      </c>
      <c r="G925" s="5">
        <f>VLOOKUP(A925, Orders!$A:$B, 2, 0)</f>
        <v>45878.689097222217</v>
      </c>
      <c r="H925" t="str">
        <f>VLOOKUP(A925, Orders!$A:$C, 3, 0)</f>
        <v>Plant 2 Canteen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514E-22F7-41E8-AB6F-1387D08886DB}">
  <dimension ref="A1:F20"/>
  <sheetViews>
    <sheetView workbookViewId="0">
      <selection activeCell="H17" sqref="H17"/>
    </sheetView>
  </sheetViews>
  <sheetFormatPr defaultRowHeight="14.4" x14ac:dyDescent="0.3"/>
  <sheetData>
    <row r="1" spans="1:6" x14ac:dyDescent="0.3">
      <c r="A1" s="1" t="s">
        <v>398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400</v>
      </c>
    </row>
    <row r="2" spans="1:6" x14ac:dyDescent="0.3">
      <c r="A2" t="s">
        <v>416</v>
      </c>
      <c r="B2" t="s">
        <v>424</v>
      </c>
      <c r="C2" t="s">
        <v>425</v>
      </c>
      <c r="D2" t="s">
        <v>426</v>
      </c>
      <c r="E2">
        <v>96.22</v>
      </c>
      <c r="F2">
        <v>227.61</v>
      </c>
    </row>
    <row r="3" spans="1:6" x14ac:dyDescent="0.3">
      <c r="A3" t="s">
        <v>415</v>
      </c>
      <c r="B3" t="s">
        <v>427</v>
      </c>
      <c r="C3" t="s">
        <v>425</v>
      </c>
      <c r="D3" t="s">
        <v>428</v>
      </c>
      <c r="E3">
        <v>121.24</v>
      </c>
      <c r="F3">
        <v>256.91000000000003</v>
      </c>
    </row>
    <row r="4" spans="1:6" x14ac:dyDescent="0.3">
      <c r="A4" t="s">
        <v>417</v>
      </c>
      <c r="B4" t="s">
        <v>429</v>
      </c>
      <c r="C4" t="s">
        <v>425</v>
      </c>
      <c r="D4" t="s">
        <v>430</v>
      </c>
      <c r="E4">
        <v>80.92</v>
      </c>
      <c r="F4">
        <v>146.4</v>
      </c>
    </row>
    <row r="5" spans="1:6" x14ac:dyDescent="0.3">
      <c r="A5" t="s">
        <v>405</v>
      </c>
      <c r="B5" t="s">
        <v>431</v>
      </c>
      <c r="C5" t="s">
        <v>425</v>
      </c>
      <c r="D5" t="s">
        <v>432</v>
      </c>
      <c r="E5">
        <v>74.069999999999993</v>
      </c>
      <c r="F5">
        <v>170.83</v>
      </c>
    </row>
    <row r="6" spans="1:6" x14ac:dyDescent="0.3">
      <c r="A6" t="s">
        <v>407</v>
      </c>
      <c r="B6" t="s">
        <v>433</v>
      </c>
      <c r="C6" t="s">
        <v>425</v>
      </c>
      <c r="D6" t="s">
        <v>434</v>
      </c>
      <c r="E6">
        <v>112.08</v>
      </c>
      <c r="F6">
        <v>246.09</v>
      </c>
    </row>
    <row r="7" spans="1:6" x14ac:dyDescent="0.3">
      <c r="A7" t="s">
        <v>418</v>
      </c>
      <c r="B7" t="s">
        <v>435</v>
      </c>
      <c r="C7" t="s">
        <v>436</v>
      </c>
      <c r="D7" t="s">
        <v>437</v>
      </c>
      <c r="E7">
        <v>15.51</v>
      </c>
      <c r="F7">
        <v>39.950000000000003</v>
      </c>
    </row>
    <row r="8" spans="1:6" x14ac:dyDescent="0.3">
      <c r="A8" t="s">
        <v>408</v>
      </c>
      <c r="B8" t="s">
        <v>438</v>
      </c>
      <c r="C8" t="s">
        <v>436</v>
      </c>
      <c r="D8" t="s">
        <v>439</v>
      </c>
      <c r="E8">
        <v>35.81</v>
      </c>
      <c r="F8">
        <v>70.540000000000006</v>
      </c>
    </row>
    <row r="9" spans="1:6" x14ac:dyDescent="0.3">
      <c r="A9" t="s">
        <v>406</v>
      </c>
      <c r="B9" t="s">
        <v>440</v>
      </c>
      <c r="C9" t="s">
        <v>436</v>
      </c>
      <c r="D9" t="s">
        <v>439</v>
      </c>
      <c r="E9">
        <v>19.55</v>
      </c>
      <c r="F9">
        <v>38.06</v>
      </c>
    </row>
    <row r="10" spans="1:6" x14ac:dyDescent="0.3">
      <c r="A10" t="s">
        <v>419</v>
      </c>
      <c r="B10" t="s">
        <v>441</v>
      </c>
      <c r="C10" t="s">
        <v>436</v>
      </c>
      <c r="D10" t="s">
        <v>434</v>
      </c>
      <c r="E10">
        <v>22.61</v>
      </c>
      <c r="F10">
        <v>50.19</v>
      </c>
    </row>
    <row r="11" spans="1:6" x14ac:dyDescent="0.3">
      <c r="A11" t="s">
        <v>401</v>
      </c>
      <c r="B11" t="s">
        <v>442</v>
      </c>
      <c r="C11" t="s">
        <v>436</v>
      </c>
      <c r="D11" t="s">
        <v>432</v>
      </c>
      <c r="E11">
        <v>25.8</v>
      </c>
      <c r="F11">
        <v>52.45</v>
      </c>
    </row>
    <row r="12" spans="1:6" x14ac:dyDescent="0.3">
      <c r="A12" t="s">
        <v>402</v>
      </c>
      <c r="B12" t="s">
        <v>443</v>
      </c>
      <c r="C12" t="s">
        <v>444</v>
      </c>
      <c r="D12" t="s">
        <v>426</v>
      </c>
      <c r="E12">
        <v>14.18</v>
      </c>
      <c r="F12">
        <v>30.34</v>
      </c>
    </row>
    <row r="13" spans="1:6" x14ac:dyDescent="0.3">
      <c r="A13" t="s">
        <v>411</v>
      </c>
      <c r="B13" t="s">
        <v>445</v>
      </c>
      <c r="C13" t="s">
        <v>444</v>
      </c>
      <c r="D13" t="s">
        <v>434</v>
      </c>
      <c r="E13">
        <v>9.3800000000000008</v>
      </c>
      <c r="F13">
        <v>22.2</v>
      </c>
    </row>
    <row r="14" spans="1:6" x14ac:dyDescent="0.3">
      <c r="A14" t="s">
        <v>404</v>
      </c>
      <c r="B14" t="s">
        <v>446</v>
      </c>
      <c r="C14" t="s">
        <v>444</v>
      </c>
      <c r="D14" t="s">
        <v>439</v>
      </c>
      <c r="E14">
        <v>11.84</v>
      </c>
      <c r="F14">
        <v>32.979999999999997</v>
      </c>
    </row>
    <row r="15" spans="1:6" x14ac:dyDescent="0.3">
      <c r="A15" t="s">
        <v>410</v>
      </c>
      <c r="B15" t="s">
        <v>447</v>
      </c>
      <c r="C15" t="s">
        <v>444</v>
      </c>
      <c r="D15" t="s">
        <v>439</v>
      </c>
      <c r="E15">
        <v>8</v>
      </c>
      <c r="F15">
        <v>20.11</v>
      </c>
    </row>
    <row r="16" spans="1:6" x14ac:dyDescent="0.3">
      <c r="A16" t="s">
        <v>409</v>
      </c>
      <c r="B16" t="s">
        <v>448</v>
      </c>
      <c r="C16" t="s">
        <v>444</v>
      </c>
      <c r="D16" t="s">
        <v>434</v>
      </c>
      <c r="E16">
        <v>13.89</v>
      </c>
      <c r="F16">
        <v>28.43</v>
      </c>
    </row>
    <row r="17" spans="1:6" x14ac:dyDescent="0.3">
      <c r="A17" t="s">
        <v>403</v>
      </c>
      <c r="B17" t="s">
        <v>449</v>
      </c>
      <c r="C17" t="s">
        <v>450</v>
      </c>
      <c r="D17" t="s">
        <v>451</v>
      </c>
      <c r="E17">
        <v>38.229999999999997</v>
      </c>
      <c r="F17">
        <v>76.55</v>
      </c>
    </row>
    <row r="18" spans="1:6" x14ac:dyDescent="0.3">
      <c r="A18" t="s">
        <v>413</v>
      </c>
      <c r="B18" t="s">
        <v>452</v>
      </c>
      <c r="C18" t="s">
        <v>450</v>
      </c>
      <c r="D18" t="s">
        <v>453</v>
      </c>
      <c r="E18">
        <v>21.95</v>
      </c>
      <c r="F18">
        <v>54.2</v>
      </c>
    </row>
    <row r="19" spans="1:6" x14ac:dyDescent="0.3">
      <c r="A19" t="s">
        <v>414</v>
      </c>
      <c r="B19" t="s">
        <v>454</v>
      </c>
      <c r="C19" t="s">
        <v>450</v>
      </c>
      <c r="D19" t="s">
        <v>451</v>
      </c>
      <c r="E19">
        <v>48.97</v>
      </c>
      <c r="F19">
        <v>116.8</v>
      </c>
    </row>
    <row r="20" spans="1:6" x14ac:dyDescent="0.3">
      <c r="A20" t="s">
        <v>412</v>
      </c>
      <c r="B20" t="s">
        <v>455</v>
      </c>
      <c r="C20" t="s">
        <v>450</v>
      </c>
      <c r="D20" t="s">
        <v>437</v>
      </c>
      <c r="E20">
        <v>29.14</v>
      </c>
      <c r="F20">
        <v>57.07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5B3F-1AFC-418A-A212-79072EA13445}">
  <dimension ref="A1:E19"/>
  <sheetViews>
    <sheetView workbookViewId="0">
      <selection activeCell="D4" sqref="D4"/>
    </sheetView>
  </sheetViews>
  <sheetFormatPr defaultRowHeight="14.4" x14ac:dyDescent="0.3"/>
  <cols>
    <col min="4" max="4" width="14.77734375" bestFit="1" customWidth="1"/>
    <col min="5" max="5" width="13.21875" bestFit="1" customWidth="1"/>
  </cols>
  <sheetData>
    <row r="1" spans="1:5" x14ac:dyDescent="0.3">
      <c r="A1" s="1" t="s">
        <v>6</v>
      </c>
      <c r="B1" s="1" t="s">
        <v>456</v>
      </c>
      <c r="C1" s="1" t="s">
        <v>457</v>
      </c>
      <c r="D1" s="1" t="s">
        <v>2</v>
      </c>
      <c r="E1" s="1" t="s">
        <v>458</v>
      </c>
    </row>
    <row r="2" spans="1:5" x14ac:dyDescent="0.3">
      <c r="A2" t="s">
        <v>69</v>
      </c>
      <c r="B2" t="s">
        <v>459</v>
      </c>
      <c r="C2" t="s">
        <v>460</v>
      </c>
      <c r="D2" t="s">
        <v>27</v>
      </c>
      <c r="E2">
        <v>151.58000000000001</v>
      </c>
    </row>
    <row r="3" spans="1:5" x14ac:dyDescent="0.3">
      <c r="A3" t="s">
        <v>41</v>
      </c>
      <c r="B3" t="s">
        <v>461</v>
      </c>
      <c r="C3" t="s">
        <v>460</v>
      </c>
      <c r="D3" t="s">
        <v>9</v>
      </c>
      <c r="E3">
        <v>129.61000000000001</v>
      </c>
    </row>
    <row r="4" spans="1:5" x14ac:dyDescent="0.3">
      <c r="A4" t="s">
        <v>33</v>
      </c>
      <c r="B4" t="s">
        <v>462</v>
      </c>
      <c r="C4" t="s">
        <v>460</v>
      </c>
      <c r="D4" t="s">
        <v>9</v>
      </c>
      <c r="E4">
        <v>100.98</v>
      </c>
    </row>
    <row r="5" spans="1:5" x14ac:dyDescent="0.3">
      <c r="A5" t="s">
        <v>19</v>
      </c>
      <c r="B5" t="s">
        <v>461</v>
      </c>
      <c r="C5" t="s">
        <v>463</v>
      </c>
      <c r="D5" t="s">
        <v>27</v>
      </c>
      <c r="E5">
        <v>134.57</v>
      </c>
    </row>
    <row r="6" spans="1:5" x14ac:dyDescent="0.3">
      <c r="A6" t="s">
        <v>72</v>
      </c>
      <c r="B6" t="s">
        <v>464</v>
      </c>
      <c r="C6" t="s">
        <v>463</v>
      </c>
      <c r="D6" t="s">
        <v>9</v>
      </c>
      <c r="E6">
        <v>93.09</v>
      </c>
    </row>
    <row r="7" spans="1:5" x14ac:dyDescent="0.3">
      <c r="A7" t="s">
        <v>95</v>
      </c>
      <c r="B7" t="s">
        <v>465</v>
      </c>
      <c r="C7" t="s">
        <v>460</v>
      </c>
      <c r="D7" t="s">
        <v>9</v>
      </c>
      <c r="E7">
        <v>171.84</v>
      </c>
    </row>
    <row r="8" spans="1:5" x14ac:dyDescent="0.3">
      <c r="A8" t="s">
        <v>55</v>
      </c>
      <c r="B8" t="s">
        <v>466</v>
      </c>
      <c r="C8" t="s">
        <v>463</v>
      </c>
      <c r="D8" t="s">
        <v>15</v>
      </c>
      <c r="E8">
        <v>113.29</v>
      </c>
    </row>
    <row r="9" spans="1:5" x14ac:dyDescent="0.3">
      <c r="A9" t="s">
        <v>48</v>
      </c>
      <c r="B9" t="s">
        <v>467</v>
      </c>
      <c r="C9" t="s">
        <v>463</v>
      </c>
      <c r="D9" t="s">
        <v>9</v>
      </c>
      <c r="E9">
        <v>149.63</v>
      </c>
    </row>
    <row r="10" spans="1:5" x14ac:dyDescent="0.3">
      <c r="A10" t="s">
        <v>64</v>
      </c>
      <c r="B10" t="s">
        <v>468</v>
      </c>
      <c r="C10" t="s">
        <v>469</v>
      </c>
      <c r="D10" t="s">
        <v>9</v>
      </c>
      <c r="E10">
        <v>118.05</v>
      </c>
    </row>
    <row r="11" spans="1:5" x14ac:dyDescent="0.3">
      <c r="A11" t="s">
        <v>38</v>
      </c>
      <c r="B11" t="s">
        <v>470</v>
      </c>
      <c r="C11" t="s">
        <v>460</v>
      </c>
      <c r="D11" t="s">
        <v>27</v>
      </c>
      <c r="E11">
        <v>136.81</v>
      </c>
    </row>
    <row r="12" spans="1:5" x14ac:dyDescent="0.3">
      <c r="A12" t="s">
        <v>43</v>
      </c>
      <c r="B12" t="s">
        <v>471</v>
      </c>
      <c r="C12" t="s">
        <v>460</v>
      </c>
      <c r="D12" t="s">
        <v>15</v>
      </c>
      <c r="E12">
        <v>139.19999999999999</v>
      </c>
    </row>
    <row r="13" spans="1:5" x14ac:dyDescent="0.3">
      <c r="A13" t="s">
        <v>74</v>
      </c>
      <c r="B13" t="s">
        <v>472</v>
      </c>
      <c r="C13" t="s">
        <v>463</v>
      </c>
      <c r="D13" t="s">
        <v>9</v>
      </c>
      <c r="E13">
        <v>106.64</v>
      </c>
    </row>
    <row r="14" spans="1:5" x14ac:dyDescent="0.3">
      <c r="A14" t="s">
        <v>36</v>
      </c>
      <c r="B14" t="s">
        <v>471</v>
      </c>
      <c r="C14" t="s">
        <v>463</v>
      </c>
      <c r="D14" t="s">
        <v>27</v>
      </c>
      <c r="E14">
        <v>177.26</v>
      </c>
    </row>
    <row r="15" spans="1:5" x14ac:dyDescent="0.3">
      <c r="A15" t="s">
        <v>23</v>
      </c>
      <c r="B15" t="s">
        <v>472</v>
      </c>
      <c r="C15" t="s">
        <v>460</v>
      </c>
      <c r="D15" t="s">
        <v>9</v>
      </c>
      <c r="E15">
        <v>159.76</v>
      </c>
    </row>
    <row r="16" spans="1:5" x14ac:dyDescent="0.3">
      <c r="A16" t="s">
        <v>29</v>
      </c>
      <c r="B16" t="s">
        <v>473</v>
      </c>
      <c r="C16" t="s">
        <v>460</v>
      </c>
      <c r="D16" t="s">
        <v>27</v>
      </c>
      <c r="E16">
        <v>174.55</v>
      </c>
    </row>
    <row r="17" spans="1:5" x14ac:dyDescent="0.3">
      <c r="A17" t="s">
        <v>13</v>
      </c>
      <c r="B17" t="s">
        <v>473</v>
      </c>
      <c r="C17" t="s">
        <v>469</v>
      </c>
      <c r="D17" t="s">
        <v>27</v>
      </c>
      <c r="E17">
        <v>170.53</v>
      </c>
    </row>
    <row r="18" spans="1:5" x14ac:dyDescent="0.3">
      <c r="A18" t="s">
        <v>45</v>
      </c>
      <c r="B18" t="s">
        <v>474</v>
      </c>
      <c r="C18" t="s">
        <v>460</v>
      </c>
      <c r="D18" t="s">
        <v>15</v>
      </c>
      <c r="E18">
        <v>143.81</v>
      </c>
    </row>
    <row r="19" spans="1:5" x14ac:dyDescent="0.3">
      <c r="A19" t="s">
        <v>61</v>
      </c>
      <c r="B19" t="s">
        <v>461</v>
      </c>
      <c r="C19" t="s">
        <v>460</v>
      </c>
      <c r="D19" t="s">
        <v>9</v>
      </c>
      <c r="E19">
        <v>172.97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1494-AC1D-4983-9724-9AC52BF59D23}">
  <dimension ref="A1:E20"/>
  <sheetViews>
    <sheetView workbookViewId="0">
      <selection activeCell="E4" sqref="E4"/>
    </sheetView>
  </sheetViews>
  <sheetFormatPr defaultRowHeight="14.4" x14ac:dyDescent="0.3"/>
  <cols>
    <col min="5" max="5" width="14.77734375" bestFit="1" customWidth="1"/>
  </cols>
  <sheetData>
    <row r="1" spans="1:5" x14ac:dyDescent="0.3">
      <c r="A1" s="1" t="s">
        <v>398</v>
      </c>
      <c r="B1" s="1" t="s">
        <v>475</v>
      </c>
      <c r="C1" s="1" t="s">
        <v>476</v>
      </c>
      <c r="D1" s="1" t="s">
        <v>477</v>
      </c>
      <c r="E1" s="1" t="s">
        <v>478</v>
      </c>
    </row>
    <row r="2" spans="1:5" x14ac:dyDescent="0.3">
      <c r="A2" t="s">
        <v>416</v>
      </c>
      <c r="B2">
        <v>198</v>
      </c>
      <c r="C2">
        <v>36</v>
      </c>
      <c r="D2">
        <v>3</v>
      </c>
      <c r="E2" s="3">
        <v>45876</v>
      </c>
    </row>
    <row r="3" spans="1:5" x14ac:dyDescent="0.3">
      <c r="A3" t="s">
        <v>415</v>
      </c>
      <c r="B3">
        <v>152</v>
      </c>
      <c r="C3">
        <v>30</v>
      </c>
      <c r="D3">
        <v>6</v>
      </c>
      <c r="E3" s="3">
        <v>45861</v>
      </c>
    </row>
    <row r="4" spans="1:5" x14ac:dyDescent="0.3">
      <c r="A4" t="s">
        <v>417</v>
      </c>
      <c r="B4">
        <v>120</v>
      </c>
      <c r="C4">
        <v>25</v>
      </c>
      <c r="D4">
        <v>6</v>
      </c>
      <c r="E4" s="3">
        <v>45882</v>
      </c>
    </row>
    <row r="5" spans="1:5" x14ac:dyDescent="0.3">
      <c r="A5" t="s">
        <v>405</v>
      </c>
      <c r="B5">
        <v>130</v>
      </c>
      <c r="C5">
        <v>42</v>
      </c>
      <c r="D5">
        <v>4</v>
      </c>
      <c r="E5" s="3">
        <v>45864</v>
      </c>
    </row>
    <row r="6" spans="1:5" x14ac:dyDescent="0.3">
      <c r="A6" t="s">
        <v>407</v>
      </c>
      <c r="B6">
        <v>176</v>
      </c>
      <c r="C6">
        <v>46</v>
      </c>
      <c r="D6">
        <v>3</v>
      </c>
      <c r="E6" s="3">
        <v>45871</v>
      </c>
    </row>
    <row r="7" spans="1:5" x14ac:dyDescent="0.3">
      <c r="A7" t="s">
        <v>418</v>
      </c>
      <c r="B7">
        <v>81</v>
      </c>
      <c r="C7">
        <v>25</v>
      </c>
      <c r="D7">
        <v>3</v>
      </c>
      <c r="E7" s="3">
        <v>45868</v>
      </c>
    </row>
    <row r="8" spans="1:5" x14ac:dyDescent="0.3">
      <c r="A8" t="s">
        <v>408</v>
      </c>
      <c r="B8">
        <v>45</v>
      </c>
      <c r="C8">
        <v>57</v>
      </c>
      <c r="D8">
        <v>4</v>
      </c>
      <c r="E8" s="3">
        <v>45840</v>
      </c>
    </row>
    <row r="9" spans="1:5" x14ac:dyDescent="0.3">
      <c r="A9" t="s">
        <v>406</v>
      </c>
      <c r="B9">
        <v>89</v>
      </c>
      <c r="C9">
        <v>21</v>
      </c>
      <c r="D9">
        <v>5</v>
      </c>
      <c r="E9" s="3">
        <v>45864</v>
      </c>
    </row>
    <row r="10" spans="1:5" x14ac:dyDescent="0.3">
      <c r="A10" t="s">
        <v>419</v>
      </c>
      <c r="B10">
        <v>85</v>
      </c>
      <c r="C10">
        <v>41</v>
      </c>
      <c r="D10">
        <v>3</v>
      </c>
      <c r="E10" s="3">
        <v>45873</v>
      </c>
    </row>
    <row r="11" spans="1:5" x14ac:dyDescent="0.3">
      <c r="A11" t="s">
        <v>401</v>
      </c>
      <c r="B11">
        <v>80</v>
      </c>
      <c r="C11">
        <v>39</v>
      </c>
      <c r="D11">
        <v>2</v>
      </c>
      <c r="E11" s="3">
        <v>45861</v>
      </c>
    </row>
    <row r="12" spans="1:5" x14ac:dyDescent="0.3">
      <c r="A12" t="s">
        <v>402</v>
      </c>
      <c r="B12">
        <v>84</v>
      </c>
      <c r="C12">
        <v>44</v>
      </c>
      <c r="D12">
        <v>4</v>
      </c>
      <c r="E12" s="3">
        <v>45845</v>
      </c>
    </row>
    <row r="13" spans="1:5" x14ac:dyDescent="0.3">
      <c r="A13" t="s">
        <v>411</v>
      </c>
      <c r="B13">
        <v>55</v>
      </c>
      <c r="C13">
        <v>34</v>
      </c>
      <c r="D13">
        <v>3</v>
      </c>
      <c r="E13" s="3">
        <v>45850</v>
      </c>
    </row>
    <row r="14" spans="1:5" x14ac:dyDescent="0.3">
      <c r="A14" t="s">
        <v>404</v>
      </c>
      <c r="B14">
        <v>174</v>
      </c>
      <c r="C14">
        <v>48</v>
      </c>
      <c r="D14">
        <v>5</v>
      </c>
      <c r="E14" s="3">
        <v>45884</v>
      </c>
    </row>
    <row r="15" spans="1:5" x14ac:dyDescent="0.3">
      <c r="A15" t="s">
        <v>410</v>
      </c>
      <c r="B15">
        <v>34</v>
      </c>
      <c r="C15">
        <v>27</v>
      </c>
      <c r="D15">
        <v>3</v>
      </c>
      <c r="E15" s="3">
        <v>45868</v>
      </c>
    </row>
    <row r="16" spans="1:5" x14ac:dyDescent="0.3">
      <c r="A16" t="s">
        <v>409</v>
      </c>
      <c r="B16">
        <v>199</v>
      </c>
      <c r="C16">
        <v>56</v>
      </c>
      <c r="D16">
        <v>6</v>
      </c>
      <c r="E16" s="3">
        <v>45854</v>
      </c>
    </row>
    <row r="17" spans="1:5" x14ac:dyDescent="0.3">
      <c r="A17" t="s">
        <v>403</v>
      </c>
      <c r="B17">
        <v>192</v>
      </c>
      <c r="C17">
        <v>52</v>
      </c>
      <c r="D17">
        <v>2</v>
      </c>
      <c r="E17" s="3">
        <v>45878</v>
      </c>
    </row>
    <row r="18" spans="1:5" x14ac:dyDescent="0.3">
      <c r="A18" t="s">
        <v>413</v>
      </c>
      <c r="B18">
        <v>167</v>
      </c>
      <c r="C18">
        <v>41</v>
      </c>
      <c r="D18">
        <v>4</v>
      </c>
      <c r="E18" s="3">
        <v>45887</v>
      </c>
    </row>
    <row r="19" spans="1:5" x14ac:dyDescent="0.3">
      <c r="A19" t="s">
        <v>414</v>
      </c>
      <c r="B19">
        <v>154</v>
      </c>
      <c r="C19">
        <v>24</v>
      </c>
      <c r="D19">
        <v>6</v>
      </c>
      <c r="E19" s="3">
        <v>45869</v>
      </c>
    </row>
    <row r="20" spans="1:5" x14ac:dyDescent="0.3">
      <c r="A20" t="s">
        <v>412</v>
      </c>
      <c r="B20">
        <v>53</v>
      </c>
      <c r="C20">
        <v>58</v>
      </c>
      <c r="D20">
        <v>5</v>
      </c>
      <c r="E20" s="3">
        <v>45850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919B-2562-4EC6-B640-5F3C0D162820}">
  <dimension ref="A1:D11"/>
  <sheetViews>
    <sheetView workbookViewId="0">
      <selection activeCell="H17" sqref="H17"/>
    </sheetView>
  </sheetViews>
  <sheetFormatPr defaultRowHeight="14.4" x14ac:dyDescent="0.3"/>
  <sheetData>
    <row r="1" spans="1:4" x14ac:dyDescent="0.3">
      <c r="A1" s="1" t="s">
        <v>422</v>
      </c>
      <c r="B1" s="1" t="s">
        <v>479</v>
      </c>
      <c r="C1" s="1" t="s">
        <v>480</v>
      </c>
      <c r="D1" s="1" t="s">
        <v>481</v>
      </c>
    </row>
    <row r="2" spans="1:4" x14ac:dyDescent="0.3">
      <c r="A2" t="s">
        <v>428</v>
      </c>
      <c r="B2" t="s">
        <v>482</v>
      </c>
      <c r="C2" t="s">
        <v>483</v>
      </c>
      <c r="D2" t="s">
        <v>484</v>
      </c>
    </row>
    <row r="3" spans="1:4" x14ac:dyDescent="0.3">
      <c r="A3" t="s">
        <v>451</v>
      </c>
      <c r="B3" t="s">
        <v>485</v>
      </c>
      <c r="C3" t="s">
        <v>486</v>
      </c>
      <c r="D3" t="s">
        <v>487</v>
      </c>
    </row>
    <row r="4" spans="1:4" x14ac:dyDescent="0.3">
      <c r="A4" t="s">
        <v>432</v>
      </c>
      <c r="B4" t="s">
        <v>488</v>
      </c>
      <c r="C4" t="s">
        <v>486</v>
      </c>
      <c r="D4" t="s">
        <v>489</v>
      </c>
    </row>
    <row r="5" spans="1:4" x14ac:dyDescent="0.3">
      <c r="A5" t="s">
        <v>439</v>
      </c>
      <c r="B5" t="s">
        <v>490</v>
      </c>
      <c r="C5" t="s">
        <v>491</v>
      </c>
      <c r="D5" t="s">
        <v>492</v>
      </c>
    </row>
    <row r="6" spans="1:4" x14ac:dyDescent="0.3">
      <c r="A6" t="s">
        <v>430</v>
      </c>
      <c r="B6" t="s">
        <v>493</v>
      </c>
      <c r="C6" t="s">
        <v>486</v>
      </c>
      <c r="D6" t="s">
        <v>494</v>
      </c>
    </row>
    <row r="7" spans="1:4" x14ac:dyDescent="0.3">
      <c r="A7" t="s">
        <v>434</v>
      </c>
      <c r="B7" t="s">
        <v>495</v>
      </c>
      <c r="C7" t="s">
        <v>483</v>
      </c>
      <c r="D7" t="s">
        <v>496</v>
      </c>
    </row>
    <row r="8" spans="1:4" x14ac:dyDescent="0.3">
      <c r="A8" t="s">
        <v>437</v>
      </c>
      <c r="B8" t="s">
        <v>497</v>
      </c>
      <c r="C8" t="s">
        <v>483</v>
      </c>
      <c r="D8" t="s">
        <v>498</v>
      </c>
    </row>
    <row r="9" spans="1:4" x14ac:dyDescent="0.3">
      <c r="A9" t="s">
        <v>499</v>
      </c>
      <c r="B9" t="s">
        <v>500</v>
      </c>
      <c r="C9" t="s">
        <v>501</v>
      </c>
      <c r="D9" t="s">
        <v>502</v>
      </c>
    </row>
    <row r="10" spans="1:4" x14ac:dyDescent="0.3">
      <c r="A10" t="s">
        <v>426</v>
      </c>
      <c r="B10" t="s">
        <v>503</v>
      </c>
      <c r="C10" t="s">
        <v>483</v>
      </c>
      <c r="D10" t="s">
        <v>504</v>
      </c>
    </row>
    <row r="11" spans="1:4" x14ac:dyDescent="0.3">
      <c r="A11" t="s">
        <v>453</v>
      </c>
      <c r="B11" t="s">
        <v>505</v>
      </c>
      <c r="C11" t="s">
        <v>491</v>
      </c>
      <c r="D11" t="s">
        <v>506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431B-FB71-4BDB-8109-D4938E111231}">
  <dimension ref="A1:D121"/>
  <sheetViews>
    <sheetView workbookViewId="0">
      <selection activeCell="B6" sqref="B6"/>
    </sheetView>
  </sheetViews>
  <sheetFormatPr defaultRowHeight="14.4" x14ac:dyDescent="0.3"/>
  <cols>
    <col min="1" max="1" width="10.109375" bestFit="1" customWidth="1"/>
  </cols>
  <sheetData>
    <row r="1" spans="1:4" x14ac:dyDescent="0.3">
      <c r="A1" s="1" t="s">
        <v>507</v>
      </c>
      <c r="B1" s="1" t="s">
        <v>398</v>
      </c>
      <c r="C1" s="1" t="s">
        <v>399</v>
      </c>
      <c r="D1" s="1" t="s">
        <v>508</v>
      </c>
    </row>
    <row r="2" spans="1:4" x14ac:dyDescent="0.3">
      <c r="A2" s="3">
        <v>45867</v>
      </c>
      <c r="B2" t="s">
        <v>411</v>
      </c>
      <c r="C2">
        <v>2</v>
      </c>
      <c r="D2" t="s">
        <v>509</v>
      </c>
    </row>
    <row r="3" spans="1:4" x14ac:dyDescent="0.3">
      <c r="A3" s="3">
        <v>45860</v>
      </c>
      <c r="B3" t="s">
        <v>407</v>
      </c>
      <c r="C3">
        <v>4</v>
      </c>
      <c r="D3" t="s">
        <v>510</v>
      </c>
    </row>
    <row r="4" spans="1:4" x14ac:dyDescent="0.3">
      <c r="A4" s="3">
        <v>45853</v>
      </c>
      <c r="B4" t="s">
        <v>409</v>
      </c>
      <c r="C4">
        <v>2</v>
      </c>
      <c r="D4" t="s">
        <v>511</v>
      </c>
    </row>
    <row r="5" spans="1:4" x14ac:dyDescent="0.3">
      <c r="A5" s="3">
        <v>45879</v>
      </c>
      <c r="B5" t="s">
        <v>414</v>
      </c>
      <c r="C5">
        <v>2</v>
      </c>
      <c r="D5" t="s">
        <v>510</v>
      </c>
    </row>
    <row r="6" spans="1:4" x14ac:dyDescent="0.3">
      <c r="A6" s="3">
        <v>45891</v>
      </c>
      <c r="B6" t="s">
        <v>408</v>
      </c>
      <c r="C6">
        <v>2</v>
      </c>
      <c r="D6" t="s">
        <v>509</v>
      </c>
    </row>
    <row r="7" spans="1:4" x14ac:dyDescent="0.3">
      <c r="A7" s="3">
        <v>45896</v>
      </c>
      <c r="B7" t="s">
        <v>417</v>
      </c>
      <c r="C7">
        <v>1</v>
      </c>
      <c r="D7" t="s">
        <v>510</v>
      </c>
    </row>
    <row r="8" spans="1:4" x14ac:dyDescent="0.3">
      <c r="A8" s="3">
        <v>45890</v>
      </c>
      <c r="B8" t="s">
        <v>411</v>
      </c>
      <c r="C8">
        <v>3</v>
      </c>
      <c r="D8" t="s">
        <v>512</v>
      </c>
    </row>
    <row r="9" spans="1:4" x14ac:dyDescent="0.3">
      <c r="A9" s="3">
        <v>45893</v>
      </c>
      <c r="B9" t="s">
        <v>405</v>
      </c>
      <c r="C9">
        <v>1</v>
      </c>
      <c r="D9" t="s">
        <v>512</v>
      </c>
    </row>
    <row r="10" spans="1:4" x14ac:dyDescent="0.3">
      <c r="A10" s="3">
        <v>45892</v>
      </c>
      <c r="B10" t="s">
        <v>413</v>
      </c>
      <c r="C10">
        <v>2</v>
      </c>
      <c r="D10" t="s">
        <v>509</v>
      </c>
    </row>
    <row r="11" spans="1:4" x14ac:dyDescent="0.3">
      <c r="A11" s="3">
        <v>45894</v>
      </c>
      <c r="B11" t="s">
        <v>414</v>
      </c>
      <c r="C11">
        <v>1</v>
      </c>
      <c r="D11" t="s">
        <v>509</v>
      </c>
    </row>
    <row r="12" spans="1:4" x14ac:dyDescent="0.3">
      <c r="A12" s="3">
        <v>45854</v>
      </c>
      <c r="B12" t="s">
        <v>402</v>
      </c>
      <c r="C12">
        <v>1</v>
      </c>
      <c r="D12" t="s">
        <v>510</v>
      </c>
    </row>
    <row r="13" spans="1:4" x14ac:dyDescent="0.3">
      <c r="A13" s="3">
        <v>45850</v>
      </c>
      <c r="B13" t="s">
        <v>408</v>
      </c>
      <c r="C13">
        <v>4</v>
      </c>
      <c r="D13" t="s">
        <v>510</v>
      </c>
    </row>
    <row r="14" spans="1:4" x14ac:dyDescent="0.3">
      <c r="A14" s="3">
        <v>45847</v>
      </c>
      <c r="B14" t="s">
        <v>413</v>
      </c>
      <c r="C14">
        <v>1</v>
      </c>
      <c r="D14" t="s">
        <v>510</v>
      </c>
    </row>
    <row r="15" spans="1:4" x14ac:dyDescent="0.3">
      <c r="A15" s="3">
        <v>45844</v>
      </c>
      <c r="B15" t="s">
        <v>409</v>
      </c>
      <c r="C15">
        <v>4</v>
      </c>
      <c r="D15" t="s">
        <v>509</v>
      </c>
    </row>
    <row r="16" spans="1:4" x14ac:dyDescent="0.3">
      <c r="A16" s="3">
        <v>45888</v>
      </c>
      <c r="B16" t="s">
        <v>410</v>
      </c>
      <c r="C16">
        <v>2</v>
      </c>
      <c r="D16" t="s">
        <v>510</v>
      </c>
    </row>
    <row r="17" spans="1:4" x14ac:dyDescent="0.3">
      <c r="A17" s="3">
        <v>45893</v>
      </c>
      <c r="B17" t="s">
        <v>415</v>
      </c>
      <c r="C17">
        <v>1</v>
      </c>
      <c r="D17" t="s">
        <v>510</v>
      </c>
    </row>
    <row r="18" spans="1:4" x14ac:dyDescent="0.3">
      <c r="A18" s="3">
        <v>45868</v>
      </c>
      <c r="B18" t="s">
        <v>416</v>
      </c>
      <c r="C18">
        <v>3</v>
      </c>
      <c r="D18" t="s">
        <v>510</v>
      </c>
    </row>
    <row r="19" spans="1:4" x14ac:dyDescent="0.3">
      <c r="A19" s="3">
        <v>45863</v>
      </c>
      <c r="B19" t="s">
        <v>416</v>
      </c>
      <c r="C19">
        <v>2</v>
      </c>
      <c r="D19" t="s">
        <v>509</v>
      </c>
    </row>
    <row r="20" spans="1:4" x14ac:dyDescent="0.3">
      <c r="A20" s="3">
        <v>45895</v>
      </c>
      <c r="B20" t="s">
        <v>417</v>
      </c>
      <c r="C20">
        <v>4</v>
      </c>
      <c r="D20" t="s">
        <v>512</v>
      </c>
    </row>
    <row r="21" spans="1:4" x14ac:dyDescent="0.3">
      <c r="A21" s="3">
        <v>45880</v>
      </c>
      <c r="B21" t="s">
        <v>411</v>
      </c>
      <c r="C21">
        <v>2</v>
      </c>
      <c r="D21" t="s">
        <v>512</v>
      </c>
    </row>
    <row r="22" spans="1:4" x14ac:dyDescent="0.3">
      <c r="A22" s="3">
        <v>45891</v>
      </c>
      <c r="B22" t="s">
        <v>415</v>
      </c>
      <c r="C22">
        <v>1</v>
      </c>
      <c r="D22" t="s">
        <v>512</v>
      </c>
    </row>
    <row r="23" spans="1:4" x14ac:dyDescent="0.3">
      <c r="A23" s="3">
        <v>45884</v>
      </c>
      <c r="B23" t="s">
        <v>415</v>
      </c>
      <c r="C23">
        <v>2</v>
      </c>
      <c r="D23" t="s">
        <v>511</v>
      </c>
    </row>
    <row r="24" spans="1:4" x14ac:dyDescent="0.3">
      <c r="A24" s="3">
        <v>45878</v>
      </c>
      <c r="B24" t="s">
        <v>418</v>
      </c>
      <c r="C24">
        <v>4</v>
      </c>
      <c r="D24" t="s">
        <v>509</v>
      </c>
    </row>
    <row r="25" spans="1:4" x14ac:dyDescent="0.3">
      <c r="A25" s="3">
        <v>45879</v>
      </c>
      <c r="B25" t="s">
        <v>411</v>
      </c>
      <c r="C25">
        <v>1</v>
      </c>
      <c r="D25" t="s">
        <v>510</v>
      </c>
    </row>
    <row r="26" spans="1:4" x14ac:dyDescent="0.3">
      <c r="A26" s="3">
        <v>45882</v>
      </c>
      <c r="B26" t="s">
        <v>404</v>
      </c>
      <c r="C26">
        <v>4</v>
      </c>
      <c r="D26" t="s">
        <v>510</v>
      </c>
    </row>
    <row r="27" spans="1:4" x14ac:dyDescent="0.3">
      <c r="A27" s="3">
        <v>45846</v>
      </c>
      <c r="B27" t="s">
        <v>414</v>
      </c>
      <c r="C27">
        <v>1</v>
      </c>
      <c r="D27" t="s">
        <v>509</v>
      </c>
    </row>
    <row r="28" spans="1:4" x14ac:dyDescent="0.3">
      <c r="A28" s="3">
        <v>45872</v>
      </c>
      <c r="B28" t="s">
        <v>405</v>
      </c>
      <c r="C28">
        <v>1</v>
      </c>
      <c r="D28" t="s">
        <v>509</v>
      </c>
    </row>
    <row r="29" spans="1:4" x14ac:dyDescent="0.3">
      <c r="A29" s="3">
        <v>45891</v>
      </c>
      <c r="B29" t="s">
        <v>404</v>
      </c>
      <c r="C29">
        <v>2</v>
      </c>
      <c r="D29" t="s">
        <v>509</v>
      </c>
    </row>
    <row r="30" spans="1:4" x14ac:dyDescent="0.3">
      <c r="A30" s="3">
        <v>45860</v>
      </c>
      <c r="B30" t="s">
        <v>416</v>
      </c>
      <c r="C30">
        <v>3</v>
      </c>
      <c r="D30" t="s">
        <v>512</v>
      </c>
    </row>
    <row r="31" spans="1:4" x14ac:dyDescent="0.3">
      <c r="A31" s="3">
        <v>45867</v>
      </c>
      <c r="B31" t="s">
        <v>409</v>
      </c>
      <c r="C31">
        <v>2</v>
      </c>
      <c r="D31" t="s">
        <v>510</v>
      </c>
    </row>
    <row r="32" spans="1:4" x14ac:dyDescent="0.3">
      <c r="A32" s="3">
        <v>45890</v>
      </c>
      <c r="B32" t="s">
        <v>404</v>
      </c>
      <c r="C32">
        <v>1</v>
      </c>
      <c r="D32" t="s">
        <v>509</v>
      </c>
    </row>
    <row r="33" spans="1:4" x14ac:dyDescent="0.3">
      <c r="A33" s="3">
        <v>45863</v>
      </c>
      <c r="B33" t="s">
        <v>409</v>
      </c>
      <c r="C33">
        <v>1</v>
      </c>
      <c r="D33" t="s">
        <v>511</v>
      </c>
    </row>
    <row r="34" spans="1:4" x14ac:dyDescent="0.3">
      <c r="A34" s="3">
        <v>45854</v>
      </c>
      <c r="B34" t="s">
        <v>419</v>
      </c>
      <c r="C34">
        <v>4</v>
      </c>
      <c r="D34" t="s">
        <v>509</v>
      </c>
    </row>
    <row r="35" spans="1:4" x14ac:dyDescent="0.3">
      <c r="A35" s="3">
        <v>45849</v>
      </c>
      <c r="B35" t="s">
        <v>415</v>
      </c>
      <c r="C35">
        <v>2</v>
      </c>
      <c r="D35" t="s">
        <v>510</v>
      </c>
    </row>
    <row r="36" spans="1:4" x14ac:dyDescent="0.3">
      <c r="A36" s="3">
        <v>45840</v>
      </c>
      <c r="B36" t="s">
        <v>406</v>
      </c>
      <c r="C36">
        <v>3</v>
      </c>
      <c r="D36" t="s">
        <v>509</v>
      </c>
    </row>
    <row r="37" spans="1:4" x14ac:dyDescent="0.3">
      <c r="A37" s="3">
        <v>45845</v>
      </c>
      <c r="B37" t="s">
        <v>405</v>
      </c>
      <c r="C37">
        <v>1</v>
      </c>
      <c r="D37" t="s">
        <v>512</v>
      </c>
    </row>
    <row r="38" spans="1:4" x14ac:dyDescent="0.3">
      <c r="A38" s="3">
        <v>45882</v>
      </c>
      <c r="B38" t="s">
        <v>415</v>
      </c>
      <c r="C38">
        <v>2</v>
      </c>
      <c r="D38" t="s">
        <v>509</v>
      </c>
    </row>
    <row r="39" spans="1:4" x14ac:dyDescent="0.3">
      <c r="A39" s="3">
        <v>45843</v>
      </c>
      <c r="B39" t="s">
        <v>404</v>
      </c>
      <c r="C39">
        <v>2</v>
      </c>
      <c r="D39" t="s">
        <v>510</v>
      </c>
    </row>
    <row r="40" spans="1:4" x14ac:dyDescent="0.3">
      <c r="A40" s="3">
        <v>45861</v>
      </c>
      <c r="B40" t="s">
        <v>414</v>
      </c>
      <c r="C40">
        <v>1</v>
      </c>
      <c r="D40" t="s">
        <v>509</v>
      </c>
    </row>
    <row r="41" spans="1:4" x14ac:dyDescent="0.3">
      <c r="A41" s="3">
        <v>45844</v>
      </c>
      <c r="B41" t="s">
        <v>407</v>
      </c>
      <c r="C41">
        <v>1</v>
      </c>
      <c r="D41" t="s">
        <v>511</v>
      </c>
    </row>
    <row r="42" spans="1:4" x14ac:dyDescent="0.3">
      <c r="A42" s="3">
        <v>45861</v>
      </c>
      <c r="B42" t="s">
        <v>412</v>
      </c>
      <c r="C42">
        <v>3</v>
      </c>
      <c r="D42" t="s">
        <v>511</v>
      </c>
    </row>
    <row r="43" spans="1:4" x14ac:dyDescent="0.3">
      <c r="A43" s="3">
        <v>45895</v>
      </c>
      <c r="B43" t="s">
        <v>402</v>
      </c>
      <c r="C43">
        <v>1</v>
      </c>
      <c r="D43" t="s">
        <v>509</v>
      </c>
    </row>
    <row r="44" spans="1:4" x14ac:dyDescent="0.3">
      <c r="A44" s="3">
        <v>45868</v>
      </c>
      <c r="B44" t="s">
        <v>407</v>
      </c>
      <c r="C44">
        <v>1</v>
      </c>
      <c r="D44" t="s">
        <v>509</v>
      </c>
    </row>
    <row r="45" spans="1:4" x14ac:dyDescent="0.3">
      <c r="A45" s="3">
        <v>45879</v>
      </c>
      <c r="B45" t="s">
        <v>401</v>
      </c>
      <c r="C45">
        <v>1</v>
      </c>
      <c r="D45" t="s">
        <v>511</v>
      </c>
    </row>
    <row r="46" spans="1:4" x14ac:dyDescent="0.3">
      <c r="A46" s="3">
        <v>45844</v>
      </c>
      <c r="B46" t="s">
        <v>414</v>
      </c>
      <c r="C46">
        <v>1</v>
      </c>
      <c r="D46" t="s">
        <v>509</v>
      </c>
    </row>
    <row r="47" spans="1:4" x14ac:dyDescent="0.3">
      <c r="A47" s="3">
        <v>45880</v>
      </c>
      <c r="B47" t="s">
        <v>414</v>
      </c>
      <c r="C47">
        <v>2</v>
      </c>
      <c r="D47" t="s">
        <v>510</v>
      </c>
    </row>
    <row r="48" spans="1:4" x14ac:dyDescent="0.3">
      <c r="A48" s="3">
        <v>45843</v>
      </c>
      <c r="B48" t="s">
        <v>411</v>
      </c>
      <c r="C48">
        <v>4</v>
      </c>
      <c r="D48" t="s">
        <v>510</v>
      </c>
    </row>
    <row r="49" spans="1:4" x14ac:dyDescent="0.3">
      <c r="A49" s="3">
        <v>45889</v>
      </c>
      <c r="B49" t="s">
        <v>402</v>
      </c>
      <c r="C49">
        <v>4</v>
      </c>
      <c r="D49" t="s">
        <v>510</v>
      </c>
    </row>
    <row r="50" spans="1:4" x14ac:dyDescent="0.3">
      <c r="A50" s="3">
        <v>45878</v>
      </c>
      <c r="B50" t="s">
        <v>407</v>
      </c>
      <c r="C50">
        <v>3</v>
      </c>
      <c r="D50" t="s">
        <v>511</v>
      </c>
    </row>
    <row r="51" spans="1:4" x14ac:dyDescent="0.3">
      <c r="A51" s="3">
        <v>45875</v>
      </c>
      <c r="B51" t="s">
        <v>418</v>
      </c>
      <c r="C51">
        <v>3</v>
      </c>
      <c r="D51" t="s">
        <v>510</v>
      </c>
    </row>
    <row r="52" spans="1:4" x14ac:dyDescent="0.3">
      <c r="A52" s="3">
        <v>45862</v>
      </c>
      <c r="B52" t="s">
        <v>406</v>
      </c>
      <c r="C52">
        <v>1</v>
      </c>
      <c r="D52" t="s">
        <v>511</v>
      </c>
    </row>
    <row r="53" spans="1:4" x14ac:dyDescent="0.3">
      <c r="A53" s="3">
        <v>45853</v>
      </c>
      <c r="B53" t="s">
        <v>409</v>
      </c>
      <c r="C53">
        <v>1</v>
      </c>
      <c r="D53" t="s">
        <v>512</v>
      </c>
    </row>
    <row r="54" spans="1:4" x14ac:dyDescent="0.3">
      <c r="A54" s="3">
        <v>45893</v>
      </c>
      <c r="B54" t="s">
        <v>410</v>
      </c>
      <c r="C54">
        <v>2</v>
      </c>
      <c r="D54" t="s">
        <v>510</v>
      </c>
    </row>
    <row r="55" spans="1:4" x14ac:dyDescent="0.3">
      <c r="A55" s="3">
        <v>45893</v>
      </c>
      <c r="B55" t="s">
        <v>413</v>
      </c>
      <c r="C55">
        <v>1</v>
      </c>
      <c r="D55" t="s">
        <v>509</v>
      </c>
    </row>
    <row r="56" spans="1:4" x14ac:dyDescent="0.3">
      <c r="A56" s="3">
        <v>45876</v>
      </c>
      <c r="B56" t="s">
        <v>406</v>
      </c>
      <c r="C56">
        <v>4</v>
      </c>
      <c r="D56" t="s">
        <v>511</v>
      </c>
    </row>
    <row r="57" spans="1:4" x14ac:dyDescent="0.3">
      <c r="A57" s="3">
        <v>45858</v>
      </c>
      <c r="B57" t="s">
        <v>402</v>
      </c>
      <c r="C57">
        <v>1</v>
      </c>
      <c r="D57" t="s">
        <v>512</v>
      </c>
    </row>
    <row r="58" spans="1:4" x14ac:dyDescent="0.3">
      <c r="A58" s="3">
        <v>45882</v>
      </c>
      <c r="B58" t="s">
        <v>411</v>
      </c>
      <c r="C58">
        <v>1</v>
      </c>
      <c r="D58" t="s">
        <v>512</v>
      </c>
    </row>
    <row r="59" spans="1:4" x14ac:dyDescent="0.3">
      <c r="A59" s="3">
        <v>45891</v>
      </c>
      <c r="B59" t="s">
        <v>408</v>
      </c>
      <c r="C59">
        <v>1</v>
      </c>
      <c r="D59" t="s">
        <v>512</v>
      </c>
    </row>
    <row r="60" spans="1:4" x14ac:dyDescent="0.3">
      <c r="A60" s="3">
        <v>45865</v>
      </c>
      <c r="B60" t="s">
        <v>404</v>
      </c>
      <c r="C60">
        <v>4</v>
      </c>
      <c r="D60" t="s">
        <v>512</v>
      </c>
    </row>
    <row r="61" spans="1:4" x14ac:dyDescent="0.3">
      <c r="A61" s="3">
        <v>45846</v>
      </c>
      <c r="B61" t="s">
        <v>408</v>
      </c>
      <c r="C61">
        <v>1</v>
      </c>
      <c r="D61" t="s">
        <v>509</v>
      </c>
    </row>
    <row r="62" spans="1:4" x14ac:dyDescent="0.3">
      <c r="A62" s="3">
        <v>45885</v>
      </c>
      <c r="B62" t="s">
        <v>408</v>
      </c>
      <c r="C62">
        <v>1</v>
      </c>
      <c r="D62" t="s">
        <v>511</v>
      </c>
    </row>
    <row r="63" spans="1:4" x14ac:dyDescent="0.3">
      <c r="A63" s="3">
        <v>45868</v>
      </c>
      <c r="B63" t="s">
        <v>416</v>
      </c>
      <c r="C63">
        <v>4</v>
      </c>
      <c r="D63" t="s">
        <v>509</v>
      </c>
    </row>
    <row r="64" spans="1:4" x14ac:dyDescent="0.3">
      <c r="A64" s="3">
        <v>45857</v>
      </c>
      <c r="B64" t="s">
        <v>405</v>
      </c>
      <c r="C64">
        <v>2</v>
      </c>
      <c r="D64" t="s">
        <v>510</v>
      </c>
    </row>
    <row r="65" spans="1:4" x14ac:dyDescent="0.3">
      <c r="A65" s="3">
        <v>45862</v>
      </c>
      <c r="B65" t="s">
        <v>408</v>
      </c>
      <c r="C65">
        <v>4</v>
      </c>
      <c r="D65" t="s">
        <v>510</v>
      </c>
    </row>
    <row r="66" spans="1:4" x14ac:dyDescent="0.3">
      <c r="A66" s="3">
        <v>45862</v>
      </c>
      <c r="B66" t="s">
        <v>414</v>
      </c>
      <c r="C66">
        <v>1</v>
      </c>
      <c r="D66" t="s">
        <v>511</v>
      </c>
    </row>
    <row r="67" spans="1:4" x14ac:dyDescent="0.3">
      <c r="A67" s="3">
        <v>45866</v>
      </c>
      <c r="B67" t="s">
        <v>404</v>
      </c>
      <c r="C67">
        <v>1</v>
      </c>
      <c r="D67" t="s">
        <v>510</v>
      </c>
    </row>
    <row r="68" spans="1:4" x14ac:dyDescent="0.3">
      <c r="A68" s="3">
        <v>45890</v>
      </c>
      <c r="B68" t="s">
        <v>411</v>
      </c>
      <c r="C68">
        <v>1</v>
      </c>
      <c r="D68" t="s">
        <v>511</v>
      </c>
    </row>
    <row r="69" spans="1:4" x14ac:dyDescent="0.3">
      <c r="A69" s="3">
        <v>45864</v>
      </c>
      <c r="B69" t="s">
        <v>411</v>
      </c>
      <c r="C69">
        <v>3</v>
      </c>
      <c r="D69" t="s">
        <v>510</v>
      </c>
    </row>
    <row r="70" spans="1:4" x14ac:dyDescent="0.3">
      <c r="A70" s="3">
        <v>45884</v>
      </c>
      <c r="B70" t="s">
        <v>405</v>
      </c>
      <c r="C70">
        <v>2</v>
      </c>
      <c r="D70" t="s">
        <v>510</v>
      </c>
    </row>
    <row r="71" spans="1:4" x14ac:dyDescent="0.3">
      <c r="A71" s="3">
        <v>45870</v>
      </c>
      <c r="B71" t="s">
        <v>408</v>
      </c>
      <c r="C71">
        <v>1</v>
      </c>
      <c r="D71" t="s">
        <v>511</v>
      </c>
    </row>
    <row r="72" spans="1:4" x14ac:dyDescent="0.3">
      <c r="A72" s="3">
        <v>45869</v>
      </c>
      <c r="B72" t="s">
        <v>410</v>
      </c>
      <c r="C72">
        <v>4</v>
      </c>
      <c r="D72" t="s">
        <v>512</v>
      </c>
    </row>
    <row r="73" spans="1:4" x14ac:dyDescent="0.3">
      <c r="A73" s="3">
        <v>45893</v>
      </c>
      <c r="B73" t="s">
        <v>406</v>
      </c>
      <c r="C73">
        <v>1</v>
      </c>
      <c r="D73" t="s">
        <v>509</v>
      </c>
    </row>
    <row r="74" spans="1:4" x14ac:dyDescent="0.3">
      <c r="A74" s="3">
        <v>45840</v>
      </c>
      <c r="B74" t="s">
        <v>419</v>
      </c>
      <c r="C74">
        <v>1</v>
      </c>
      <c r="D74" t="s">
        <v>510</v>
      </c>
    </row>
    <row r="75" spans="1:4" x14ac:dyDescent="0.3">
      <c r="A75" s="3">
        <v>45867</v>
      </c>
      <c r="B75" t="s">
        <v>407</v>
      </c>
      <c r="C75">
        <v>1</v>
      </c>
      <c r="D75" t="s">
        <v>509</v>
      </c>
    </row>
    <row r="76" spans="1:4" x14ac:dyDescent="0.3">
      <c r="A76" s="3">
        <v>45871</v>
      </c>
      <c r="B76" t="s">
        <v>406</v>
      </c>
      <c r="C76">
        <v>3</v>
      </c>
      <c r="D76" t="s">
        <v>510</v>
      </c>
    </row>
    <row r="77" spans="1:4" x14ac:dyDescent="0.3">
      <c r="A77" s="3">
        <v>45894</v>
      </c>
      <c r="B77" t="s">
        <v>406</v>
      </c>
      <c r="C77">
        <v>2</v>
      </c>
      <c r="D77" t="s">
        <v>510</v>
      </c>
    </row>
    <row r="78" spans="1:4" x14ac:dyDescent="0.3">
      <c r="A78" s="3">
        <v>45892</v>
      </c>
      <c r="B78" t="s">
        <v>402</v>
      </c>
      <c r="C78">
        <v>2</v>
      </c>
      <c r="D78" t="s">
        <v>511</v>
      </c>
    </row>
    <row r="79" spans="1:4" x14ac:dyDescent="0.3">
      <c r="A79" s="3">
        <v>45886</v>
      </c>
      <c r="B79" t="s">
        <v>403</v>
      </c>
      <c r="C79">
        <v>1</v>
      </c>
      <c r="D79" t="s">
        <v>510</v>
      </c>
    </row>
    <row r="80" spans="1:4" x14ac:dyDescent="0.3">
      <c r="A80" s="3">
        <v>45855</v>
      </c>
      <c r="B80" t="s">
        <v>411</v>
      </c>
      <c r="C80">
        <v>2</v>
      </c>
      <c r="D80" t="s">
        <v>509</v>
      </c>
    </row>
    <row r="81" spans="1:4" x14ac:dyDescent="0.3">
      <c r="A81" s="3">
        <v>45852</v>
      </c>
      <c r="B81" t="s">
        <v>414</v>
      </c>
      <c r="C81">
        <v>1</v>
      </c>
      <c r="D81" t="s">
        <v>510</v>
      </c>
    </row>
    <row r="82" spans="1:4" x14ac:dyDescent="0.3">
      <c r="A82" s="3">
        <v>45856</v>
      </c>
      <c r="B82" t="s">
        <v>414</v>
      </c>
      <c r="C82">
        <v>1</v>
      </c>
      <c r="D82" t="s">
        <v>512</v>
      </c>
    </row>
    <row r="83" spans="1:4" x14ac:dyDescent="0.3">
      <c r="A83" s="3">
        <v>45889</v>
      </c>
      <c r="B83" t="s">
        <v>415</v>
      </c>
      <c r="C83">
        <v>1</v>
      </c>
      <c r="D83" t="s">
        <v>512</v>
      </c>
    </row>
    <row r="84" spans="1:4" x14ac:dyDescent="0.3">
      <c r="A84" s="3">
        <v>45843</v>
      </c>
      <c r="B84" t="s">
        <v>416</v>
      </c>
      <c r="C84">
        <v>2</v>
      </c>
      <c r="D84" t="s">
        <v>510</v>
      </c>
    </row>
    <row r="85" spans="1:4" x14ac:dyDescent="0.3">
      <c r="A85" s="3">
        <v>45852</v>
      </c>
      <c r="B85" t="s">
        <v>406</v>
      </c>
      <c r="C85">
        <v>3</v>
      </c>
      <c r="D85" t="s">
        <v>512</v>
      </c>
    </row>
    <row r="86" spans="1:4" x14ac:dyDescent="0.3">
      <c r="A86" s="3">
        <v>45853</v>
      </c>
      <c r="B86" t="s">
        <v>416</v>
      </c>
      <c r="C86">
        <v>2</v>
      </c>
      <c r="D86" t="s">
        <v>509</v>
      </c>
    </row>
    <row r="87" spans="1:4" x14ac:dyDescent="0.3">
      <c r="A87" s="3">
        <v>45888</v>
      </c>
      <c r="B87" t="s">
        <v>409</v>
      </c>
      <c r="C87">
        <v>4</v>
      </c>
      <c r="D87" t="s">
        <v>511</v>
      </c>
    </row>
    <row r="88" spans="1:4" x14ac:dyDescent="0.3">
      <c r="A88" s="3">
        <v>45844</v>
      </c>
      <c r="B88" t="s">
        <v>403</v>
      </c>
      <c r="C88">
        <v>1</v>
      </c>
      <c r="D88" t="s">
        <v>510</v>
      </c>
    </row>
    <row r="89" spans="1:4" x14ac:dyDescent="0.3">
      <c r="A89" s="3">
        <v>45840</v>
      </c>
      <c r="B89" t="s">
        <v>416</v>
      </c>
      <c r="C89">
        <v>1</v>
      </c>
      <c r="D89" t="s">
        <v>510</v>
      </c>
    </row>
    <row r="90" spans="1:4" x14ac:dyDescent="0.3">
      <c r="A90" s="3">
        <v>45840</v>
      </c>
      <c r="B90" t="s">
        <v>416</v>
      </c>
      <c r="C90">
        <v>2</v>
      </c>
      <c r="D90" t="s">
        <v>511</v>
      </c>
    </row>
    <row r="91" spans="1:4" x14ac:dyDescent="0.3">
      <c r="A91" s="3">
        <v>45891</v>
      </c>
      <c r="B91" t="s">
        <v>401</v>
      </c>
      <c r="C91">
        <v>2</v>
      </c>
      <c r="D91" t="s">
        <v>512</v>
      </c>
    </row>
    <row r="92" spans="1:4" x14ac:dyDescent="0.3">
      <c r="A92" s="3">
        <v>45887</v>
      </c>
      <c r="B92" t="s">
        <v>410</v>
      </c>
      <c r="C92">
        <v>3</v>
      </c>
      <c r="D92" t="s">
        <v>509</v>
      </c>
    </row>
    <row r="93" spans="1:4" x14ac:dyDescent="0.3">
      <c r="A93" s="3">
        <v>45849</v>
      </c>
      <c r="B93" t="s">
        <v>405</v>
      </c>
      <c r="C93">
        <v>2</v>
      </c>
      <c r="D93" t="s">
        <v>509</v>
      </c>
    </row>
    <row r="94" spans="1:4" x14ac:dyDescent="0.3">
      <c r="A94" s="3">
        <v>45862</v>
      </c>
      <c r="B94" t="s">
        <v>408</v>
      </c>
      <c r="C94">
        <v>1</v>
      </c>
      <c r="D94" t="s">
        <v>511</v>
      </c>
    </row>
    <row r="95" spans="1:4" x14ac:dyDescent="0.3">
      <c r="A95" s="3">
        <v>45873</v>
      </c>
      <c r="B95" t="s">
        <v>419</v>
      </c>
      <c r="C95">
        <v>4</v>
      </c>
      <c r="D95" t="s">
        <v>510</v>
      </c>
    </row>
    <row r="96" spans="1:4" x14ac:dyDescent="0.3">
      <c r="A96" s="3">
        <v>45846</v>
      </c>
      <c r="B96" t="s">
        <v>411</v>
      </c>
      <c r="C96">
        <v>3</v>
      </c>
      <c r="D96" t="s">
        <v>510</v>
      </c>
    </row>
    <row r="97" spans="1:4" x14ac:dyDescent="0.3">
      <c r="A97" s="3">
        <v>45883</v>
      </c>
      <c r="B97" t="s">
        <v>412</v>
      </c>
      <c r="C97">
        <v>1</v>
      </c>
      <c r="D97" t="s">
        <v>509</v>
      </c>
    </row>
    <row r="98" spans="1:4" x14ac:dyDescent="0.3">
      <c r="A98" s="3">
        <v>45860</v>
      </c>
      <c r="B98" t="s">
        <v>401</v>
      </c>
      <c r="C98">
        <v>1</v>
      </c>
      <c r="D98" t="s">
        <v>512</v>
      </c>
    </row>
    <row r="99" spans="1:4" x14ac:dyDescent="0.3">
      <c r="A99" s="3">
        <v>45842</v>
      </c>
      <c r="B99" t="s">
        <v>417</v>
      </c>
      <c r="C99">
        <v>1</v>
      </c>
      <c r="D99" t="s">
        <v>510</v>
      </c>
    </row>
    <row r="100" spans="1:4" x14ac:dyDescent="0.3">
      <c r="A100" s="3">
        <v>45875</v>
      </c>
      <c r="B100" t="s">
        <v>404</v>
      </c>
      <c r="C100">
        <v>2</v>
      </c>
      <c r="D100" t="s">
        <v>510</v>
      </c>
    </row>
    <row r="101" spans="1:4" x14ac:dyDescent="0.3">
      <c r="A101" s="3">
        <v>45844</v>
      </c>
      <c r="B101" t="s">
        <v>416</v>
      </c>
      <c r="C101">
        <v>3</v>
      </c>
      <c r="D101" t="s">
        <v>509</v>
      </c>
    </row>
    <row r="102" spans="1:4" x14ac:dyDescent="0.3">
      <c r="A102" s="3">
        <v>45847</v>
      </c>
      <c r="B102" t="s">
        <v>403</v>
      </c>
      <c r="C102">
        <v>1</v>
      </c>
      <c r="D102" t="s">
        <v>510</v>
      </c>
    </row>
    <row r="103" spans="1:4" x14ac:dyDescent="0.3">
      <c r="A103" s="3">
        <v>45871</v>
      </c>
      <c r="B103" t="s">
        <v>412</v>
      </c>
      <c r="C103">
        <v>2</v>
      </c>
      <c r="D103" t="s">
        <v>512</v>
      </c>
    </row>
    <row r="104" spans="1:4" x14ac:dyDescent="0.3">
      <c r="A104" s="3">
        <v>45890</v>
      </c>
      <c r="B104" t="s">
        <v>415</v>
      </c>
      <c r="C104">
        <v>2</v>
      </c>
      <c r="D104" t="s">
        <v>509</v>
      </c>
    </row>
    <row r="105" spans="1:4" x14ac:dyDescent="0.3">
      <c r="A105" s="3">
        <v>45859</v>
      </c>
      <c r="B105" t="s">
        <v>412</v>
      </c>
      <c r="C105">
        <v>2</v>
      </c>
      <c r="D105" t="s">
        <v>510</v>
      </c>
    </row>
    <row r="106" spans="1:4" x14ac:dyDescent="0.3">
      <c r="A106" s="3">
        <v>45865</v>
      </c>
      <c r="B106" t="s">
        <v>415</v>
      </c>
      <c r="C106">
        <v>1</v>
      </c>
      <c r="D106" t="s">
        <v>512</v>
      </c>
    </row>
    <row r="107" spans="1:4" x14ac:dyDescent="0.3">
      <c r="A107" s="3">
        <v>45866</v>
      </c>
      <c r="B107" t="s">
        <v>414</v>
      </c>
      <c r="C107">
        <v>3</v>
      </c>
      <c r="D107" t="s">
        <v>512</v>
      </c>
    </row>
    <row r="108" spans="1:4" x14ac:dyDescent="0.3">
      <c r="A108" s="3">
        <v>45856</v>
      </c>
      <c r="B108" t="s">
        <v>402</v>
      </c>
      <c r="C108">
        <v>4</v>
      </c>
      <c r="D108" t="s">
        <v>512</v>
      </c>
    </row>
    <row r="109" spans="1:4" x14ac:dyDescent="0.3">
      <c r="A109" s="3">
        <v>45859</v>
      </c>
      <c r="B109" t="s">
        <v>412</v>
      </c>
      <c r="C109">
        <v>2</v>
      </c>
      <c r="D109" t="s">
        <v>509</v>
      </c>
    </row>
    <row r="110" spans="1:4" x14ac:dyDescent="0.3">
      <c r="A110" s="3">
        <v>45877</v>
      </c>
      <c r="B110" t="s">
        <v>417</v>
      </c>
      <c r="C110">
        <v>1</v>
      </c>
      <c r="D110" t="s">
        <v>511</v>
      </c>
    </row>
    <row r="111" spans="1:4" x14ac:dyDescent="0.3">
      <c r="A111" s="3">
        <v>45854</v>
      </c>
      <c r="B111" t="s">
        <v>412</v>
      </c>
      <c r="C111">
        <v>2</v>
      </c>
      <c r="D111" t="s">
        <v>509</v>
      </c>
    </row>
    <row r="112" spans="1:4" x14ac:dyDescent="0.3">
      <c r="A112" s="3">
        <v>45894</v>
      </c>
      <c r="B112" t="s">
        <v>404</v>
      </c>
      <c r="C112">
        <v>3</v>
      </c>
      <c r="D112" t="s">
        <v>511</v>
      </c>
    </row>
    <row r="113" spans="1:4" x14ac:dyDescent="0.3">
      <c r="A113" s="3">
        <v>45876</v>
      </c>
      <c r="B113" t="s">
        <v>407</v>
      </c>
      <c r="C113">
        <v>4</v>
      </c>
      <c r="D113" t="s">
        <v>512</v>
      </c>
    </row>
    <row r="114" spans="1:4" x14ac:dyDescent="0.3">
      <c r="A114" s="3">
        <v>45887</v>
      </c>
      <c r="B114" t="s">
        <v>411</v>
      </c>
      <c r="C114">
        <v>1</v>
      </c>
      <c r="D114" t="s">
        <v>512</v>
      </c>
    </row>
    <row r="115" spans="1:4" x14ac:dyDescent="0.3">
      <c r="A115" s="3">
        <v>45848</v>
      </c>
      <c r="B115" t="s">
        <v>410</v>
      </c>
      <c r="C115">
        <v>1</v>
      </c>
      <c r="D115" t="s">
        <v>509</v>
      </c>
    </row>
    <row r="116" spans="1:4" x14ac:dyDescent="0.3">
      <c r="A116" s="3">
        <v>45846</v>
      </c>
      <c r="B116" t="s">
        <v>402</v>
      </c>
      <c r="C116">
        <v>2</v>
      </c>
      <c r="D116" t="s">
        <v>510</v>
      </c>
    </row>
    <row r="117" spans="1:4" x14ac:dyDescent="0.3">
      <c r="A117" s="3">
        <v>45870</v>
      </c>
      <c r="B117" t="s">
        <v>416</v>
      </c>
      <c r="C117">
        <v>1</v>
      </c>
      <c r="D117" t="s">
        <v>511</v>
      </c>
    </row>
    <row r="118" spans="1:4" x14ac:dyDescent="0.3">
      <c r="A118" s="3">
        <v>45882</v>
      </c>
      <c r="B118" t="s">
        <v>403</v>
      </c>
      <c r="C118">
        <v>2</v>
      </c>
      <c r="D118" t="s">
        <v>509</v>
      </c>
    </row>
    <row r="119" spans="1:4" x14ac:dyDescent="0.3">
      <c r="A119" s="3">
        <v>45873</v>
      </c>
      <c r="B119" t="s">
        <v>414</v>
      </c>
      <c r="C119">
        <v>4</v>
      </c>
      <c r="D119" t="s">
        <v>510</v>
      </c>
    </row>
    <row r="120" spans="1:4" x14ac:dyDescent="0.3">
      <c r="A120" s="3">
        <v>45880</v>
      </c>
      <c r="B120" t="s">
        <v>418</v>
      </c>
      <c r="C120">
        <v>4</v>
      </c>
      <c r="D120" t="s">
        <v>510</v>
      </c>
    </row>
    <row r="121" spans="1:4" x14ac:dyDescent="0.3">
      <c r="A121" s="3">
        <v>45847</v>
      </c>
      <c r="B121" t="s">
        <v>401</v>
      </c>
      <c r="C121">
        <v>2</v>
      </c>
      <c r="D121" t="s">
        <v>509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CD37-1DDD-40DA-AF88-A74D78294EE7}">
  <dimension ref="A1:D221"/>
  <sheetViews>
    <sheetView workbookViewId="0">
      <selection activeCell="B11" sqref="B11"/>
    </sheetView>
  </sheetViews>
  <sheetFormatPr defaultRowHeight="14.4" x14ac:dyDescent="0.3"/>
  <cols>
    <col min="1" max="1" width="10.109375" bestFit="1" customWidth="1"/>
    <col min="2" max="2" width="14.77734375" bestFit="1" customWidth="1"/>
  </cols>
  <sheetData>
    <row r="1" spans="1:4" x14ac:dyDescent="0.3">
      <c r="A1" s="1" t="s">
        <v>507</v>
      </c>
      <c r="B1" s="1" t="s">
        <v>2</v>
      </c>
      <c r="C1" s="1" t="s">
        <v>513</v>
      </c>
      <c r="D1" s="1" t="s">
        <v>514</v>
      </c>
    </row>
    <row r="2" spans="1:4" x14ac:dyDescent="0.3">
      <c r="A2" s="3">
        <v>45846</v>
      </c>
      <c r="B2" t="s">
        <v>27</v>
      </c>
      <c r="C2">
        <v>4</v>
      </c>
      <c r="D2" t="s">
        <v>515</v>
      </c>
    </row>
    <row r="3" spans="1:4" x14ac:dyDescent="0.3">
      <c r="A3" s="3">
        <v>45875</v>
      </c>
      <c r="B3" t="s">
        <v>9</v>
      </c>
      <c r="C3">
        <v>3</v>
      </c>
      <c r="D3" t="s">
        <v>516</v>
      </c>
    </row>
    <row r="4" spans="1:4" x14ac:dyDescent="0.3">
      <c r="A4" s="3">
        <v>45869</v>
      </c>
      <c r="B4" t="s">
        <v>15</v>
      </c>
      <c r="C4">
        <v>2</v>
      </c>
      <c r="D4" t="s">
        <v>517</v>
      </c>
    </row>
    <row r="5" spans="1:4" x14ac:dyDescent="0.3">
      <c r="A5" s="3">
        <v>45839</v>
      </c>
      <c r="B5" t="s">
        <v>15</v>
      </c>
      <c r="C5">
        <v>5</v>
      </c>
      <c r="D5" t="s">
        <v>518</v>
      </c>
    </row>
    <row r="6" spans="1:4" x14ac:dyDescent="0.3">
      <c r="A6" s="3">
        <v>45865</v>
      </c>
      <c r="B6" t="s">
        <v>27</v>
      </c>
      <c r="C6">
        <v>3</v>
      </c>
      <c r="D6" t="s">
        <v>517</v>
      </c>
    </row>
    <row r="7" spans="1:4" x14ac:dyDescent="0.3">
      <c r="A7" s="3">
        <v>45857</v>
      </c>
      <c r="B7" t="s">
        <v>15</v>
      </c>
      <c r="C7">
        <v>5</v>
      </c>
      <c r="D7" t="s">
        <v>516</v>
      </c>
    </row>
    <row r="8" spans="1:4" x14ac:dyDescent="0.3">
      <c r="A8" s="3">
        <v>45849</v>
      </c>
      <c r="B8" t="s">
        <v>27</v>
      </c>
      <c r="C8">
        <v>2</v>
      </c>
      <c r="D8" t="s">
        <v>518</v>
      </c>
    </row>
    <row r="9" spans="1:4" x14ac:dyDescent="0.3">
      <c r="A9" s="3">
        <v>45892</v>
      </c>
      <c r="B9" t="s">
        <v>27</v>
      </c>
      <c r="C9">
        <v>4</v>
      </c>
      <c r="D9" t="s">
        <v>516</v>
      </c>
    </row>
    <row r="10" spans="1:4" x14ac:dyDescent="0.3">
      <c r="A10" s="3">
        <v>45840</v>
      </c>
      <c r="B10" t="s">
        <v>15</v>
      </c>
      <c r="C10">
        <v>5</v>
      </c>
      <c r="D10" t="s">
        <v>516</v>
      </c>
    </row>
    <row r="11" spans="1:4" x14ac:dyDescent="0.3">
      <c r="A11" s="3">
        <v>45847</v>
      </c>
      <c r="B11" t="s">
        <v>9</v>
      </c>
      <c r="C11">
        <v>3</v>
      </c>
      <c r="D11" t="s">
        <v>515</v>
      </c>
    </row>
    <row r="12" spans="1:4" x14ac:dyDescent="0.3">
      <c r="A12" s="3">
        <v>45875</v>
      </c>
      <c r="B12" t="s">
        <v>27</v>
      </c>
      <c r="C12">
        <v>3</v>
      </c>
      <c r="D12" t="s">
        <v>519</v>
      </c>
    </row>
    <row r="13" spans="1:4" x14ac:dyDescent="0.3">
      <c r="A13" s="3">
        <v>45868</v>
      </c>
      <c r="B13" t="s">
        <v>15</v>
      </c>
      <c r="C13">
        <v>5</v>
      </c>
      <c r="D13" t="s">
        <v>515</v>
      </c>
    </row>
    <row r="14" spans="1:4" x14ac:dyDescent="0.3">
      <c r="A14" s="3">
        <v>45845</v>
      </c>
      <c r="B14" t="s">
        <v>27</v>
      </c>
      <c r="C14">
        <v>5</v>
      </c>
      <c r="D14" t="s">
        <v>519</v>
      </c>
    </row>
    <row r="15" spans="1:4" x14ac:dyDescent="0.3">
      <c r="A15" s="3">
        <v>45879</v>
      </c>
      <c r="B15" t="s">
        <v>15</v>
      </c>
      <c r="C15">
        <v>5</v>
      </c>
      <c r="D15" t="s">
        <v>517</v>
      </c>
    </row>
    <row r="16" spans="1:4" x14ac:dyDescent="0.3">
      <c r="A16" s="3">
        <v>45874</v>
      </c>
      <c r="B16" t="s">
        <v>15</v>
      </c>
      <c r="C16">
        <v>3</v>
      </c>
      <c r="D16" t="s">
        <v>520</v>
      </c>
    </row>
    <row r="17" spans="1:4" x14ac:dyDescent="0.3">
      <c r="A17" s="3">
        <v>45896</v>
      </c>
      <c r="B17" t="s">
        <v>9</v>
      </c>
      <c r="C17">
        <v>3</v>
      </c>
      <c r="D17" t="s">
        <v>520</v>
      </c>
    </row>
    <row r="18" spans="1:4" x14ac:dyDescent="0.3">
      <c r="A18" s="3">
        <v>45849</v>
      </c>
      <c r="B18" t="s">
        <v>27</v>
      </c>
      <c r="C18">
        <v>4</v>
      </c>
    </row>
    <row r="19" spans="1:4" x14ac:dyDescent="0.3">
      <c r="A19" s="3">
        <v>45877</v>
      </c>
      <c r="B19" t="s">
        <v>15</v>
      </c>
      <c r="C19">
        <v>5</v>
      </c>
      <c r="D19" t="s">
        <v>518</v>
      </c>
    </row>
    <row r="20" spans="1:4" x14ac:dyDescent="0.3">
      <c r="A20" s="3">
        <v>45881</v>
      </c>
      <c r="B20" t="s">
        <v>15</v>
      </c>
      <c r="C20">
        <v>5</v>
      </c>
      <c r="D20" t="s">
        <v>515</v>
      </c>
    </row>
    <row r="21" spans="1:4" x14ac:dyDescent="0.3">
      <c r="A21" s="3">
        <v>45868</v>
      </c>
      <c r="B21" t="s">
        <v>15</v>
      </c>
      <c r="C21">
        <v>3</v>
      </c>
      <c r="D21" t="s">
        <v>520</v>
      </c>
    </row>
    <row r="22" spans="1:4" x14ac:dyDescent="0.3">
      <c r="A22" s="3">
        <v>45869</v>
      </c>
      <c r="B22" t="s">
        <v>27</v>
      </c>
      <c r="C22">
        <v>5</v>
      </c>
      <c r="D22" t="s">
        <v>518</v>
      </c>
    </row>
    <row r="23" spans="1:4" x14ac:dyDescent="0.3">
      <c r="A23" s="3">
        <v>45867</v>
      </c>
      <c r="B23" t="s">
        <v>9</v>
      </c>
      <c r="C23">
        <v>5</v>
      </c>
      <c r="D23" t="s">
        <v>521</v>
      </c>
    </row>
    <row r="24" spans="1:4" x14ac:dyDescent="0.3">
      <c r="A24" s="3">
        <v>45870</v>
      </c>
      <c r="B24" t="s">
        <v>15</v>
      </c>
      <c r="C24">
        <v>4</v>
      </c>
      <c r="D24" t="s">
        <v>516</v>
      </c>
    </row>
    <row r="25" spans="1:4" x14ac:dyDescent="0.3">
      <c r="A25" s="3">
        <v>45874</v>
      </c>
      <c r="B25" t="s">
        <v>27</v>
      </c>
      <c r="C25">
        <v>3</v>
      </c>
      <c r="D25" t="s">
        <v>515</v>
      </c>
    </row>
    <row r="26" spans="1:4" x14ac:dyDescent="0.3">
      <c r="A26" s="3">
        <v>45892</v>
      </c>
      <c r="B26" t="s">
        <v>27</v>
      </c>
      <c r="C26">
        <v>5</v>
      </c>
      <c r="D26" t="s">
        <v>521</v>
      </c>
    </row>
    <row r="27" spans="1:4" x14ac:dyDescent="0.3">
      <c r="A27" s="3">
        <v>45881</v>
      </c>
      <c r="B27" t="s">
        <v>15</v>
      </c>
      <c r="C27">
        <v>2</v>
      </c>
      <c r="D27" t="s">
        <v>516</v>
      </c>
    </row>
    <row r="28" spans="1:4" x14ac:dyDescent="0.3">
      <c r="A28" s="3">
        <v>45887</v>
      </c>
      <c r="B28" t="s">
        <v>27</v>
      </c>
      <c r="C28">
        <v>4</v>
      </c>
      <c r="D28" t="s">
        <v>521</v>
      </c>
    </row>
    <row r="29" spans="1:4" x14ac:dyDescent="0.3">
      <c r="A29" s="3">
        <v>45863</v>
      </c>
      <c r="B29" t="s">
        <v>9</v>
      </c>
      <c r="C29">
        <v>3</v>
      </c>
      <c r="D29" t="s">
        <v>516</v>
      </c>
    </row>
    <row r="30" spans="1:4" x14ac:dyDescent="0.3">
      <c r="A30" s="3">
        <v>45875</v>
      </c>
      <c r="B30" t="s">
        <v>27</v>
      </c>
      <c r="C30">
        <v>5</v>
      </c>
      <c r="D30" t="s">
        <v>520</v>
      </c>
    </row>
    <row r="31" spans="1:4" x14ac:dyDescent="0.3">
      <c r="A31" s="3">
        <v>45895</v>
      </c>
      <c r="B31" t="s">
        <v>15</v>
      </c>
      <c r="C31">
        <v>5</v>
      </c>
    </row>
    <row r="32" spans="1:4" x14ac:dyDescent="0.3">
      <c r="A32" s="3">
        <v>45873</v>
      </c>
      <c r="B32" t="s">
        <v>9</v>
      </c>
      <c r="C32">
        <v>2</v>
      </c>
      <c r="D32" t="s">
        <v>517</v>
      </c>
    </row>
    <row r="33" spans="1:4" x14ac:dyDescent="0.3">
      <c r="A33" s="3">
        <v>45863</v>
      </c>
      <c r="B33" t="s">
        <v>9</v>
      </c>
      <c r="C33">
        <v>4</v>
      </c>
      <c r="D33" t="s">
        <v>515</v>
      </c>
    </row>
    <row r="34" spans="1:4" x14ac:dyDescent="0.3">
      <c r="A34" s="3">
        <v>45843</v>
      </c>
      <c r="B34" t="s">
        <v>9</v>
      </c>
      <c r="C34">
        <v>5</v>
      </c>
      <c r="D34" t="s">
        <v>518</v>
      </c>
    </row>
    <row r="35" spans="1:4" x14ac:dyDescent="0.3">
      <c r="A35" s="3">
        <v>45880</v>
      </c>
      <c r="B35" t="s">
        <v>27</v>
      </c>
      <c r="C35">
        <v>2</v>
      </c>
      <c r="D35" t="s">
        <v>517</v>
      </c>
    </row>
    <row r="36" spans="1:4" x14ac:dyDescent="0.3">
      <c r="A36" s="3">
        <v>45864</v>
      </c>
      <c r="B36" t="s">
        <v>27</v>
      </c>
      <c r="C36">
        <v>3</v>
      </c>
      <c r="D36" t="s">
        <v>520</v>
      </c>
    </row>
    <row r="37" spans="1:4" x14ac:dyDescent="0.3">
      <c r="A37" s="3">
        <v>45875</v>
      </c>
      <c r="B37" t="s">
        <v>15</v>
      </c>
      <c r="C37">
        <v>5</v>
      </c>
      <c r="D37" t="s">
        <v>515</v>
      </c>
    </row>
    <row r="38" spans="1:4" x14ac:dyDescent="0.3">
      <c r="A38" s="3">
        <v>45872</v>
      </c>
      <c r="B38" t="s">
        <v>27</v>
      </c>
      <c r="C38">
        <v>5</v>
      </c>
      <c r="D38" t="s">
        <v>517</v>
      </c>
    </row>
    <row r="39" spans="1:4" x14ac:dyDescent="0.3">
      <c r="A39" s="3">
        <v>45867</v>
      </c>
      <c r="B39" t="s">
        <v>15</v>
      </c>
      <c r="C39">
        <v>2</v>
      </c>
      <c r="D39" t="s">
        <v>517</v>
      </c>
    </row>
    <row r="40" spans="1:4" x14ac:dyDescent="0.3">
      <c r="A40" s="3">
        <v>45852</v>
      </c>
      <c r="B40" t="s">
        <v>15</v>
      </c>
      <c r="C40">
        <v>4</v>
      </c>
      <c r="D40" t="s">
        <v>518</v>
      </c>
    </row>
    <row r="41" spans="1:4" x14ac:dyDescent="0.3">
      <c r="A41" s="3">
        <v>45883</v>
      </c>
      <c r="B41" t="s">
        <v>27</v>
      </c>
      <c r="C41">
        <v>5</v>
      </c>
      <c r="D41" t="s">
        <v>518</v>
      </c>
    </row>
    <row r="42" spans="1:4" x14ac:dyDescent="0.3">
      <c r="A42" s="3">
        <v>45885</v>
      </c>
      <c r="B42" t="s">
        <v>27</v>
      </c>
      <c r="C42">
        <v>5</v>
      </c>
      <c r="D42" t="s">
        <v>520</v>
      </c>
    </row>
    <row r="43" spans="1:4" x14ac:dyDescent="0.3">
      <c r="A43" s="3">
        <v>45869</v>
      </c>
      <c r="B43" t="s">
        <v>27</v>
      </c>
      <c r="C43">
        <v>4</v>
      </c>
    </row>
    <row r="44" spans="1:4" x14ac:dyDescent="0.3">
      <c r="A44" s="3">
        <v>45850</v>
      </c>
      <c r="B44" t="s">
        <v>27</v>
      </c>
      <c r="C44">
        <v>4</v>
      </c>
      <c r="D44" t="s">
        <v>517</v>
      </c>
    </row>
    <row r="45" spans="1:4" x14ac:dyDescent="0.3">
      <c r="A45" s="3">
        <v>45854</v>
      </c>
      <c r="B45" t="s">
        <v>9</v>
      </c>
      <c r="C45">
        <v>3</v>
      </c>
      <c r="D45" t="s">
        <v>515</v>
      </c>
    </row>
    <row r="46" spans="1:4" x14ac:dyDescent="0.3">
      <c r="A46" s="3">
        <v>45892</v>
      </c>
      <c r="B46" t="s">
        <v>27</v>
      </c>
      <c r="C46">
        <v>4</v>
      </c>
      <c r="D46" t="s">
        <v>516</v>
      </c>
    </row>
    <row r="47" spans="1:4" x14ac:dyDescent="0.3">
      <c r="A47" s="3">
        <v>45883</v>
      </c>
      <c r="B47" t="s">
        <v>27</v>
      </c>
      <c r="C47">
        <v>5</v>
      </c>
      <c r="D47" t="s">
        <v>515</v>
      </c>
    </row>
    <row r="48" spans="1:4" x14ac:dyDescent="0.3">
      <c r="A48" s="3">
        <v>45857</v>
      </c>
      <c r="B48" t="s">
        <v>9</v>
      </c>
      <c r="C48">
        <v>5</v>
      </c>
      <c r="D48" t="s">
        <v>516</v>
      </c>
    </row>
    <row r="49" spans="1:4" x14ac:dyDescent="0.3">
      <c r="A49" s="3">
        <v>45841</v>
      </c>
      <c r="B49" t="s">
        <v>9</v>
      </c>
      <c r="C49">
        <v>3</v>
      </c>
      <c r="D49" t="s">
        <v>520</v>
      </c>
    </row>
    <row r="50" spans="1:4" x14ac:dyDescent="0.3">
      <c r="A50" s="3">
        <v>45896</v>
      </c>
      <c r="B50" t="s">
        <v>15</v>
      </c>
      <c r="C50">
        <v>5</v>
      </c>
    </row>
    <row r="51" spans="1:4" x14ac:dyDescent="0.3">
      <c r="A51" s="3">
        <v>45859</v>
      </c>
      <c r="B51" t="s">
        <v>27</v>
      </c>
      <c r="C51">
        <v>4</v>
      </c>
      <c r="D51" t="s">
        <v>517</v>
      </c>
    </row>
    <row r="52" spans="1:4" x14ac:dyDescent="0.3">
      <c r="A52" s="3">
        <v>45895</v>
      </c>
      <c r="B52" t="s">
        <v>27</v>
      </c>
      <c r="C52">
        <v>3</v>
      </c>
      <c r="D52" t="s">
        <v>518</v>
      </c>
    </row>
    <row r="53" spans="1:4" x14ac:dyDescent="0.3">
      <c r="A53" s="3">
        <v>45870</v>
      </c>
      <c r="B53" t="s">
        <v>27</v>
      </c>
      <c r="C53">
        <v>5</v>
      </c>
      <c r="D53" t="s">
        <v>517</v>
      </c>
    </row>
    <row r="54" spans="1:4" x14ac:dyDescent="0.3">
      <c r="A54" s="3">
        <v>45864</v>
      </c>
      <c r="B54" t="s">
        <v>9</v>
      </c>
      <c r="C54">
        <v>5</v>
      </c>
      <c r="D54" t="s">
        <v>518</v>
      </c>
    </row>
    <row r="55" spans="1:4" x14ac:dyDescent="0.3">
      <c r="A55" s="3">
        <v>45896</v>
      </c>
      <c r="B55" t="s">
        <v>15</v>
      </c>
      <c r="C55">
        <v>5</v>
      </c>
      <c r="D55" t="s">
        <v>517</v>
      </c>
    </row>
    <row r="56" spans="1:4" x14ac:dyDescent="0.3">
      <c r="A56" s="3">
        <v>45872</v>
      </c>
      <c r="B56" t="s">
        <v>15</v>
      </c>
      <c r="C56">
        <v>5</v>
      </c>
      <c r="D56" t="s">
        <v>515</v>
      </c>
    </row>
    <row r="57" spans="1:4" x14ac:dyDescent="0.3">
      <c r="A57" s="3">
        <v>45867</v>
      </c>
      <c r="B57" t="s">
        <v>9</v>
      </c>
      <c r="C57">
        <v>2</v>
      </c>
      <c r="D57" t="s">
        <v>515</v>
      </c>
    </row>
    <row r="58" spans="1:4" x14ac:dyDescent="0.3">
      <c r="A58" s="3">
        <v>45869</v>
      </c>
      <c r="B58" t="s">
        <v>27</v>
      </c>
      <c r="C58">
        <v>3</v>
      </c>
      <c r="D58" t="s">
        <v>519</v>
      </c>
    </row>
    <row r="59" spans="1:4" x14ac:dyDescent="0.3">
      <c r="A59" s="3">
        <v>45850</v>
      </c>
      <c r="B59" t="s">
        <v>27</v>
      </c>
      <c r="C59">
        <v>4</v>
      </c>
      <c r="D59" t="s">
        <v>515</v>
      </c>
    </row>
    <row r="60" spans="1:4" x14ac:dyDescent="0.3">
      <c r="A60" s="3">
        <v>45888</v>
      </c>
      <c r="B60" t="s">
        <v>15</v>
      </c>
      <c r="C60">
        <v>5</v>
      </c>
      <c r="D60" t="s">
        <v>515</v>
      </c>
    </row>
    <row r="61" spans="1:4" x14ac:dyDescent="0.3">
      <c r="A61" s="3">
        <v>45894</v>
      </c>
      <c r="B61" t="s">
        <v>15</v>
      </c>
      <c r="C61">
        <v>5</v>
      </c>
      <c r="D61" t="s">
        <v>515</v>
      </c>
    </row>
    <row r="62" spans="1:4" x14ac:dyDescent="0.3">
      <c r="A62" s="3">
        <v>45886</v>
      </c>
      <c r="B62" t="s">
        <v>9</v>
      </c>
      <c r="C62">
        <v>3</v>
      </c>
      <c r="D62" t="s">
        <v>515</v>
      </c>
    </row>
    <row r="63" spans="1:4" x14ac:dyDescent="0.3">
      <c r="A63" s="3">
        <v>45886</v>
      </c>
      <c r="B63" t="s">
        <v>15</v>
      </c>
      <c r="C63">
        <v>3</v>
      </c>
      <c r="D63" t="s">
        <v>515</v>
      </c>
    </row>
    <row r="64" spans="1:4" x14ac:dyDescent="0.3">
      <c r="A64" s="3">
        <v>45869</v>
      </c>
      <c r="B64" t="s">
        <v>15</v>
      </c>
      <c r="C64">
        <v>2</v>
      </c>
      <c r="D64" t="s">
        <v>518</v>
      </c>
    </row>
    <row r="65" spans="1:4" x14ac:dyDescent="0.3">
      <c r="A65" s="3">
        <v>45839</v>
      </c>
      <c r="B65" t="s">
        <v>15</v>
      </c>
      <c r="C65">
        <v>3</v>
      </c>
      <c r="D65" t="s">
        <v>521</v>
      </c>
    </row>
    <row r="66" spans="1:4" x14ac:dyDescent="0.3">
      <c r="A66" s="3">
        <v>45876</v>
      </c>
      <c r="B66" t="s">
        <v>9</v>
      </c>
      <c r="C66">
        <v>5</v>
      </c>
      <c r="D66" t="s">
        <v>516</v>
      </c>
    </row>
    <row r="67" spans="1:4" x14ac:dyDescent="0.3">
      <c r="A67" s="3">
        <v>45886</v>
      </c>
      <c r="B67" t="s">
        <v>15</v>
      </c>
      <c r="C67">
        <v>5</v>
      </c>
      <c r="D67" t="s">
        <v>520</v>
      </c>
    </row>
    <row r="68" spans="1:4" x14ac:dyDescent="0.3">
      <c r="A68" s="3">
        <v>45855</v>
      </c>
      <c r="B68" t="s">
        <v>27</v>
      </c>
      <c r="C68">
        <v>2</v>
      </c>
      <c r="D68" t="s">
        <v>521</v>
      </c>
    </row>
    <row r="69" spans="1:4" x14ac:dyDescent="0.3">
      <c r="A69" s="3">
        <v>45867</v>
      </c>
      <c r="B69" t="s">
        <v>27</v>
      </c>
      <c r="C69">
        <v>4</v>
      </c>
      <c r="D69" t="s">
        <v>521</v>
      </c>
    </row>
    <row r="70" spans="1:4" x14ac:dyDescent="0.3">
      <c r="A70" s="3">
        <v>45891</v>
      </c>
      <c r="B70" t="s">
        <v>15</v>
      </c>
      <c r="C70">
        <v>3</v>
      </c>
      <c r="D70" t="s">
        <v>520</v>
      </c>
    </row>
    <row r="71" spans="1:4" x14ac:dyDescent="0.3">
      <c r="A71" s="3">
        <v>45893</v>
      </c>
      <c r="B71" t="s">
        <v>9</v>
      </c>
      <c r="C71">
        <v>5</v>
      </c>
      <c r="D71" t="s">
        <v>517</v>
      </c>
    </row>
    <row r="72" spans="1:4" x14ac:dyDescent="0.3">
      <c r="A72" s="3">
        <v>45894</v>
      </c>
      <c r="B72" t="s">
        <v>27</v>
      </c>
      <c r="C72">
        <v>4</v>
      </c>
      <c r="D72" t="s">
        <v>518</v>
      </c>
    </row>
    <row r="73" spans="1:4" x14ac:dyDescent="0.3">
      <c r="A73" s="3">
        <v>45891</v>
      </c>
      <c r="B73" t="s">
        <v>27</v>
      </c>
      <c r="C73">
        <v>5</v>
      </c>
      <c r="D73" t="s">
        <v>521</v>
      </c>
    </row>
    <row r="74" spans="1:4" x14ac:dyDescent="0.3">
      <c r="A74" s="3">
        <v>45880</v>
      </c>
      <c r="B74" t="s">
        <v>27</v>
      </c>
      <c r="C74">
        <v>3</v>
      </c>
      <c r="D74" t="s">
        <v>519</v>
      </c>
    </row>
    <row r="75" spans="1:4" x14ac:dyDescent="0.3">
      <c r="A75" s="3">
        <v>45842</v>
      </c>
      <c r="B75" t="s">
        <v>15</v>
      </c>
      <c r="C75">
        <v>4</v>
      </c>
      <c r="D75" t="s">
        <v>518</v>
      </c>
    </row>
    <row r="76" spans="1:4" x14ac:dyDescent="0.3">
      <c r="A76" s="3">
        <v>45847</v>
      </c>
      <c r="B76" t="s">
        <v>15</v>
      </c>
      <c r="C76">
        <v>2</v>
      </c>
      <c r="D76" t="s">
        <v>521</v>
      </c>
    </row>
    <row r="77" spans="1:4" x14ac:dyDescent="0.3">
      <c r="A77" s="3">
        <v>45859</v>
      </c>
      <c r="B77" t="s">
        <v>9</v>
      </c>
      <c r="C77">
        <v>4</v>
      </c>
      <c r="D77" t="s">
        <v>516</v>
      </c>
    </row>
    <row r="78" spans="1:4" x14ac:dyDescent="0.3">
      <c r="A78" s="3">
        <v>45855</v>
      </c>
      <c r="B78" t="s">
        <v>9</v>
      </c>
      <c r="C78">
        <v>3</v>
      </c>
      <c r="D78" t="s">
        <v>521</v>
      </c>
    </row>
    <row r="79" spans="1:4" x14ac:dyDescent="0.3">
      <c r="A79" s="3">
        <v>45859</v>
      </c>
      <c r="B79" t="s">
        <v>27</v>
      </c>
      <c r="C79">
        <v>4</v>
      </c>
      <c r="D79" t="s">
        <v>519</v>
      </c>
    </row>
    <row r="80" spans="1:4" x14ac:dyDescent="0.3">
      <c r="A80" s="3">
        <v>45896</v>
      </c>
      <c r="B80" t="s">
        <v>9</v>
      </c>
      <c r="C80">
        <v>3</v>
      </c>
      <c r="D80" t="s">
        <v>518</v>
      </c>
    </row>
    <row r="81" spans="1:4" x14ac:dyDescent="0.3">
      <c r="A81" s="3">
        <v>45867</v>
      </c>
      <c r="B81" t="s">
        <v>15</v>
      </c>
      <c r="C81">
        <v>4</v>
      </c>
      <c r="D81" t="s">
        <v>517</v>
      </c>
    </row>
    <row r="82" spans="1:4" x14ac:dyDescent="0.3">
      <c r="A82" s="3">
        <v>45852</v>
      </c>
      <c r="B82" t="s">
        <v>15</v>
      </c>
      <c r="C82">
        <v>2</v>
      </c>
      <c r="D82" t="s">
        <v>519</v>
      </c>
    </row>
    <row r="83" spans="1:4" x14ac:dyDescent="0.3">
      <c r="A83" s="3">
        <v>45851</v>
      </c>
      <c r="B83" t="s">
        <v>9</v>
      </c>
      <c r="C83">
        <v>3</v>
      </c>
      <c r="D83" t="s">
        <v>521</v>
      </c>
    </row>
    <row r="84" spans="1:4" x14ac:dyDescent="0.3">
      <c r="A84" s="3">
        <v>45853</v>
      </c>
      <c r="B84" t="s">
        <v>9</v>
      </c>
      <c r="C84">
        <v>4</v>
      </c>
      <c r="D84" t="s">
        <v>521</v>
      </c>
    </row>
    <row r="85" spans="1:4" x14ac:dyDescent="0.3">
      <c r="A85" s="3">
        <v>45877</v>
      </c>
      <c r="B85" t="s">
        <v>15</v>
      </c>
      <c r="C85">
        <v>3</v>
      </c>
      <c r="D85" t="s">
        <v>519</v>
      </c>
    </row>
    <row r="86" spans="1:4" x14ac:dyDescent="0.3">
      <c r="A86" s="3">
        <v>45879</v>
      </c>
      <c r="B86" t="s">
        <v>15</v>
      </c>
      <c r="C86">
        <v>5</v>
      </c>
      <c r="D86" t="s">
        <v>517</v>
      </c>
    </row>
    <row r="87" spans="1:4" x14ac:dyDescent="0.3">
      <c r="A87" s="3">
        <v>45848</v>
      </c>
      <c r="B87" t="s">
        <v>15</v>
      </c>
      <c r="C87">
        <v>4</v>
      </c>
      <c r="D87" t="s">
        <v>518</v>
      </c>
    </row>
    <row r="88" spans="1:4" x14ac:dyDescent="0.3">
      <c r="A88" s="3">
        <v>45883</v>
      </c>
      <c r="B88" t="s">
        <v>15</v>
      </c>
      <c r="C88">
        <v>4</v>
      </c>
    </row>
    <row r="89" spans="1:4" x14ac:dyDescent="0.3">
      <c r="A89" s="3">
        <v>45848</v>
      </c>
      <c r="B89" t="s">
        <v>9</v>
      </c>
      <c r="C89">
        <v>5</v>
      </c>
      <c r="D89" t="s">
        <v>518</v>
      </c>
    </row>
    <row r="90" spans="1:4" x14ac:dyDescent="0.3">
      <c r="A90" s="3">
        <v>45845</v>
      </c>
      <c r="B90" t="s">
        <v>9</v>
      </c>
      <c r="C90">
        <v>5</v>
      </c>
      <c r="D90" t="s">
        <v>521</v>
      </c>
    </row>
    <row r="91" spans="1:4" x14ac:dyDescent="0.3">
      <c r="A91" s="3">
        <v>45880</v>
      </c>
      <c r="B91" t="s">
        <v>27</v>
      </c>
      <c r="C91">
        <v>5</v>
      </c>
      <c r="D91" t="s">
        <v>519</v>
      </c>
    </row>
    <row r="92" spans="1:4" x14ac:dyDescent="0.3">
      <c r="A92" s="3">
        <v>45870</v>
      </c>
      <c r="B92" t="s">
        <v>15</v>
      </c>
      <c r="C92">
        <v>4</v>
      </c>
      <c r="D92" t="s">
        <v>515</v>
      </c>
    </row>
    <row r="93" spans="1:4" x14ac:dyDescent="0.3">
      <c r="A93" s="3">
        <v>45893</v>
      </c>
      <c r="B93" t="s">
        <v>15</v>
      </c>
      <c r="C93">
        <v>4</v>
      </c>
    </row>
    <row r="94" spans="1:4" x14ac:dyDescent="0.3">
      <c r="A94" s="3">
        <v>45843</v>
      </c>
      <c r="B94" t="s">
        <v>27</v>
      </c>
      <c r="C94">
        <v>5</v>
      </c>
    </row>
    <row r="95" spans="1:4" x14ac:dyDescent="0.3">
      <c r="A95" s="3">
        <v>45851</v>
      </c>
      <c r="B95" t="s">
        <v>27</v>
      </c>
      <c r="C95">
        <v>5</v>
      </c>
      <c r="D95" t="s">
        <v>520</v>
      </c>
    </row>
    <row r="96" spans="1:4" x14ac:dyDescent="0.3">
      <c r="A96" s="3">
        <v>45839</v>
      </c>
      <c r="B96" t="s">
        <v>15</v>
      </c>
      <c r="C96">
        <v>3</v>
      </c>
      <c r="D96" t="s">
        <v>515</v>
      </c>
    </row>
    <row r="97" spans="1:4" x14ac:dyDescent="0.3">
      <c r="A97" s="3">
        <v>45868</v>
      </c>
      <c r="B97" t="s">
        <v>27</v>
      </c>
      <c r="C97">
        <v>4</v>
      </c>
      <c r="D97" t="s">
        <v>517</v>
      </c>
    </row>
    <row r="98" spans="1:4" x14ac:dyDescent="0.3">
      <c r="A98" s="3">
        <v>45873</v>
      </c>
      <c r="B98" t="s">
        <v>15</v>
      </c>
      <c r="C98">
        <v>2</v>
      </c>
      <c r="D98" t="s">
        <v>518</v>
      </c>
    </row>
    <row r="99" spans="1:4" x14ac:dyDescent="0.3">
      <c r="A99" s="3">
        <v>45855</v>
      </c>
      <c r="B99" t="s">
        <v>27</v>
      </c>
      <c r="C99">
        <v>5</v>
      </c>
      <c r="D99" t="s">
        <v>519</v>
      </c>
    </row>
    <row r="100" spans="1:4" x14ac:dyDescent="0.3">
      <c r="A100" s="3">
        <v>45861</v>
      </c>
      <c r="B100" t="s">
        <v>15</v>
      </c>
      <c r="C100">
        <v>2</v>
      </c>
      <c r="D100" t="s">
        <v>517</v>
      </c>
    </row>
    <row r="101" spans="1:4" x14ac:dyDescent="0.3">
      <c r="A101" s="3">
        <v>45839</v>
      </c>
      <c r="B101" t="s">
        <v>27</v>
      </c>
      <c r="C101">
        <v>5</v>
      </c>
      <c r="D101" t="s">
        <v>517</v>
      </c>
    </row>
    <row r="102" spans="1:4" x14ac:dyDescent="0.3">
      <c r="A102" s="3">
        <v>45851</v>
      </c>
      <c r="B102" t="s">
        <v>9</v>
      </c>
      <c r="C102">
        <v>3</v>
      </c>
      <c r="D102" t="s">
        <v>520</v>
      </c>
    </row>
    <row r="103" spans="1:4" x14ac:dyDescent="0.3">
      <c r="A103" s="3">
        <v>45839</v>
      </c>
      <c r="B103" t="s">
        <v>27</v>
      </c>
      <c r="C103">
        <v>4</v>
      </c>
      <c r="D103" t="s">
        <v>517</v>
      </c>
    </row>
    <row r="104" spans="1:4" x14ac:dyDescent="0.3">
      <c r="A104" s="3">
        <v>45880</v>
      </c>
      <c r="B104" t="s">
        <v>9</v>
      </c>
      <c r="C104">
        <v>3</v>
      </c>
      <c r="D104" t="s">
        <v>520</v>
      </c>
    </row>
    <row r="105" spans="1:4" x14ac:dyDescent="0.3">
      <c r="A105" s="3">
        <v>45845</v>
      </c>
      <c r="B105" t="s">
        <v>27</v>
      </c>
      <c r="C105">
        <v>5</v>
      </c>
      <c r="D105" t="s">
        <v>517</v>
      </c>
    </row>
    <row r="106" spans="1:4" x14ac:dyDescent="0.3">
      <c r="A106" s="3">
        <v>45848</v>
      </c>
      <c r="B106" t="s">
        <v>27</v>
      </c>
      <c r="C106">
        <v>4</v>
      </c>
      <c r="D106" t="s">
        <v>518</v>
      </c>
    </row>
    <row r="107" spans="1:4" x14ac:dyDescent="0.3">
      <c r="A107" s="3">
        <v>45868</v>
      </c>
      <c r="B107" t="s">
        <v>27</v>
      </c>
      <c r="C107">
        <v>5</v>
      </c>
      <c r="D107" t="s">
        <v>515</v>
      </c>
    </row>
    <row r="108" spans="1:4" x14ac:dyDescent="0.3">
      <c r="A108" s="3">
        <v>45852</v>
      </c>
      <c r="B108" t="s">
        <v>27</v>
      </c>
      <c r="C108">
        <v>2</v>
      </c>
      <c r="D108" t="s">
        <v>515</v>
      </c>
    </row>
    <row r="109" spans="1:4" x14ac:dyDescent="0.3">
      <c r="A109" s="3">
        <v>45881</v>
      </c>
      <c r="B109" t="s">
        <v>15</v>
      </c>
      <c r="C109">
        <v>3</v>
      </c>
      <c r="D109" t="s">
        <v>515</v>
      </c>
    </row>
    <row r="110" spans="1:4" x14ac:dyDescent="0.3">
      <c r="A110" s="3">
        <v>45878</v>
      </c>
      <c r="B110" t="s">
        <v>9</v>
      </c>
      <c r="C110">
        <v>5</v>
      </c>
      <c r="D110" t="s">
        <v>521</v>
      </c>
    </row>
    <row r="111" spans="1:4" x14ac:dyDescent="0.3">
      <c r="A111" s="3">
        <v>45847</v>
      </c>
      <c r="B111" t="s">
        <v>27</v>
      </c>
      <c r="C111">
        <v>3</v>
      </c>
      <c r="D111" t="s">
        <v>517</v>
      </c>
    </row>
    <row r="112" spans="1:4" x14ac:dyDescent="0.3">
      <c r="A112" s="3">
        <v>45896</v>
      </c>
      <c r="B112" t="s">
        <v>9</v>
      </c>
      <c r="C112">
        <v>5</v>
      </c>
      <c r="D112" t="s">
        <v>518</v>
      </c>
    </row>
    <row r="113" spans="1:4" x14ac:dyDescent="0.3">
      <c r="A113" s="3">
        <v>45880</v>
      </c>
      <c r="B113" t="s">
        <v>15</v>
      </c>
      <c r="C113">
        <v>3</v>
      </c>
      <c r="D113" t="s">
        <v>521</v>
      </c>
    </row>
    <row r="114" spans="1:4" x14ac:dyDescent="0.3">
      <c r="A114" s="3">
        <v>45865</v>
      </c>
      <c r="B114" t="s">
        <v>9</v>
      </c>
      <c r="C114">
        <v>2</v>
      </c>
      <c r="D114" t="s">
        <v>521</v>
      </c>
    </row>
    <row r="115" spans="1:4" x14ac:dyDescent="0.3">
      <c r="A115" s="3">
        <v>45892</v>
      </c>
      <c r="B115" t="s">
        <v>9</v>
      </c>
      <c r="C115">
        <v>4</v>
      </c>
    </row>
    <row r="116" spans="1:4" x14ac:dyDescent="0.3">
      <c r="A116" s="3">
        <v>45868</v>
      </c>
      <c r="B116" t="s">
        <v>27</v>
      </c>
      <c r="C116">
        <v>3</v>
      </c>
      <c r="D116" t="s">
        <v>516</v>
      </c>
    </row>
    <row r="117" spans="1:4" x14ac:dyDescent="0.3">
      <c r="A117" s="3">
        <v>45867</v>
      </c>
      <c r="B117" t="s">
        <v>9</v>
      </c>
      <c r="C117">
        <v>2</v>
      </c>
      <c r="D117" t="s">
        <v>521</v>
      </c>
    </row>
    <row r="118" spans="1:4" x14ac:dyDescent="0.3">
      <c r="A118" s="3">
        <v>45887</v>
      </c>
      <c r="B118" t="s">
        <v>15</v>
      </c>
      <c r="C118">
        <v>2</v>
      </c>
      <c r="D118" t="s">
        <v>521</v>
      </c>
    </row>
    <row r="119" spans="1:4" x14ac:dyDescent="0.3">
      <c r="A119" s="3">
        <v>45887</v>
      </c>
      <c r="B119" t="s">
        <v>9</v>
      </c>
      <c r="C119">
        <v>2</v>
      </c>
    </row>
    <row r="120" spans="1:4" x14ac:dyDescent="0.3">
      <c r="A120" s="3">
        <v>45874</v>
      </c>
      <c r="B120" t="s">
        <v>15</v>
      </c>
      <c r="C120">
        <v>3</v>
      </c>
      <c r="D120" t="s">
        <v>516</v>
      </c>
    </row>
    <row r="121" spans="1:4" x14ac:dyDescent="0.3">
      <c r="A121" s="3">
        <v>45894</v>
      </c>
      <c r="B121" t="s">
        <v>15</v>
      </c>
      <c r="C121">
        <v>4</v>
      </c>
      <c r="D121" t="s">
        <v>515</v>
      </c>
    </row>
    <row r="122" spans="1:4" x14ac:dyDescent="0.3">
      <c r="A122" s="3">
        <v>45884</v>
      </c>
      <c r="B122" t="s">
        <v>27</v>
      </c>
      <c r="C122">
        <v>2</v>
      </c>
      <c r="D122" t="s">
        <v>517</v>
      </c>
    </row>
    <row r="123" spans="1:4" x14ac:dyDescent="0.3">
      <c r="A123" s="3">
        <v>45840</v>
      </c>
      <c r="B123" t="s">
        <v>15</v>
      </c>
      <c r="C123">
        <v>3</v>
      </c>
    </row>
    <row r="124" spans="1:4" x14ac:dyDescent="0.3">
      <c r="A124" s="3">
        <v>45844</v>
      </c>
      <c r="B124" t="s">
        <v>15</v>
      </c>
      <c r="C124">
        <v>4</v>
      </c>
      <c r="D124" t="s">
        <v>516</v>
      </c>
    </row>
    <row r="125" spans="1:4" x14ac:dyDescent="0.3">
      <c r="A125" s="3">
        <v>45880</v>
      </c>
      <c r="B125" t="s">
        <v>9</v>
      </c>
      <c r="C125">
        <v>5</v>
      </c>
      <c r="D125" t="s">
        <v>517</v>
      </c>
    </row>
    <row r="126" spans="1:4" x14ac:dyDescent="0.3">
      <c r="A126" s="3">
        <v>45891</v>
      </c>
      <c r="B126" t="s">
        <v>9</v>
      </c>
      <c r="C126">
        <v>3</v>
      </c>
      <c r="D126" t="s">
        <v>519</v>
      </c>
    </row>
    <row r="127" spans="1:4" x14ac:dyDescent="0.3">
      <c r="A127" s="3">
        <v>45847</v>
      </c>
      <c r="B127" t="s">
        <v>15</v>
      </c>
      <c r="C127">
        <v>2</v>
      </c>
      <c r="D127" t="s">
        <v>521</v>
      </c>
    </row>
    <row r="128" spans="1:4" x14ac:dyDescent="0.3">
      <c r="A128" s="3">
        <v>45854</v>
      </c>
      <c r="B128" t="s">
        <v>9</v>
      </c>
      <c r="C128">
        <v>4</v>
      </c>
      <c r="D128" t="s">
        <v>516</v>
      </c>
    </row>
    <row r="129" spans="1:4" x14ac:dyDescent="0.3">
      <c r="A129" s="3">
        <v>45895</v>
      </c>
      <c r="B129" t="s">
        <v>9</v>
      </c>
      <c r="C129">
        <v>2</v>
      </c>
      <c r="D129" t="s">
        <v>519</v>
      </c>
    </row>
    <row r="130" spans="1:4" x14ac:dyDescent="0.3">
      <c r="A130" s="3">
        <v>45881</v>
      </c>
      <c r="B130" t="s">
        <v>9</v>
      </c>
      <c r="C130">
        <v>3</v>
      </c>
    </row>
    <row r="131" spans="1:4" x14ac:dyDescent="0.3">
      <c r="A131" s="3">
        <v>45862</v>
      </c>
      <c r="B131" t="s">
        <v>27</v>
      </c>
      <c r="C131">
        <v>5</v>
      </c>
      <c r="D131" t="s">
        <v>517</v>
      </c>
    </row>
    <row r="132" spans="1:4" x14ac:dyDescent="0.3">
      <c r="A132" s="3">
        <v>45883</v>
      </c>
      <c r="B132" t="s">
        <v>9</v>
      </c>
      <c r="C132">
        <v>2</v>
      </c>
      <c r="D132" t="s">
        <v>519</v>
      </c>
    </row>
    <row r="133" spans="1:4" x14ac:dyDescent="0.3">
      <c r="A133" s="3">
        <v>45856</v>
      </c>
      <c r="B133" t="s">
        <v>27</v>
      </c>
      <c r="C133">
        <v>2</v>
      </c>
      <c r="D133" t="s">
        <v>515</v>
      </c>
    </row>
    <row r="134" spans="1:4" x14ac:dyDescent="0.3">
      <c r="A134" s="3">
        <v>45840</v>
      </c>
      <c r="B134" t="s">
        <v>27</v>
      </c>
      <c r="C134">
        <v>5</v>
      </c>
      <c r="D134" t="s">
        <v>518</v>
      </c>
    </row>
    <row r="135" spans="1:4" x14ac:dyDescent="0.3">
      <c r="A135" s="3">
        <v>45889</v>
      </c>
      <c r="B135" t="s">
        <v>9</v>
      </c>
      <c r="C135">
        <v>4</v>
      </c>
      <c r="D135" t="s">
        <v>515</v>
      </c>
    </row>
    <row r="136" spans="1:4" x14ac:dyDescent="0.3">
      <c r="A136" s="3">
        <v>45875</v>
      </c>
      <c r="B136" t="s">
        <v>27</v>
      </c>
      <c r="C136">
        <v>4</v>
      </c>
      <c r="D136" t="s">
        <v>517</v>
      </c>
    </row>
    <row r="137" spans="1:4" x14ac:dyDescent="0.3">
      <c r="A137" s="3">
        <v>45841</v>
      </c>
      <c r="B137" t="s">
        <v>15</v>
      </c>
      <c r="C137">
        <v>5</v>
      </c>
      <c r="D137" t="s">
        <v>519</v>
      </c>
    </row>
    <row r="138" spans="1:4" x14ac:dyDescent="0.3">
      <c r="A138" s="3">
        <v>45889</v>
      </c>
      <c r="B138" t="s">
        <v>27</v>
      </c>
      <c r="C138">
        <v>4</v>
      </c>
      <c r="D138" t="s">
        <v>517</v>
      </c>
    </row>
    <row r="139" spans="1:4" x14ac:dyDescent="0.3">
      <c r="A139" s="3">
        <v>45887</v>
      </c>
      <c r="B139" t="s">
        <v>15</v>
      </c>
      <c r="C139">
        <v>4</v>
      </c>
    </row>
    <row r="140" spans="1:4" x14ac:dyDescent="0.3">
      <c r="A140" s="3">
        <v>45887</v>
      </c>
      <c r="B140" t="s">
        <v>9</v>
      </c>
      <c r="C140">
        <v>3</v>
      </c>
      <c r="D140" t="s">
        <v>518</v>
      </c>
    </row>
    <row r="141" spans="1:4" x14ac:dyDescent="0.3">
      <c r="A141" s="3">
        <v>45854</v>
      </c>
      <c r="B141" t="s">
        <v>15</v>
      </c>
      <c r="C141">
        <v>2</v>
      </c>
      <c r="D141" t="s">
        <v>517</v>
      </c>
    </row>
    <row r="142" spans="1:4" x14ac:dyDescent="0.3">
      <c r="A142" s="3">
        <v>45861</v>
      </c>
      <c r="B142" t="s">
        <v>9</v>
      </c>
      <c r="C142">
        <v>2</v>
      </c>
    </row>
    <row r="143" spans="1:4" x14ac:dyDescent="0.3">
      <c r="A143" s="3">
        <v>45840</v>
      </c>
      <c r="B143" t="s">
        <v>27</v>
      </c>
      <c r="C143">
        <v>2</v>
      </c>
      <c r="D143" t="s">
        <v>520</v>
      </c>
    </row>
    <row r="144" spans="1:4" x14ac:dyDescent="0.3">
      <c r="A144" s="3">
        <v>45874</v>
      </c>
      <c r="B144" t="s">
        <v>15</v>
      </c>
      <c r="C144">
        <v>3</v>
      </c>
      <c r="D144" t="s">
        <v>515</v>
      </c>
    </row>
    <row r="145" spans="1:4" x14ac:dyDescent="0.3">
      <c r="A145" s="3">
        <v>45842</v>
      </c>
      <c r="B145" t="s">
        <v>9</v>
      </c>
      <c r="C145">
        <v>5</v>
      </c>
      <c r="D145" t="s">
        <v>521</v>
      </c>
    </row>
    <row r="146" spans="1:4" x14ac:dyDescent="0.3">
      <c r="A146" s="3">
        <v>45870</v>
      </c>
      <c r="B146" t="s">
        <v>27</v>
      </c>
      <c r="C146">
        <v>5</v>
      </c>
      <c r="D146" t="s">
        <v>518</v>
      </c>
    </row>
    <row r="147" spans="1:4" x14ac:dyDescent="0.3">
      <c r="A147" s="3">
        <v>45865</v>
      </c>
      <c r="B147" t="s">
        <v>27</v>
      </c>
      <c r="C147">
        <v>4</v>
      </c>
      <c r="D147" t="s">
        <v>517</v>
      </c>
    </row>
    <row r="148" spans="1:4" x14ac:dyDescent="0.3">
      <c r="A148" s="3">
        <v>45887</v>
      </c>
      <c r="B148" t="s">
        <v>9</v>
      </c>
      <c r="C148">
        <v>2</v>
      </c>
      <c r="D148" t="s">
        <v>515</v>
      </c>
    </row>
    <row r="149" spans="1:4" x14ac:dyDescent="0.3">
      <c r="A149" s="3">
        <v>45860</v>
      </c>
      <c r="B149" t="s">
        <v>9</v>
      </c>
      <c r="C149">
        <v>2</v>
      </c>
      <c r="D149" t="s">
        <v>516</v>
      </c>
    </row>
    <row r="150" spans="1:4" x14ac:dyDescent="0.3">
      <c r="A150" s="3">
        <v>45845</v>
      </c>
      <c r="B150" t="s">
        <v>15</v>
      </c>
      <c r="C150">
        <v>4</v>
      </c>
      <c r="D150" t="s">
        <v>519</v>
      </c>
    </row>
    <row r="151" spans="1:4" x14ac:dyDescent="0.3">
      <c r="A151" s="3">
        <v>45870</v>
      </c>
      <c r="B151" t="s">
        <v>27</v>
      </c>
      <c r="C151">
        <v>5</v>
      </c>
    </row>
    <row r="152" spans="1:4" x14ac:dyDescent="0.3">
      <c r="A152" s="3">
        <v>45874</v>
      </c>
      <c r="B152" t="s">
        <v>27</v>
      </c>
      <c r="C152">
        <v>4</v>
      </c>
      <c r="D152" t="s">
        <v>519</v>
      </c>
    </row>
    <row r="153" spans="1:4" x14ac:dyDescent="0.3">
      <c r="A153" s="3">
        <v>45862</v>
      </c>
      <c r="B153" t="s">
        <v>15</v>
      </c>
      <c r="C153">
        <v>4</v>
      </c>
      <c r="D153" t="s">
        <v>520</v>
      </c>
    </row>
    <row r="154" spans="1:4" x14ac:dyDescent="0.3">
      <c r="A154" s="3">
        <v>45857</v>
      </c>
      <c r="B154" t="s">
        <v>9</v>
      </c>
      <c r="C154">
        <v>3</v>
      </c>
      <c r="D154" t="s">
        <v>515</v>
      </c>
    </row>
    <row r="155" spans="1:4" x14ac:dyDescent="0.3">
      <c r="A155" s="3">
        <v>45839</v>
      </c>
      <c r="B155" t="s">
        <v>15</v>
      </c>
      <c r="C155">
        <v>2</v>
      </c>
      <c r="D155" t="s">
        <v>521</v>
      </c>
    </row>
    <row r="156" spans="1:4" x14ac:dyDescent="0.3">
      <c r="A156" s="3">
        <v>45891</v>
      </c>
      <c r="B156" t="s">
        <v>15</v>
      </c>
      <c r="C156">
        <v>2</v>
      </c>
      <c r="D156" t="s">
        <v>518</v>
      </c>
    </row>
    <row r="157" spans="1:4" x14ac:dyDescent="0.3">
      <c r="A157" s="3">
        <v>45839</v>
      </c>
      <c r="B157" t="s">
        <v>9</v>
      </c>
      <c r="C157">
        <v>5</v>
      </c>
      <c r="D157" t="s">
        <v>519</v>
      </c>
    </row>
    <row r="158" spans="1:4" x14ac:dyDescent="0.3">
      <c r="A158" s="3">
        <v>45849</v>
      </c>
      <c r="B158" t="s">
        <v>27</v>
      </c>
      <c r="C158">
        <v>3</v>
      </c>
      <c r="D158" t="s">
        <v>516</v>
      </c>
    </row>
    <row r="159" spans="1:4" x14ac:dyDescent="0.3">
      <c r="A159" s="3">
        <v>45886</v>
      </c>
      <c r="B159" t="s">
        <v>27</v>
      </c>
      <c r="C159">
        <v>3</v>
      </c>
      <c r="D159" t="s">
        <v>519</v>
      </c>
    </row>
    <row r="160" spans="1:4" x14ac:dyDescent="0.3">
      <c r="A160" s="3">
        <v>45848</v>
      </c>
      <c r="B160" t="s">
        <v>27</v>
      </c>
      <c r="C160">
        <v>3</v>
      </c>
      <c r="D160" t="s">
        <v>516</v>
      </c>
    </row>
    <row r="161" spans="1:4" x14ac:dyDescent="0.3">
      <c r="A161" s="3">
        <v>45875</v>
      </c>
      <c r="B161" t="s">
        <v>15</v>
      </c>
      <c r="C161">
        <v>2</v>
      </c>
      <c r="D161" t="s">
        <v>517</v>
      </c>
    </row>
    <row r="162" spans="1:4" x14ac:dyDescent="0.3">
      <c r="A162" s="3">
        <v>45888</v>
      </c>
      <c r="B162" t="s">
        <v>27</v>
      </c>
      <c r="C162">
        <v>5</v>
      </c>
      <c r="D162" t="s">
        <v>517</v>
      </c>
    </row>
    <row r="163" spans="1:4" x14ac:dyDescent="0.3">
      <c r="A163" s="3">
        <v>45896</v>
      </c>
      <c r="B163" t="s">
        <v>9</v>
      </c>
      <c r="C163">
        <v>2</v>
      </c>
      <c r="D163" t="s">
        <v>516</v>
      </c>
    </row>
    <row r="164" spans="1:4" x14ac:dyDescent="0.3">
      <c r="A164" s="3">
        <v>45851</v>
      </c>
      <c r="B164" t="s">
        <v>27</v>
      </c>
      <c r="C164">
        <v>4</v>
      </c>
      <c r="D164" t="s">
        <v>519</v>
      </c>
    </row>
    <row r="165" spans="1:4" x14ac:dyDescent="0.3">
      <c r="A165" s="3">
        <v>45869</v>
      </c>
      <c r="B165" t="s">
        <v>15</v>
      </c>
      <c r="C165">
        <v>4</v>
      </c>
      <c r="D165" t="s">
        <v>518</v>
      </c>
    </row>
    <row r="166" spans="1:4" x14ac:dyDescent="0.3">
      <c r="A166" s="3">
        <v>45882</v>
      </c>
      <c r="B166" t="s">
        <v>15</v>
      </c>
      <c r="C166">
        <v>3</v>
      </c>
      <c r="D166" t="s">
        <v>517</v>
      </c>
    </row>
    <row r="167" spans="1:4" x14ac:dyDescent="0.3">
      <c r="A167" s="3">
        <v>45858</v>
      </c>
      <c r="B167" t="s">
        <v>27</v>
      </c>
      <c r="C167">
        <v>2</v>
      </c>
      <c r="D167" t="s">
        <v>515</v>
      </c>
    </row>
    <row r="168" spans="1:4" x14ac:dyDescent="0.3">
      <c r="A168" s="3">
        <v>45849</v>
      </c>
      <c r="B168" t="s">
        <v>27</v>
      </c>
      <c r="C168">
        <v>5</v>
      </c>
      <c r="D168" t="s">
        <v>520</v>
      </c>
    </row>
    <row r="169" spans="1:4" x14ac:dyDescent="0.3">
      <c r="A169" s="3">
        <v>45869</v>
      </c>
      <c r="B169" t="s">
        <v>15</v>
      </c>
      <c r="C169">
        <v>2</v>
      </c>
      <c r="D169" t="s">
        <v>518</v>
      </c>
    </row>
    <row r="170" spans="1:4" x14ac:dyDescent="0.3">
      <c r="A170" s="3">
        <v>45859</v>
      </c>
      <c r="B170" t="s">
        <v>15</v>
      </c>
      <c r="C170">
        <v>4</v>
      </c>
      <c r="D170" t="s">
        <v>520</v>
      </c>
    </row>
    <row r="171" spans="1:4" x14ac:dyDescent="0.3">
      <c r="A171" s="3">
        <v>45864</v>
      </c>
      <c r="B171" t="s">
        <v>27</v>
      </c>
      <c r="C171">
        <v>2</v>
      </c>
      <c r="D171" t="s">
        <v>515</v>
      </c>
    </row>
    <row r="172" spans="1:4" x14ac:dyDescent="0.3">
      <c r="A172" s="3">
        <v>45868</v>
      </c>
      <c r="B172" t="s">
        <v>9</v>
      </c>
      <c r="C172">
        <v>2</v>
      </c>
      <c r="D172" t="s">
        <v>521</v>
      </c>
    </row>
    <row r="173" spans="1:4" x14ac:dyDescent="0.3">
      <c r="A173" s="3">
        <v>45870</v>
      </c>
      <c r="B173" t="s">
        <v>27</v>
      </c>
      <c r="C173">
        <v>2</v>
      </c>
      <c r="D173" t="s">
        <v>521</v>
      </c>
    </row>
    <row r="174" spans="1:4" x14ac:dyDescent="0.3">
      <c r="A174" s="3">
        <v>45873</v>
      </c>
      <c r="B174" t="s">
        <v>15</v>
      </c>
      <c r="C174">
        <v>2</v>
      </c>
      <c r="D174" t="s">
        <v>519</v>
      </c>
    </row>
    <row r="175" spans="1:4" x14ac:dyDescent="0.3">
      <c r="A175" s="3">
        <v>45864</v>
      </c>
      <c r="B175" t="s">
        <v>27</v>
      </c>
      <c r="C175">
        <v>2</v>
      </c>
      <c r="D175" t="s">
        <v>516</v>
      </c>
    </row>
    <row r="176" spans="1:4" x14ac:dyDescent="0.3">
      <c r="A176" s="3">
        <v>45882</v>
      </c>
      <c r="B176" t="s">
        <v>9</v>
      </c>
      <c r="C176">
        <v>3</v>
      </c>
      <c r="D176" t="s">
        <v>517</v>
      </c>
    </row>
    <row r="177" spans="1:4" x14ac:dyDescent="0.3">
      <c r="A177" s="3">
        <v>45883</v>
      </c>
      <c r="B177" t="s">
        <v>27</v>
      </c>
      <c r="C177">
        <v>3</v>
      </c>
      <c r="D177" t="s">
        <v>517</v>
      </c>
    </row>
    <row r="178" spans="1:4" x14ac:dyDescent="0.3">
      <c r="A178" s="3">
        <v>45840</v>
      </c>
      <c r="B178" t="s">
        <v>27</v>
      </c>
      <c r="C178">
        <v>3</v>
      </c>
      <c r="D178" t="s">
        <v>515</v>
      </c>
    </row>
    <row r="179" spans="1:4" x14ac:dyDescent="0.3">
      <c r="A179" s="3">
        <v>45858</v>
      </c>
      <c r="B179" t="s">
        <v>15</v>
      </c>
      <c r="C179">
        <v>4</v>
      </c>
      <c r="D179" t="s">
        <v>517</v>
      </c>
    </row>
    <row r="180" spans="1:4" x14ac:dyDescent="0.3">
      <c r="A180" s="3">
        <v>45895</v>
      </c>
      <c r="B180" t="s">
        <v>9</v>
      </c>
      <c r="C180">
        <v>4</v>
      </c>
      <c r="D180" t="s">
        <v>517</v>
      </c>
    </row>
    <row r="181" spans="1:4" x14ac:dyDescent="0.3">
      <c r="A181" s="3">
        <v>45841</v>
      </c>
      <c r="B181" t="s">
        <v>27</v>
      </c>
      <c r="C181">
        <v>3</v>
      </c>
      <c r="D181" t="s">
        <v>520</v>
      </c>
    </row>
    <row r="182" spans="1:4" x14ac:dyDescent="0.3">
      <c r="A182" s="3">
        <v>45851</v>
      </c>
      <c r="B182" t="s">
        <v>27</v>
      </c>
      <c r="C182">
        <v>4</v>
      </c>
      <c r="D182" t="s">
        <v>517</v>
      </c>
    </row>
    <row r="183" spans="1:4" x14ac:dyDescent="0.3">
      <c r="A183" s="3">
        <v>45843</v>
      </c>
      <c r="B183" t="s">
        <v>15</v>
      </c>
      <c r="C183">
        <v>2</v>
      </c>
      <c r="D183" t="s">
        <v>515</v>
      </c>
    </row>
    <row r="184" spans="1:4" x14ac:dyDescent="0.3">
      <c r="A184" s="3">
        <v>45894</v>
      </c>
      <c r="B184" t="s">
        <v>15</v>
      </c>
      <c r="C184">
        <v>5</v>
      </c>
      <c r="D184" t="s">
        <v>520</v>
      </c>
    </row>
    <row r="185" spans="1:4" x14ac:dyDescent="0.3">
      <c r="A185" s="3">
        <v>45841</v>
      </c>
      <c r="B185" t="s">
        <v>15</v>
      </c>
      <c r="C185">
        <v>5</v>
      </c>
      <c r="D185" t="s">
        <v>515</v>
      </c>
    </row>
    <row r="186" spans="1:4" x14ac:dyDescent="0.3">
      <c r="A186" s="3">
        <v>45873</v>
      </c>
      <c r="B186" t="s">
        <v>27</v>
      </c>
      <c r="C186">
        <v>3</v>
      </c>
      <c r="D186" t="s">
        <v>519</v>
      </c>
    </row>
    <row r="187" spans="1:4" x14ac:dyDescent="0.3">
      <c r="A187" s="3">
        <v>45866</v>
      </c>
      <c r="B187" t="s">
        <v>15</v>
      </c>
      <c r="C187">
        <v>3</v>
      </c>
    </row>
    <row r="188" spans="1:4" x14ac:dyDescent="0.3">
      <c r="A188" s="3">
        <v>45862</v>
      </c>
      <c r="B188" t="s">
        <v>9</v>
      </c>
      <c r="C188">
        <v>4</v>
      </c>
      <c r="D188" t="s">
        <v>520</v>
      </c>
    </row>
    <row r="189" spans="1:4" x14ac:dyDescent="0.3">
      <c r="A189" s="3">
        <v>45879</v>
      </c>
      <c r="B189" t="s">
        <v>9</v>
      </c>
      <c r="C189">
        <v>5</v>
      </c>
    </row>
    <row r="190" spans="1:4" x14ac:dyDescent="0.3">
      <c r="A190" s="3">
        <v>45847</v>
      </c>
      <c r="B190" t="s">
        <v>15</v>
      </c>
      <c r="C190">
        <v>5</v>
      </c>
      <c r="D190" t="s">
        <v>515</v>
      </c>
    </row>
    <row r="191" spans="1:4" x14ac:dyDescent="0.3">
      <c r="A191" s="3">
        <v>45879</v>
      </c>
      <c r="B191" t="s">
        <v>27</v>
      </c>
      <c r="C191">
        <v>3</v>
      </c>
    </row>
    <row r="192" spans="1:4" x14ac:dyDescent="0.3">
      <c r="A192" s="3">
        <v>45876</v>
      </c>
      <c r="B192" t="s">
        <v>9</v>
      </c>
      <c r="C192">
        <v>4</v>
      </c>
      <c r="D192" t="s">
        <v>520</v>
      </c>
    </row>
    <row r="193" spans="1:4" x14ac:dyDescent="0.3">
      <c r="A193" s="3">
        <v>45891</v>
      </c>
      <c r="B193" t="s">
        <v>15</v>
      </c>
      <c r="C193">
        <v>4</v>
      </c>
      <c r="D193" t="s">
        <v>518</v>
      </c>
    </row>
    <row r="194" spans="1:4" x14ac:dyDescent="0.3">
      <c r="A194" s="3">
        <v>45876</v>
      </c>
      <c r="B194" t="s">
        <v>15</v>
      </c>
      <c r="C194">
        <v>3</v>
      </c>
    </row>
    <row r="195" spans="1:4" x14ac:dyDescent="0.3">
      <c r="A195" s="3">
        <v>45869</v>
      </c>
      <c r="B195" t="s">
        <v>9</v>
      </c>
      <c r="C195">
        <v>3</v>
      </c>
    </row>
    <row r="196" spans="1:4" x14ac:dyDescent="0.3">
      <c r="A196" s="3">
        <v>45866</v>
      </c>
      <c r="B196" t="s">
        <v>27</v>
      </c>
      <c r="C196">
        <v>5</v>
      </c>
      <c r="D196" t="s">
        <v>518</v>
      </c>
    </row>
    <row r="197" spans="1:4" x14ac:dyDescent="0.3">
      <c r="A197" s="3">
        <v>45895</v>
      </c>
      <c r="B197" t="s">
        <v>27</v>
      </c>
      <c r="C197">
        <v>3</v>
      </c>
      <c r="D197" t="s">
        <v>517</v>
      </c>
    </row>
    <row r="198" spans="1:4" x14ac:dyDescent="0.3">
      <c r="A198" s="3">
        <v>45863</v>
      </c>
      <c r="B198" t="s">
        <v>9</v>
      </c>
      <c r="C198">
        <v>3</v>
      </c>
      <c r="D198" t="s">
        <v>519</v>
      </c>
    </row>
    <row r="199" spans="1:4" x14ac:dyDescent="0.3">
      <c r="A199" s="3">
        <v>45890</v>
      </c>
      <c r="B199" t="s">
        <v>9</v>
      </c>
      <c r="C199">
        <v>2</v>
      </c>
      <c r="D199" t="s">
        <v>521</v>
      </c>
    </row>
    <row r="200" spans="1:4" x14ac:dyDescent="0.3">
      <c r="A200" s="3">
        <v>45894</v>
      </c>
      <c r="B200" t="s">
        <v>15</v>
      </c>
      <c r="C200">
        <v>4</v>
      </c>
      <c r="D200" t="s">
        <v>515</v>
      </c>
    </row>
    <row r="201" spans="1:4" x14ac:dyDescent="0.3">
      <c r="A201" s="3">
        <v>45856</v>
      </c>
      <c r="B201" t="s">
        <v>27</v>
      </c>
      <c r="C201">
        <v>4</v>
      </c>
      <c r="D201" t="s">
        <v>518</v>
      </c>
    </row>
    <row r="202" spans="1:4" x14ac:dyDescent="0.3">
      <c r="A202" s="3">
        <v>45896</v>
      </c>
      <c r="B202" t="s">
        <v>27</v>
      </c>
      <c r="C202">
        <v>4</v>
      </c>
      <c r="D202" t="s">
        <v>515</v>
      </c>
    </row>
    <row r="203" spans="1:4" x14ac:dyDescent="0.3">
      <c r="A203" s="3">
        <v>45893</v>
      </c>
      <c r="B203" t="s">
        <v>27</v>
      </c>
      <c r="C203">
        <v>5</v>
      </c>
      <c r="D203" t="s">
        <v>519</v>
      </c>
    </row>
    <row r="204" spans="1:4" x14ac:dyDescent="0.3">
      <c r="A204" s="3">
        <v>45856</v>
      </c>
      <c r="B204" t="s">
        <v>15</v>
      </c>
      <c r="C204">
        <v>2</v>
      </c>
      <c r="D204" t="s">
        <v>517</v>
      </c>
    </row>
    <row r="205" spans="1:4" x14ac:dyDescent="0.3">
      <c r="A205" s="3">
        <v>45844</v>
      </c>
      <c r="B205" t="s">
        <v>27</v>
      </c>
      <c r="C205">
        <v>3</v>
      </c>
    </row>
    <row r="206" spans="1:4" x14ac:dyDescent="0.3">
      <c r="A206" s="3">
        <v>45890</v>
      </c>
      <c r="B206" t="s">
        <v>15</v>
      </c>
      <c r="C206">
        <v>2</v>
      </c>
      <c r="D206" t="s">
        <v>518</v>
      </c>
    </row>
    <row r="207" spans="1:4" x14ac:dyDescent="0.3">
      <c r="A207" s="3">
        <v>45858</v>
      </c>
      <c r="B207" t="s">
        <v>27</v>
      </c>
      <c r="C207">
        <v>4</v>
      </c>
      <c r="D207" t="s">
        <v>515</v>
      </c>
    </row>
    <row r="208" spans="1:4" x14ac:dyDescent="0.3">
      <c r="A208" s="3">
        <v>45870</v>
      </c>
      <c r="B208" t="s">
        <v>27</v>
      </c>
      <c r="C208">
        <v>2</v>
      </c>
      <c r="D208" t="s">
        <v>515</v>
      </c>
    </row>
    <row r="209" spans="1:4" x14ac:dyDescent="0.3">
      <c r="A209" s="3">
        <v>45895</v>
      </c>
      <c r="B209" t="s">
        <v>9</v>
      </c>
      <c r="C209">
        <v>3</v>
      </c>
      <c r="D209" t="s">
        <v>517</v>
      </c>
    </row>
    <row r="210" spans="1:4" x14ac:dyDescent="0.3">
      <c r="A210" s="3">
        <v>45890</v>
      </c>
      <c r="B210" t="s">
        <v>15</v>
      </c>
      <c r="C210">
        <v>2</v>
      </c>
      <c r="D210" t="s">
        <v>518</v>
      </c>
    </row>
    <row r="211" spans="1:4" x14ac:dyDescent="0.3">
      <c r="A211" s="3">
        <v>45877</v>
      </c>
      <c r="B211" t="s">
        <v>9</v>
      </c>
      <c r="C211">
        <v>2</v>
      </c>
      <c r="D211" t="s">
        <v>518</v>
      </c>
    </row>
    <row r="212" spans="1:4" x14ac:dyDescent="0.3">
      <c r="A212" s="3">
        <v>45868</v>
      </c>
      <c r="B212" t="s">
        <v>15</v>
      </c>
      <c r="C212">
        <v>3</v>
      </c>
      <c r="D212" t="s">
        <v>515</v>
      </c>
    </row>
    <row r="213" spans="1:4" x14ac:dyDescent="0.3">
      <c r="A213" s="3">
        <v>45881</v>
      </c>
      <c r="B213" t="s">
        <v>9</v>
      </c>
      <c r="C213">
        <v>5</v>
      </c>
      <c r="D213" t="s">
        <v>518</v>
      </c>
    </row>
    <row r="214" spans="1:4" x14ac:dyDescent="0.3">
      <c r="A214" s="3">
        <v>45855</v>
      </c>
      <c r="B214" t="s">
        <v>9</v>
      </c>
      <c r="C214">
        <v>4</v>
      </c>
      <c r="D214" t="s">
        <v>521</v>
      </c>
    </row>
    <row r="215" spans="1:4" x14ac:dyDescent="0.3">
      <c r="A215" s="3">
        <v>45896</v>
      </c>
      <c r="B215" t="s">
        <v>27</v>
      </c>
      <c r="C215">
        <v>5</v>
      </c>
      <c r="D215" t="s">
        <v>519</v>
      </c>
    </row>
    <row r="216" spans="1:4" x14ac:dyDescent="0.3">
      <c r="A216" s="3">
        <v>45867</v>
      </c>
      <c r="B216" t="s">
        <v>27</v>
      </c>
      <c r="C216">
        <v>3</v>
      </c>
    </row>
    <row r="217" spans="1:4" x14ac:dyDescent="0.3">
      <c r="A217" s="3">
        <v>45894</v>
      </c>
      <c r="B217" t="s">
        <v>15</v>
      </c>
      <c r="C217">
        <v>2</v>
      </c>
      <c r="D217" t="s">
        <v>515</v>
      </c>
    </row>
    <row r="218" spans="1:4" x14ac:dyDescent="0.3">
      <c r="A218" s="3">
        <v>45897</v>
      </c>
      <c r="B218" t="s">
        <v>15</v>
      </c>
      <c r="C218">
        <v>3</v>
      </c>
      <c r="D218" t="s">
        <v>517</v>
      </c>
    </row>
    <row r="219" spans="1:4" x14ac:dyDescent="0.3">
      <c r="A219" s="3">
        <v>45887</v>
      </c>
      <c r="B219" t="s">
        <v>27</v>
      </c>
      <c r="C219">
        <v>4</v>
      </c>
      <c r="D219" t="s">
        <v>517</v>
      </c>
    </row>
    <row r="220" spans="1:4" x14ac:dyDescent="0.3">
      <c r="A220" s="3">
        <v>45862</v>
      </c>
      <c r="B220" t="s">
        <v>15</v>
      </c>
      <c r="C220">
        <v>4</v>
      </c>
      <c r="D220" t="s">
        <v>515</v>
      </c>
    </row>
    <row r="221" spans="1:4" x14ac:dyDescent="0.3">
      <c r="A221" s="3">
        <v>45847</v>
      </c>
      <c r="B221" t="s">
        <v>9</v>
      </c>
      <c r="C221">
        <v>4</v>
      </c>
      <c r="D22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OrderLines</vt:lpstr>
      <vt:lpstr>Menu</vt:lpstr>
      <vt:lpstr>Staff</vt:lpstr>
      <vt:lpstr>Inventory</vt:lpstr>
      <vt:lpstr>Suppliers</vt:lpstr>
      <vt:lpstr>WasteLog</vt:lpstr>
      <vt:lpstr>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lastModifiedBy>Sayan Saha</cp:lastModifiedBy>
  <dcterms:created xsi:type="dcterms:W3CDTF">2026-06-17T12:42:05Z</dcterms:created>
  <dcterms:modified xsi:type="dcterms:W3CDTF">2026-06-18T05:42:33Z</dcterms:modified>
</cp:coreProperties>
</file>