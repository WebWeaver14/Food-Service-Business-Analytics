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 (IVY)/Day 7 Task/"/>
    </mc:Choice>
  </mc:AlternateContent>
  <xr:revisionPtr revIDLastSave="7" documentId="8_{3F5C5301-966D-4F2B-9DCE-FE55C9D8E021}" xr6:coauthVersionLast="47" xr6:coauthVersionMax="47" xr10:uidLastSave="{19235A05-3312-472C-93C4-0DDB09D28A07}"/>
  <bookViews>
    <workbookView xWindow="-108" yWindow="-108" windowWidth="23256" windowHeight="12456" firstSheet="10" activeTab="13" xr2:uid="{AB70DA44-5AC3-47E7-8979-50359B0C1B0D}"/>
  </bookViews>
  <sheets>
    <sheet name="Orders" sheetId="1" r:id="rId1"/>
    <sheet name="OrderLines" sheetId="2" r:id="rId2"/>
    <sheet name="OrdersCalc" sheetId="15" r:id="rId3"/>
    <sheet name="Menu" sheetId="3" r:id="rId4"/>
    <sheet name="Staff" sheetId="4" r:id="rId5"/>
    <sheet name="Inventory" sheetId="5" r:id="rId6"/>
    <sheet name="Suppliers" sheetId="6" r:id="rId7"/>
    <sheet name="WasteLog" sheetId="7" r:id="rId8"/>
    <sheet name="Feedback" sheetId="8" r:id="rId9"/>
    <sheet name="KPI Calculations (Day 2)" sheetId="9" r:id="rId10"/>
    <sheet name="Gross Margin Analysis (Day 4 )" sheetId="11" r:id="rId11"/>
    <sheet name="Daily Performance (Day 5)" sheetId="12" r:id="rId12"/>
    <sheet name="Dynamic Value Retrieval (Day 6)" sheetId="13" r:id="rId13"/>
    <sheet name="Dashboard 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4" l="1"/>
  <c r="D26" i="14" s="1"/>
  <c r="B64" i="14"/>
  <c r="B61" i="14"/>
  <c r="B60" i="14"/>
  <c r="C33" i="14"/>
  <c r="C34" i="14"/>
  <c r="C32" i="14"/>
  <c r="B33" i="14"/>
  <c r="B34" i="14"/>
  <c r="B32" i="14"/>
  <c r="C26" i="14"/>
  <c r="C27" i="14"/>
  <c r="C25" i="14"/>
  <c r="B27" i="14"/>
  <c r="B25" i="14"/>
  <c r="C20" i="14"/>
  <c r="C19" i="14"/>
  <c r="C18" i="14"/>
  <c r="C17" i="14"/>
  <c r="B20" i="14"/>
  <c r="B19" i="14"/>
  <c r="B18" i="14"/>
  <c r="B17" i="14"/>
  <c r="B12" i="14"/>
  <c r="B11" i="14"/>
  <c r="B9" i="14"/>
  <c r="B10" i="14" s="1"/>
  <c r="L4" i="15"/>
  <c r="L3" i="15"/>
  <c r="L5" i="15"/>
  <c r="L6" i="15"/>
  <c r="L7" i="15"/>
  <c r="L8" i="15"/>
  <c r="L9" i="15"/>
  <c r="L10" i="15"/>
  <c r="L11" i="15"/>
  <c r="L12" i="15"/>
  <c r="L13" i="15"/>
  <c r="L14" i="15"/>
  <c r="L15" i="15"/>
  <c r="L16" i="15"/>
  <c r="L2" i="15"/>
  <c r="I3" i="15"/>
  <c r="I362" i="15"/>
  <c r="A15" i="15"/>
  <c r="B15" i="15"/>
  <c r="C15" i="15"/>
  <c r="D15" i="15"/>
  <c r="E15" i="15"/>
  <c r="F15" i="15"/>
  <c r="G15" i="15"/>
  <c r="H15" i="15" s="1"/>
  <c r="I15" i="15"/>
  <c r="A16" i="15"/>
  <c r="B16" i="15"/>
  <c r="C16" i="15"/>
  <c r="D16" i="15"/>
  <c r="E16" i="15"/>
  <c r="F16" i="15"/>
  <c r="I16" i="15"/>
  <c r="A17" i="15"/>
  <c r="B17" i="15"/>
  <c r="C17" i="15"/>
  <c r="D17" i="15"/>
  <c r="E17" i="15"/>
  <c r="G17" i="15" s="1"/>
  <c r="H17" i="15" s="1"/>
  <c r="F17" i="15"/>
  <c r="I17" i="15"/>
  <c r="A18" i="15"/>
  <c r="B18" i="15"/>
  <c r="C18" i="15"/>
  <c r="D18" i="15"/>
  <c r="E18" i="15"/>
  <c r="F18" i="15"/>
  <c r="G18" i="15" s="1"/>
  <c r="H18" i="15" s="1"/>
  <c r="I18" i="15"/>
  <c r="A19" i="15"/>
  <c r="B19" i="15"/>
  <c r="C19" i="15"/>
  <c r="D19" i="15"/>
  <c r="E19" i="15"/>
  <c r="G19" i="15" s="1"/>
  <c r="H19" i="15" s="1"/>
  <c r="F19" i="15"/>
  <c r="I19" i="15"/>
  <c r="A20" i="15"/>
  <c r="F20" i="15" s="1"/>
  <c r="B20" i="15"/>
  <c r="C20" i="15"/>
  <c r="D20" i="15"/>
  <c r="E20" i="15"/>
  <c r="A21" i="15"/>
  <c r="F21" i="15" s="1"/>
  <c r="G21" i="15" s="1"/>
  <c r="H21" i="15" s="1"/>
  <c r="B21" i="15"/>
  <c r="C21" i="15"/>
  <c r="D21" i="15"/>
  <c r="E21" i="15"/>
  <c r="I21" i="15"/>
  <c r="A22" i="15"/>
  <c r="B22" i="15"/>
  <c r="C22" i="15"/>
  <c r="D22" i="15"/>
  <c r="E22" i="15"/>
  <c r="F22" i="15"/>
  <c r="G22" i="15"/>
  <c r="H22" i="15"/>
  <c r="I22" i="15"/>
  <c r="A23" i="15"/>
  <c r="B23" i="15"/>
  <c r="C23" i="15"/>
  <c r="D23" i="15"/>
  <c r="E23" i="15"/>
  <c r="F23" i="15"/>
  <c r="G23" i="15"/>
  <c r="H23" i="15" s="1"/>
  <c r="I23" i="15"/>
  <c r="A24" i="15"/>
  <c r="B24" i="15"/>
  <c r="C24" i="15"/>
  <c r="D24" i="15"/>
  <c r="E24" i="15"/>
  <c r="G24" i="15" s="1"/>
  <c r="H24" i="15" s="1"/>
  <c r="F24" i="15"/>
  <c r="I24" i="15"/>
  <c r="A25" i="15"/>
  <c r="B25" i="15"/>
  <c r="C25" i="15"/>
  <c r="D25" i="15"/>
  <c r="E25" i="15"/>
  <c r="G25" i="15" s="1"/>
  <c r="H25" i="15" s="1"/>
  <c r="F25" i="15"/>
  <c r="I25" i="15"/>
  <c r="A26" i="15"/>
  <c r="B26" i="15"/>
  <c r="C26" i="15"/>
  <c r="D26" i="15"/>
  <c r="E26" i="15"/>
  <c r="F26" i="15"/>
  <c r="G26" i="15"/>
  <c r="H26" i="15" s="1"/>
  <c r="I26" i="15"/>
  <c r="A27" i="15"/>
  <c r="B27" i="15"/>
  <c r="C27" i="15"/>
  <c r="D27" i="15"/>
  <c r="E27" i="15"/>
  <c r="G27" i="15" s="1"/>
  <c r="H27" i="15" s="1"/>
  <c r="F27" i="15"/>
  <c r="I27" i="15"/>
  <c r="A28" i="15"/>
  <c r="F28" i="15" s="1"/>
  <c r="B28" i="15"/>
  <c r="C28" i="15"/>
  <c r="D28" i="15"/>
  <c r="E28" i="15"/>
  <c r="A29" i="15"/>
  <c r="F29" i="15" s="1"/>
  <c r="G29" i="15" s="1"/>
  <c r="H29" i="15" s="1"/>
  <c r="B29" i="15"/>
  <c r="C29" i="15"/>
  <c r="D29" i="15"/>
  <c r="E29" i="15"/>
  <c r="A30" i="15"/>
  <c r="B30" i="15"/>
  <c r="C30" i="15"/>
  <c r="D30" i="15"/>
  <c r="E30" i="15"/>
  <c r="F30" i="15"/>
  <c r="G30" i="15"/>
  <c r="H30" i="15" s="1"/>
  <c r="I30" i="15"/>
  <c r="A31" i="15"/>
  <c r="B31" i="15"/>
  <c r="C31" i="15"/>
  <c r="D31" i="15"/>
  <c r="E31" i="15"/>
  <c r="F31" i="15"/>
  <c r="G31" i="15" s="1"/>
  <c r="H31" i="15" s="1"/>
  <c r="I31" i="15"/>
  <c r="A32" i="15"/>
  <c r="B32" i="15"/>
  <c r="C32" i="15"/>
  <c r="D32" i="15"/>
  <c r="E32" i="15"/>
  <c r="F32" i="15"/>
  <c r="I32" i="15"/>
  <c r="A33" i="15"/>
  <c r="B33" i="15"/>
  <c r="C33" i="15"/>
  <c r="D33" i="15"/>
  <c r="E33" i="15"/>
  <c r="G33" i="15" s="1"/>
  <c r="H33" i="15" s="1"/>
  <c r="F33" i="15"/>
  <c r="I33" i="15"/>
  <c r="A34" i="15"/>
  <c r="B34" i="15"/>
  <c r="C34" i="15"/>
  <c r="D34" i="15"/>
  <c r="E34" i="15"/>
  <c r="F34" i="15"/>
  <c r="G34" i="15"/>
  <c r="H34" i="15" s="1"/>
  <c r="I34" i="15"/>
  <c r="A35" i="15"/>
  <c r="B35" i="15"/>
  <c r="C35" i="15"/>
  <c r="D35" i="15"/>
  <c r="E35" i="15"/>
  <c r="G35" i="15" s="1"/>
  <c r="H35" i="15" s="1"/>
  <c r="F35" i="15"/>
  <c r="I35" i="15"/>
  <c r="A36" i="15"/>
  <c r="F36" i="15" s="1"/>
  <c r="B36" i="15"/>
  <c r="C36" i="15"/>
  <c r="D36" i="15"/>
  <c r="E36" i="15"/>
  <c r="G36" i="15" s="1"/>
  <c r="H36" i="15" s="1"/>
  <c r="A37" i="15"/>
  <c r="F37" i="15" s="1"/>
  <c r="G37" i="15" s="1"/>
  <c r="H37" i="15" s="1"/>
  <c r="B37" i="15"/>
  <c r="C37" i="15"/>
  <c r="D37" i="15"/>
  <c r="E37" i="15"/>
  <c r="I37" i="15"/>
  <c r="A38" i="15"/>
  <c r="B38" i="15"/>
  <c r="C38" i="15"/>
  <c r="D38" i="15"/>
  <c r="E38" i="15"/>
  <c r="F38" i="15"/>
  <c r="G38" i="15"/>
  <c r="H38" i="15"/>
  <c r="I38" i="15"/>
  <c r="A39" i="15"/>
  <c r="B39" i="15"/>
  <c r="C39" i="15"/>
  <c r="D39" i="15"/>
  <c r="E39" i="15"/>
  <c r="F39" i="15"/>
  <c r="G39" i="15"/>
  <c r="H39" i="15" s="1"/>
  <c r="I39" i="15"/>
  <c r="A40" i="15"/>
  <c r="B40" i="15"/>
  <c r="C40" i="15"/>
  <c r="D40" i="15"/>
  <c r="E40" i="15"/>
  <c r="F40" i="15"/>
  <c r="I40" i="15"/>
  <c r="A41" i="15"/>
  <c r="B41" i="15"/>
  <c r="C41" i="15"/>
  <c r="D41" i="15"/>
  <c r="E41" i="15"/>
  <c r="G41" i="15" s="1"/>
  <c r="H41" i="15" s="1"/>
  <c r="F41" i="15"/>
  <c r="I41" i="15"/>
  <c r="A42" i="15"/>
  <c r="B42" i="15"/>
  <c r="C42" i="15"/>
  <c r="D42" i="15"/>
  <c r="E42" i="15"/>
  <c r="F42" i="15"/>
  <c r="G42" i="15"/>
  <c r="H42" i="15" s="1"/>
  <c r="I42" i="15"/>
  <c r="A43" i="15"/>
  <c r="B43" i="15"/>
  <c r="C43" i="15"/>
  <c r="D43" i="15"/>
  <c r="E43" i="15"/>
  <c r="G43" i="15" s="1"/>
  <c r="H43" i="15" s="1"/>
  <c r="F43" i="15"/>
  <c r="I43" i="15"/>
  <c r="A44" i="15"/>
  <c r="F44" i="15" s="1"/>
  <c r="B44" i="15"/>
  <c r="C44" i="15"/>
  <c r="D44" i="15"/>
  <c r="E44" i="15"/>
  <c r="A45" i="15"/>
  <c r="F45" i="15" s="1"/>
  <c r="G45" i="15" s="1"/>
  <c r="B45" i="15"/>
  <c r="C45" i="15"/>
  <c r="D45" i="15"/>
  <c r="E45" i="15"/>
  <c r="H45" i="15"/>
  <c r="A46" i="15"/>
  <c r="B46" i="15"/>
  <c r="C46" i="15"/>
  <c r="D46" i="15"/>
  <c r="E46" i="15"/>
  <c r="F46" i="15"/>
  <c r="G46" i="15"/>
  <c r="H46" i="15" s="1"/>
  <c r="I46" i="15"/>
  <c r="A47" i="15"/>
  <c r="B47" i="15"/>
  <c r="C47" i="15"/>
  <c r="D47" i="15"/>
  <c r="E47" i="15"/>
  <c r="F47" i="15"/>
  <c r="G47" i="15" s="1"/>
  <c r="H47" i="15" s="1"/>
  <c r="I47" i="15"/>
  <c r="A48" i="15"/>
  <c r="B48" i="15"/>
  <c r="C48" i="15"/>
  <c r="D48" i="15"/>
  <c r="E48" i="15"/>
  <c r="F48" i="15"/>
  <c r="I48" i="15"/>
  <c r="A49" i="15"/>
  <c r="B49" i="15"/>
  <c r="C49" i="15"/>
  <c r="D49" i="15"/>
  <c r="E49" i="15"/>
  <c r="G49" i="15" s="1"/>
  <c r="H49" i="15" s="1"/>
  <c r="F49" i="15"/>
  <c r="I49" i="15"/>
  <c r="A50" i="15"/>
  <c r="B50" i="15"/>
  <c r="C50" i="15"/>
  <c r="D50" i="15"/>
  <c r="E50" i="15"/>
  <c r="F50" i="15"/>
  <c r="G50" i="15"/>
  <c r="H50" i="15" s="1"/>
  <c r="I50" i="15"/>
  <c r="A51" i="15"/>
  <c r="B51" i="15"/>
  <c r="C51" i="15"/>
  <c r="D51" i="15"/>
  <c r="E51" i="15"/>
  <c r="G51" i="15" s="1"/>
  <c r="H51" i="15" s="1"/>
  <c r="F51" i="15"/>
  <c r="I51" i="15"/>
  <c r="A52" i="15"/>
  <c r="F52" i="15" s="1"/>
  <c r="B52" i="15"/>
  <c r="C52" i="15"/>
  <c r="D52" i="15"/>
  <c r="E52" i="15"/>
  <c r="A53" i="15"/>
  <c r="F53" i="15" s="1"/>
  <c r="G53" i="15" s="1"/>
  <c r="H53" i="15" s="1"/>
  <c r="B53" i="15"/>
  <c r="C53" i="15"/>
  <c r="D53" i="15"/>
  <c r="E53" i="15"/>
  <c r="A54" i="15"/>
  <c r="B54" i="15"/>
  <c r="C54" i="15"/>
  <c r="D54" i="15"/>
  <c r="E54" i="15"/>
  <c r="F54" i="15"/>
  <c r="G54" i="15"/>
  <c r="H54" i="15" s="1"/>
  <c r="I54" i="15"/>
  <c r="A55" i="15"/>
  <c r="B55" i="15"/>
  <c r="C55" i="15"/>
  <c r="D55" i="15"/>
  <c r="E55" i="15"/>
  <c r="F55" i="15"/>
  <c r="G55" i="15" s="1"/>
  <c r="H55" i="15" s="1"/>
  <c r="I55" i="15"/>
  <c r="A56" i="15"/>
  <c r="B56" i="15"/>
  <c r="C56" i="15"/>
  <c r="D56" i="15"/>
  <c r="E56" i="15"/>
  <c r="G56" i="15" s="1"/>
  <c r="H56" i="15" s="1"/>
  <c r="F56" i="15"/>
  <c r="I56" i="15"/>
  <c r="A57" i="15"/>
  <c r="B57" i="15"/>
  <c r="C57" i="15"/>
  <c r="D57" i="15"/>
  <c r="E57" i="15"/>
  <c r="G57" i="15" s="1"/>
  <c r="H57" i="15" s="1"/>
  <c r="F57" i="15"/>
  <c r="I57" i="15"/>
  <c r="A58" i="15"/>
  <c r="B58" i="15"/>
  <c r="C58" i="15"/>
  <c r="D58" i="15"/>
  <c r="E58" i="15"/>
  <c r="F58" i="15"/>
  <c r="G58" i="15"/>
  <c r="H58" i="15" s="1"/>
  <c r="I58" i="15"/>
  <c r="A59" i="15"/>
  <c r="B59" i="15"/>
  <c r="C59" i="15"/>
  <c r="D59" i="15"/>
  <c r="E59" i="15"/>
  <c r="G59" i="15" s="1"/>
  <c r="H59" i="15" s="1"/>
  <c r="F59" i="15"/>
  <c r="I59" i="15"/>
  <c r="A60" i="15"/>
  <c r="F60" i="15" s="1"/>
  <c r="B60" i="15"/>
  <c r="C60" i="15"/>
  <c r="D60" i="15"/>
  <c r="E60" i="15"/>
  <c r="I60" i="15"/>
  <c r="A61" i="15"/>
  <c r="F61" i="15" s="1"/>
  <c r="G61" i="15" s="1"/>
  <c r="B61" i="15"/>
  <c r="C61" i="15"/>
  <c r="D61" i="15"/>
  <c r="E61" i="15"/>
  <c r="H61" i="15"/>
  <c r="I61" i="15"/>
  <c r="A62" i="15"/>
  <c r="B62" i="15"/>
  <c r="C62" i="15"/>
  <c r="D62" i="15"/>
  <c r="E62" i="15"/>
  <c r="F62" i="15"/>
  <c r="G62" i="15"/>
  <c r="H62" i="15" s="1"/>
  <c r="I62" i="15"/>
  <c r="A63" i="15"/>
  <c r="B63" i="15"/>
  <c r="C63" i="15"/>
  <c r="D63" i="15"/>
  <c r="E63" i="15"/>
  <c r="F63" i="15"/>
  <c r="G63" i="15" s="1"/>
  <c r="H63" i="15" s="1"/>
  <c r="I63" i="15"/>
  <c r="A64" i="15"/>
  <c r="B64" i="15"/>
  <c r="C64" i="15"/>
  <c r="D64" i="15"/>
  <c r="E64" i="15"/>
  <c r="F64" i="15"/>
  <c r="I64" i="15"/>
  <c r="A65" i="15"/>
  <c r="B65" i="15"/>
  <c r="C65" i="15"/>
  <c r="D65" i="15"/>
  <c r="E65" i="15"/>
  <c r="G65" i="15" s="1"/>
  <c r="H65" i="15" s="1"/>
  <c r="F65" i="15"/>
  <c r="I65" i="15"/>
  <c r="A66" i="15"/>
  <c r="B66" i="15"/>
  <c r="C66" i="15"/>
  <c r="D66" i="15"/>
  <c r="E66" i="15"/>
  <c r="F66" i="15"/>
  <c r="G66" i="15"/>
  <c r="H66" i="15" s="1"/>
  <c r="I66" i="15"/>
  <c r="A67" i="15"/>
  <c r="B67" i="15"/>
  <c r="C67" i="15"/>
  <c r="D67" i="15"/>
  <c r="E67" i="15"/>
  <c r="G67" i="15" s="1"/>
  <c r="H67" i="15" s="1"/>
  <c r="F67" i="15"/>
  <c r="I67" i="15"/>
  <c r="A68" i="15"/>
  <c r="F68" i="15" s="1"/>
  <c r="B68" i="15"/>
  <c r="C68" i="15"/>
  <c r="D68" i="15"/>
  <c r="E68" i="15"/>
  <c r="A69" i="15"/>
  <c r="F69" i="15" s="1"/>
  <c r="G69" i="15" s="1"/>
  <c r="H69" i="15" s="1"/>
  <c r="B69" i="15"/>
  <c r="C69" i="15"/>
  <c r="D69" i="15"/>
  <c r="E69" i="15"/>
  <c r="I69" i="15"/>
  <c r="A70" i="15"/>
  <c r="B70" i="15"/>
  <c r="C70" i="15"/>
  <c r="D70" i="15"/>
  <c r="E70" i="15"/>
  <c r="F70" i="15"/>
  <c r="G70" i="15"/>
  <c r="H70" i="15"/>
  <c r="I70" i="15"/>
  <c r="A71" i="15"/>
  <c r="B71" i="15"/>
  <c r="C71" i="15"/>
  <c r="D71" i="15"/>
  <c r="E71" i="15"/>
  <c r="F71" i="15"/>
  <c r="G71" i="15"/>
  <c r="H71" i="15" s="1"/>
  <c r="I71" i="15"/>
  <c r="A72" i="15"/>
  <c r="B72" i="15"/>
  <c r="C72" i="15"/>
  <c r="D72" i="15"/>
  <c r="E72" i="15"/>
  <c r="G72" i="15" s="1"/>
  <c r="H72" i="15" s="1"/>
  <c r="F72" i="15"/>
  <c r="I72" i="15"/>
  <c r="A73" i="15"/>
  <c r="B73" i="15"/>
  <c r="C73" i="15"/>
  <c r="D73" i="15"/>
  <c r="E73" i="15"/>
  <c r="G73" i="15" s="1"/>
  <c r="H73" i="15" s="1"/>
  <c r="F73" i="15"/>
  <c r="I73" i="15"/>
  <c r="A74" i="15"/>
  <c r="B74" i="15"/>
  <c r="C74" i="15"/>
  <c r="D74" i="15"/>
  <c r="E74" i="15"/>
  <c r="F74" i="15"/>
  <c r="G74" i="15"/>
  <c r="H74" i="15" s="1"/>
  <c r="I74" i="15"/>
  <c r="A75" i="15"/>
  <c r="B75" i="15"/>
  <c r="C75" i="15"/>
  <c r="D75" i="15"/>
  <c r="E75" i="15"/>
  <c r="G75" i="15" s="1"/>
  <c r="H75" i="15" s="1"/>
  <c r="F75" i="15"/>
  <c r="I75" i="15"/>
  <c r="A76" i="15"/>
  <c r="F76" i="15" s="1"/>
  <c r="B76" i="15"/>
  <c r="C76" i="15"/>
  <c r="D76" i="15"/>
  <c r="E76" i="15"/>
  <c r="G76" i="15" s="1"/>
  <c r="H76" i="15" s="1"/>
  <c r="I76" i="15"/>
  <c r="A77" i="15"/>
  <c r="F77" i="15" s="1"/>
  <c r="G77" i="15" s="1"/>
  <c r="H77" i="15" s="1"/>
  <c r="B77" i="15"/>
  <c r="C77" i="15"/>
  <c r="D77" i="15"/>
  <c r="E77" i="15"/>
  <c r="A78" i="15"/>
  <c r="B78" i="15"/>
  <c r="C78" i="15"/>
  <c r="D78" i="15"/>
  <c r="E78" i="15"/>
  <c r="F78" i="15"/>
  <c r="G78" i="15"/>
  <c r="H78" i="15"/>
  <c r="I78" i="15"/>
  <c r="A79" i="15"/>
  <c r="B79" i="15"/>
  <c r="C79" i="15"/>
  <c r="D79" i="15"/>
  <c r="E79" i="15"/>
  <c r="F79" i="15"/>
  <c r="G79" i="15"/>
  <c r="H79" i="15" s="1"/>
  <c r="I79" i="15"/>
  <c r="A80" i="15"/>
  <c r="B80" i="15"/>
  <c r="C80" i="15"/>
  <c r="D80" i="15"/>
  <c r="E80" i="15"/>
  <c r="G80" i="15" s="1"/>
  <c r="H80" i="15" s="1"/>
  <c r="F80" i="15"/>
  <c r="I80" i="15"/>
  <c r="A81" i="15"/>
  <c r="B81" i="15"/>
  <c r="C81" i="15"/>
  <c r="D81" i="15"/>
  <c r="E81" i="15"/>
  <c r="G81" i="15" s="1"/>
  <c r="H81" i="15" s="1"/>
  <c r="F81" i="15"/>
  <c r="I81" i="15"/>
  <c r="A82" i="15"/>
  <c r="B82" i="15"/>
  <c r="C82" i="15"/>
  <c r="D82" i="15"/>
  <c r="E82" i="15"/>
  <c r="F82" i="15"/>
  <c r="G82" i="15"/>
  <c r="H82" i="15" s="1"/>
  <c r="I82" i="15"/>
  <c r="A83" i="15"/>
  <c r="B83" i="15"/>
  <c r="C83" i="15"/>
  <c r="D83" i="15"/>
  <c r="E83" i="15"/>
  <c r="G83" i="15" s="1"/>
  <c r="H83" i="15" s="1"/>
  <c r="F83" i="15"/>
  <c r="I83" i="15"/>
  <c r="A84" i="15"/>
  <c r="F84" i="15" s="1"/>
  <c r="B84" i="15"/>
  <c r="C84" i="15"/>
  <c r="D84" i="15"/>
  <c r="E84" i="15"/>
  <c r="G84" i="15" s="1"/>
  <c r="H84" i="15" s="1"/>
  <c r="I84" i="15"/>
  <c r="A85" i="15"/>
  <c r="F85" i="15" s="1"/>
  <c r="G85" i="15" s="1"/>
  <c r="H85" i="15" s="1"/>
  <c r="B85" i="15"/>
  <c r="C85" i="15"/>
  <c r="D85" i="15"/>
  <c r="E85" i="15"/>
  <c r="I85" i="15"/>
  <c r="A86" i="15"/>
  <c r="B86" i="15"/>
  <c r="C86" i="15"/>
  <c r="D86" i="15"/>
  <c r="E86" i="15"/>
  <c r="F86" i="15"/>
  <c r="G86" i="15"/>
  <c r="H86" i="15"/>
  <c r="I86" i="15"/>
  <c r="A87" i="15"/>
  <c r="B87" i="15"/>
  <c r="C87" i="15"/>
  <c r="D87" i="15"/>
  <c r="E87" i="15"/>
  <c r="F87" i="15"/>
  <c r="G87" i="15"/>
  <c r="H87" i="15" s="1"/>
  <c r="I87" i="15"/>
  <c r="A88" i="15"/>
  <c r="B88" i="15"/>
  <c r="C88" i="15"/>
  <c r="D88" i="15"/>
  <c r="E88" i="15"/>
  <c r="G88" i="15" s="1"/>
  <c r="H88" i="15" s="1"/>
  <c r="F88" i="15"/>
  <c r="I88" i="15"/>
  <c r="A89" i="15"/>
  <c r="B89" i="15"/>
  <c r="C89" i="15"/>
  <c r="D89" i="15"/>
  <c r="E89" i="15"/>
  <c r="G89" i="15" s="1"/>
  <c r="H89" i="15" s="1"/>
  <c r="F89" i="15"/>
  <c r="I89" i="15"/>
  <c r="A90" i="15"/>
  <c r="B90" i="15"/>
  <c r="C90" i="15"/>
  <c r="D90" i="15"/>
  <c r="E90" i="15"/>
  <c r="G90" i="15" s="1"/>
  <c r="H90" i="15" s="1"/>
  <c r="F90" i="15"/>
  <c r="I90" i="15"/>
  <c r="A91" i="15"/>
  <c r="B91" i="15"/>
  <c r="C91" i="15"/>
  <c r="D91" i="15"/>
  <c r="E91" i="15"/>
  <c r="G91" i="15" s="1"/>
  <c r="H91" i="15" s="1"/>
  <c r="F91" i="15"/>
  <c r="I91" i="15"/>
  <c r="A92" i="15"/>
  <c r="F92" i="15" s="1"/>
  <c r="B92" i="15"/>
  <c r="C92" i="15"/>
  <c r="D92" i="15"/>
  <c r="E92" i="15"/>
  <c r="A93" i="15"/>
  <c r="F93" i="15" s="1"/>
  <c r="G93" i="15" s="1"/>
  <c r="B93" i="15"/>
  <c r="C93" i="15"/>
  <c r="D93" i="15"/>
  <c r="E93" i="15"/>
  <c r="H93" i="15"/>
  <c r="I93" i="15"/>
  <c r="A94" i="15"/>
  <c r="F94" i="15" s="1"/>
  <c r="B94" i="15"/>
  <c r="C94" i="15"/>
  <c r="D94" i="15"/>
  <c r="E94" i="15"/>
  <c r="G94" i="15"/>
  <c r="H94" i="15" s="1"/>
  <c r="I94" i="15"/>
  <c r="A95" i="15"/>
  <c r="B95" i="15"/>
  <c r="C95" i="15"/>
  <c r="D95" i="15"/>
  <c r="E95" i="15"/>
  <c r="F95" i="15"/>
  <c r="G95" i="15" s="1"/>
  <c r="H95" i="15" s="1"/>
  <c r="I95" i="15"/>
  <c r="A96" i="15"/>
  <c r="B96" i="15"/>
  <c r="C96" i="15"/>
  <c r="D96" i="15"/>
  <c r="E96" i="15"/>
  <c r="F96" i="15"/>
  <c r="I96" i="15"/>
  <c r="A97" i="15"/>
  <c r="B97" i="15"/>
  <c r="C97" i="15"/>
  <c r="D97" i="15"/>
  <c r="E97" i="15"/>
  <c r="G97" i="15" s="1"/>
  <c r="H97" i="15" s="1"/>
  <c r="F97" i="15"/>
  <c r="I97" i="15"/>
  <c r="A98" i="15"/>
  <c r="B98" i="15"/>
  <c r="C98" i="15"/>
  <c r="D98" i="15"/>
  <c r="E98" i="15"/>
  <c r="G98" i="15" s="1"/>
  <c r="H98" i="15" s="1"/>
  <c r="F98" i="15"/>
  <c r="I98" i="15"/>
  <c r="A99" i="15"/>
  <c r="B99" i="15"/>
  <c r="C99" i="15"/>
  <c r="D99" i="15"/>
  <c r="E99" i="15"/>
  <c r="G99" i="15" s="1"/>
  <c r="H99" i="15" s="1"/>
  <c r="F99" i="15"/>
  <c r="I99" i="15"/>
  <c r="A100" i="15"/>
  <c r="F100" i="15" s="1"/>
  <c r="B100" i="15"/>
  <c r="C100" i="15"/>
  <c r="D100" i="15"/>
  <c r="E100" i="15"/>
  <c r="A101" i="15"/>
  <c r="F101" i="15" s="1"/>
  <c r="G101" i="15" s="1"/>
  <c r="B101" i="15"/>
  <c r="C101" i="15"/>
  <c r="D101" i="15"/>
  <c r="E101" i="15"/>
  <c r="H101" i="15"/>
  <c r="A102" i="15"/>
  <c r="F102" i="15" s="1"/>
  <c r="B102" i="15"/>
  <c r="C102" i="15"/>
  <c r="D102" i="15"/>
  <c r="E102" i="15"/>
  <c r="G102" i="15"/>
  <c r="H102" i="15"/>
  <c r="I102" i="15"/>
  <c r="A103" i="15"/>
  <c r="B103" i="15"/>
  <c r="C103" i="15"/>
  <c r="D103" i="15"/>
  <c r="E103" i="15"/>
  <c r="F103" i="15"/>
  <c r="G103" i="15"/>
  <c r="H103" i="15" s="1"/>
  <c r="I103" i="15"/>
  <c r="A104" i="15"/>
  <c r="B104" i="15"/>
  <c r="C104" i="15"/>
  <c r="D104" i="15"/>
  <c r="E104" i="15"/>
  <c r="G104" i="15" s="1"/>
  <c r="H104" i="15" s="1"/>
  <c r="F104" i="15"/>
  <c r="I104" i="15"/>
  <c r="A105" i="15"/>
  <c r="B105" i="15"/>
  <c r="C105" i="15"/>
  <c r="D105" i="15"/>
  <c r="E105" i="15"/>
  <c r="G105" i="15" s="1"/>
  <c r="H105" i="15" s="1"/>
  <c r="F105" i="15"/>
  <c r="I105" i="15"/>
  <c r="A106" i="15"/>
  <c r="B106" i="15"/>
  <c r="C106" i="15"/>
  <c r="D106" i="15"/>
  <c r="E106" i="15"/>
  <c r="G106" i="15" s="1"/>
  <c r="H106" i="15" s="1"/>
  <c r="F106" i="15"/>
  <c r="I106" i="15"/>
  <c r="A107" i="15"/>
  <c r="B107" i="15"/>
  <c r="C107" i="15"/>
  <c r="D107" i="15"/>
  <c r="E107" i="15"/>
  <c r="G107" i="15" s="1"/>
  <c r="H107" i="15" s="1"/>
  <c r="F107" i="15"/>
  <c r="I107" i="15"/>
  <c r="A108" i="15"/>
  <c r="F108" i="15" s="1"/>
  <c r="B108" i="15"/>
  <c r="C108" i="15"/>
  <c r="D108" i="15"/>
  <c r="E108" i="15"/>
  <c r="A109" i="15"/>
  <c r="F109" i="15" s="1"/>
  <c r="G109" i="15" s="1"/>
  <c r="H109" i="15" s="1"/>
  <c r="B109" i="15"/>
  <c r="C109" i="15"/>
  <c r="D109" i="15"/>
  <c r="E109" i="15"/>
  <c r="A110" i="15"/>
  <c r="F110" i="15" s="1"/>
  <c r="B110" i="15"/>
  <c r="C110" i="15"/>
  <c r="D110" i="15"/>
  <c r="E110" i="15"/>
  <c r="G110" i="15"/>
  <c r="H110" i="15" s="1"/>
  <c r="I110" i="15"/>
  <c r="A111" i="15"/>
  <c r="B111" i="15"/>
  <c r="C111" i="15"/>
  <c r="D111" i="15"/>
  <c r="E111" i="15"/>
  <c r="F111" i="15"/>
  <c r="G111" i="15" s="1"/>
  <c r="H111" i="15" s="1"/>
  <c r="I111" i="15"/>
  <c r="A112" i="15"/>
  <c r="B112" i="15"/>
  <c r="C112" i="15"/>
  <c r="D112" i="15"/>
  <c r="E112" i="15"/>
  <c r="F112" i="15"/>
  <c r="I112" i="15"/>
  <c r="A113" i="15"/>
  <c r="B113" i="15"/>
  <c r="C113" i="15"/>
  <c r="D113" i="15"/>
  <c r="E113" i="15"/>
  <c r="G113" i="15" s="1"/>
  <c r="H113" i="15" s="1"/>
  <c r="F113" i="15"/>
  <c r="I113" i="15"/>
  <c r="A114" i="15"/>
  <c r="B114" i="15"/>
  <c r="C114" i="15"/>
  <c r="D114" i="15"/>
  <c r="E114" i="15"/>
  <c r="G114" i="15" s="1"/>
  <c r="H114" i="15" s="1"/>
  <c r="F114" i="15"/>
  <c r="I114" i="15"/>
  <c r="A115" i="15"/>
  <c r="B115" i="15"/>
  <c r="C115" i="15"/>
  <c r="D115" i="15"/>
  <c r="E115" i="15"/>
  <c r="G115" i="15" s="1"/>
  <c r="H115" i="15" s="1"/>
  <c r="F115" i="15"/>
  <c r="I115" i="15"/>
  <c r="A116" i="15"/>
  <c r="F116" i="15" s="1"/>
  <c r="B116" i="15"/>
  <c r="C116" i="15"/>
  <c r="D116" i="15"/>
  <c r="E116" i="15"/>
  <c r="I116" i="15"/>
  <c r="A117" i="15"/>
  <c r="F117" i="15" s="1"/>
  <c r="G117" i="15" s="1"/>
  <c r="H117" i="15" s="1"/>
  <c r="B117" i="15"/>
  <c r="C117" i="15"/>
  <c r="D117" i="15"/>
  <c r="E117" i="15"/>
  <c r="A118" i="15"/>
  <c r="F118" i="15" s="1"/>
  <c r="G118" i="15" s="1"/>
  <c r="H118" i="15" s="1"/>
  <c r="B118" i="15"/>
  <c r="C118" i="15"/>
  <c r="D118" i="15"/>
  <c r="E118" i="15"/>
  <c r="I118" i="15"/>
  <c r="A119" i="15"/>
  <c r="B119" i="15"/>
  <c r="C119" i="15"/>
  <c r="D119" i="15"/>
  <c r="E119" i="15"/>
  <c r="F119" i="15"/>
  <c r="G119" i="15"/>
  <c r="H119" i="15" s="1"/>
  <c r="I119" i="15"/>
  <c r="A120" i="15"/>
  <c r="B120" i="15"/>
  <c r="C120" i="15"/>
  <c r="D120" i="15"/>
  <c r="E120" i="15"/>
  <c r="G120" i="15" s="1"/>
  <c r="H120" i="15" s="1"/>
  <c r="F120" i="15"/>
  <c r="I120" i="15"/>
  <c r="A121" i="15"/>
  <c r="B121" i="15"/>
  <c r="C121" i="15"/>
  <c r="D121" i="15"/>
  <c r="E121" i="15"/>
  <c r="G121" i="15" s="1"/>
  <c r="H121" i="15" s="1"/>
  <c r="F121" i="15"/>
  <c r="I121" i="15"/>
  <c r="A122" i="15"/>
  <c r="B122" i="15"/>
  <c r="C122" i="15"/>
  <c r="D122" i="15"/>
  <c r="E122" i="15"/>
  <c r="G122" i="15" s="1"/>
  <c r="H122" i="15" s="1"/>
  <c r="F122" i="15"/>
  <c r="I122" i="15"/>
  <c r="A123" i="15"/>
  <c r="B123" i="15"/>
  <c r="C123" i="15"/>
  <c r="D123" i="15"/>
  <c r="E123" i="15"/>
  <c r="G123" i="15" s="1"/>
  <c r="H123" i="15" s="1"/>
  <c r="F123" i="15"/>
  <c r="I123" i="15"/>
  <c r="A124" i="15"/>
  <c r="F124" i="15" s="1"/>
  <c r="B124" i="15"/>
  <c r="C124" i="15"/>
  <c r="D124" i="15"/>
  <c r="E124" i="15"/>
  <c r="G124" i="15" s="1"/>
  <c r="H124" i="15" s="1"/>
  <c r="A125" i="15"/>
  <c r="F125" i="15" s="1"/>
  <c r="G125" i="15" s="1"/>
  <c r="H125" i="15" s="1"/>
  <c r="B125" i="15"/>
  <c r="C125" i="15"/>
  <c r="D125" i="15"/>
  <c r="E125" i="15"/>
  <c r="I125" i="15"/>
  <c r="A126" i="15"/>
  <c r="F126" i="15" s="1"/>
  <c r="G126" i="15" s="1"/>
  <c r="H126" i="15" s="1"/>
  <c r="B126" i="15"/>
  <c r="C126" i="15"/>
  <c r="D126" i="15"/>
  <c r="E126" i="15"/>
  <c r="I126" i="15"/>
  <c r="A127" i="15"/>
  <c r="B127" i="15"/>
  <c r="C127" i="15"/>
  <c r="D127" i="15"/>
  <c r="E127" i="15"/>
  <c r="F127" i="15"/>
  <c r="G127" i="15" s="1"/>
  <c r="H127" i="15" s="1"/>
  <c r="I127" i="15"/>
  <c r="A128" i="15"/>
  <c r="B128" i="15"/>
  <c r="C128" i="15"/>
  <c r="D128" i="15"/>
  <c r="E128" i="15"/>
  <c r="F128" i="15"/>
  <c r="I128" i="15"/>
  <c r="A129" i="15"/>
  <c r="B129" i="15"/>
  <c r="C129" i="15"/>
  <c r="D129" i="15"/>
  <c r="E129" i="15"/>
  <c r="G129" i="15" s="1"/>
  <c r="H129" i="15" s="1"/>
  <c r="F129" i="15"/>
  <c r="I129" i="15"/>
  <c r="A130" i="15"/>
  <c r="B130" i="15"/>
  <c r="C130" i="15"/>
  <c r="D130" i="15"/>
  <c r="E130" i="15"/>
  <c r="G130" i="15" s="1"/>
  <c r="H130" i="15" s="1"/>
  <c r="F130" i="15"/>
  <c r="I130" i="15"/>
  <c r="A131" i="15"/>
  <c r="B131" i="15"/>
  <c r="C131" i="15"/>
  <c r="D131" i="15"/>
  <c r="E131" i="15"/>
  <c r="G131" i="15" s="1"/>
  <c r="H131" i="15" s="1"/>
  <c r="F131" i="15"/>
  <c r="I131" i="15"/>
  <c r="A132" i="15"/>
  <c r="F132" i="15" s="1"/>
  <c r="B132" i="15"/>
  <c r="C132" i="15"/>
  <c r="D132" i="15"/>
  <c r="E132" i="15"/>
  <c r="G132" i="15" s="1"/>
  <c r="H132" i="15" s="1"/>
  <c r="I132" i="15"/>
  <c r="A133" i="15"/>
  <c r="F133" i="15" s="1"/>
  <c r="G133" i="15" s="1"/>
  <c r="B133" i="15"/>
  <c r="C133" i="15"/>
  <c r="D133" i="15"/>
  <c r="E133" i="15"/>
  <c r="H133" i="15"/>
  <c r="I133" i="15"/>
  <c r="A134" i="15"/>
  <c r="F134" i="15" s="1"/>
  <c r="G134" i="15" s="1"/>
  <c r="H134" i="15" s="1"/>
  <c r="B134" i="15"/>
  <c r="C134" i="15"/>
  <c r="D134" i="15"/>
  <c r="E134" i="15"/>
  <c r="I134" i="15"/>
  <c r="A135" i="15"/>
  <c r="B135" i="15"/>
  <c r="C135" i="15"/>
  <c r="D135" i="15"/>
  <c r="E135" i="15"/>
  <c r="F135" i="15"/>
  <c r="G135" i="15"/>
  <c r="H135" i="15" s="1"/>
  <c r="I135" i="15"/>
  <c r="A136" i="15"/>
  <c r="B136" i="15"/>
  <c r="C136" i="15"/>
  <c r="D136" i="15"/>
  <c r="E136" i="15"/>
  <c r="F136" i="15"/>
  <c r="G136" i="15" s="1"/>
  <c r="H136" i="15" s="1"/>
  <c r="I136" i="15"/>
  <c r="A137" i="15"/>
  <c r="B137" i="15"/>
  <c r="C137" i="15"/>
  <c r="D137" i="15"/>
  <c r="E137" i="15"/>
  <c r="F137" i="15"/>
  <c r="I137" i="15"/>
  <c r="A138" i="15"/>
  <c r="B138" i="15"/>
  <c r="C138" i="15"/>
  <c r="D138" i="15"/>
  <c r="E138" i="15"/>
  <c r="G138" i="15" s="1"/>
  <c r="H138" i="15" s="1"/>
  <c r="F138" i="15"/>
  <c r="I138" i="15"/>
  <c r="A139" i="15"/>
  <c r="B139" i="15"/>
  <c r="C139" i="15"/>
  <c r="D139" i="15"/>
  <c r="E139" i="15"/>
  <c r="G139" i="15" s="1"/>
  <c r="H139" i="15" s="1"/>
  <c r="F139" i="15"/>
  <c r="I139" i="15"/>
  <c r="A140" i="15"/>
  <c r="F140" i="15" s="1"/>
  <c r="B140" i="15"/>
  <c r="C140" i="15"/>
  <c r="D140" i="15"/>
  <c r="E140" i="15"/>
  <c r="A141" i="15"/>
  <c r="F141" i="15" s="1"/>
  <c r="G141" i="15" s="1"/>
  <c r="B141" i="15"/>
  <c r="C141" i="15"/>
  <c r="D141" i="15"/>
  <c r="E141" i="15"/>
  <c r="H141" i="15"/>
  <c r="I141" i="15"/>
  <c r="A142" i="15"/>
  <c r="F142" i="15" s="1"/>
  <c r="B142" i="15"/>
  <c r="C142" i="15"/>
  <c r="D142" i="15"/>
  <c r="E142" i="15"/>
  <c r="G142" i="15"/>
  <c r="H142" i="15" s="1"/>
  <c r="I142" i="15"/>
  <c r="A143" i="15"/>
  <c r="B143" i="15"/>
  <c r="C143" i="15"/>
  <c r="D143" i="15"/>
  <c r="E143" i="15"/>
  <c r="F143" i="15"/>
  <c r="G143" i="15" s="1"/>
  <c r="H143" i="15" s="1"/>
  <c r="I143" i="15"/>
  <c r="A144" i="15"/>
  <c r="B144" i="15"/>
  <c r="C144" i="15"/>
  <c r="D144" i="15"/>
  <c r="E144" i="15"/>
  <c r="G144" i="15" s="1"/>
  <c r="H144" i="15" s="1"/>
  <c r="F144" i="15"/>
  <c r="I144" i="15"/>
  <c r="A145" i="15"/>
  <c r="B145" i="15"/>
  <c r="C145" i="15"/>
  <c r="D145" i="15"/>
  <c r="E145" i="15"/>
  <c r="G145" i="15" s="1"/>
  <c r="H145" i="15" s="1"/>
  <c r="F145" i="15"/>
  <c r="I145" i="15"/>
  <c r="A146" i="15"/>
  <c r="B146" i="15"/>
  <c r="C146" i="15"/>
  <c r="D146" i="15"/>
  <c r="E146" i="15"/>
  <c r="G146" i="15" s="1"/>
  <c r="H146" i="15" s="1"/>
  <c r="F146" i="15"/>
  <c r="I146" i="15"/>
  <c r="A147" i="15"/>
  <c r="B147" i="15"/>
  <c r="C147" i="15"/>
  <c r="D147" i="15"/>
  <c r="E147" i="15"/>
  <c r="G147" i="15" s="1"/>
  <c r="H147" i="15" s="1"/>
  <c r="F147" i="15"/>
  <c r="I147" i="15"/>
  <c r="A148" i="15"/>
  <c r="F148" i="15" s="1"/>
  <c r="B148" i="15"/>
  <c r="C148" i="15"/>
  <c r="D148" i="15"/>
  <c r="E148" i="15"/>
  <c r="I148" i="15"/>
  <c r="A149" i="15"/>
  <c r="F149" i="15" s="1"/>
  <c r="G149" i="15" s="1"/>
  <c r="H149" i="15" s="1"/>
  <c r="B149" i="15"/>
  <c r="C149" i="15"/>
  <c r="D149" i="15"/>
  <c r="E149" i="15"/>
  <c r="A150" i="15"/>
  <c r="F150" i="15" s="1"/>
  <c r="G150" i="15" s="1"/>
  <c r="H150" i="15" s="1"/>
  <c r="B150" i="15"/>
  <c r="C150" i="15"/>
  <c r="D150" i="15"/>
  <c r="E150" i="15"/>
  <c r="A151" i="15"/>
  <c r="B151" i="15"/>
  <c r="C151" i="15"/>
  <c r="D151" i="15"/>
  <c r="E151" i="15"/>
  <c r="F151" i="15"/>
  <c r="G151" i="15"/>
  <c r="H151" i="15" s="1"/>
  <c r="I151" i="15"/>
  <c r="A152" i="15"/>
  <c r="B152" i="15"/>
  <c r="C152" i="15"/>
  <c r="D152" i="15"/>
  <c r="E152" i="15"/>
  <c r="G152" i="15" s="1"/>
  <c r="H152" i="15" s="1"/>
  <c r="F152" i="15"/>
  <c r="I152" i="15"/>
  <c r="A153" i="15"/>
  <c r="B153" i="15"/>
  <c r="C153" i="15"/>
  <c r="D153" i="15"/>
  <c r="E153" i="15"/>
  <c r="F153" i="15"/>
  <c r="I153" i="15"/>
  <c r="A154" i="15"/>
  <c r="B154" i="15"/>
  <c r="C154" i="15"/>
  <c r="D154" i="15"/>
  <c r="E154" i="15"/>
  <c r="G154" i="15" s="1"/>
  <c r="H154" i="15" s="1"/>
  <c r="F154" i="15"/>
  <c r="I154" i="15"/>
  <c r="A155" i="15"/>
  <c r="B155" i="15"/>
  <c r="C155" i="15"/>
  <c r="D155" i="15"/>
  <c r="E155" i="15"/>
  <c r="G155" i="15" s="1"/>
  <c r="H155" i="15" s="1"/>
  <c r="F155" i="15"/>
  <c r="I155" i="15"/>
  <c r="A156" i="15"/>
  <c r="F156" i="15" s="1"/>
  <c r="B156" i="15"/>
  <c r="C156" i="15"/>
  <c r="D156" i="15"/>
  <c r="E156" i="15"/>
  <c r="G156" i="15" s="1"/>
  <c r="H156" i="15" s="1"/>
  <c r="I156" i="15"/>
  <c r="A157" i="15"/>
  <c r="F157" i="15" s="1"/>
  <c r="G157" i="15" s="1"/>
  <c r="H157" i="15" s="1"/>
  <c r="B157" i="15"/>
  <c r="C157" i="15"/>
  <c r="D157" i="15"/>
  <c r="E157" i="15"/>
  <c r="I157" i="15"/>
  <c r="A158" i="15"/>
  <c r="F158" i="15" s="1"/>
  <c r="B158" i="15"/>
  <c r="C158" i="15"/>
  <c r="D158" i="15"/>
  <c r="E158" i="15"/>
  <c r="G158" i="15"/>
  <c r="H158" i="15" s="1"/>
  <c r="I158" i="15"/>
  <c r="A159" i="15"/>
  <c r="B159" i="15"/>
  <c r="C159" i="15"/>
  <c r="D159" i="15"/>
  <c r="E159" i="15"/>
  <c r="F159" i="15"/>
  <c r="G159" i="15" s="1"/>
  <c r="H159" i="15" s="1"/>
  <c r="I159" i="15"/>
  <c r="A160" i="15"/>
  <c r="B160" i="15"/>
  <c r="C160" i="15"/>
  <c r="D160" i="15"/>
  <c r="E160" i="15"/>
  <c r="G160" i="15" s="1"/>
  <c r="H160" i="15" s="1"/>
  <c r="F160" i="15"/>
  <c r="I160" i="15"/>
  <c r="A161" i="15"/>
  <c r="B161" i="15"/>
  <c r="C161" i="15"/>
  <c r="D161" i="15"/>
  <c r="E161" i="15"/>
  <c r="G161" i="15" s="1"/>
  <c r="H161" i="15" s="1"/>
  <c r="F161" i="15"/>
  <c r="I161" i="15"/>
  <c r="A162" i="15"/>
  <c r="B162" i="15"/>
  <c r="C162" i="15"/>
  <c r="D162" i="15"/>
  <c r="E162" i="15"/>
  <c r="G162" i="15" s="1"/>
  <c r="H162" i="15" s="1"/>
  <c r="F162" i="15"/>
  <c r="I162" i="15"/>
  <c r="A163" i="15"/>
  <c r="B163" i="15"/>
  <c r="C163" i="15"/>
  <c r="D163" i="15"/>
  <c r="E163" i="15"/>
  <c r="G163" i="15" s="1"/>
  <c r="H163" i="15" s="1"/>
  <c r="F163" i="15"/>
  <c r="I163" i="15"/>
  <c r="A164" i="15"/>
  <c r="F164" i="15" s="1"/>
  <c r="B164" i="15"/>
  <c r="C164" i="15"/>
  <c r="D164" i="15"/>
  <c r="E164" i="15"/>
  <c r="A165" i="15"/>
  <c r="F165" i="15" s="1"/>
  <c r="G165" i="15" s="1"/>
  <c r="B165" i="15"/>
  <c r="C165" i="15"/>
  <c r="D165" i="15"/>
  <c r="E165" i="15"/>
  <c r="H165" i="15"/>
  <c r="I165" i="15"/>
  <c r="A166" i="15"/>
  <c r="F166" i="15" s="1"/>
  <c r="B166" i="15"/>
  <c r="C166" i="15"/>
  <c r="D166" i="15"/>
  <c r="E166" i="15"/>
  <c r="G166" i="15"/>
  <c r="H166" i="15"/>
  <c r="I166" i="15"/>
  <c r="A167" i="15"/>
  <c r="B167" i="15"/>
  <c r="C167" i="15"/>
  <c r="D167" i="15"/>
  <c r="E167" i="15"/>
  <c r="F167" i="15"/>
  <c r="G167" i="15"/>
  <c r="H167" i="15" s="1"/>
  <c r="I167" i="15"/>
  <c r="A168" i="15"/>
  <c r="B168" i="15"/>
  <c r="C168" i="15"/>
  <c r="D168" i="15"/>
  <c r="E168" i="15"/>
  <c r="G168" i="15" s="1"/>
  <c r="H168" i="15" s="1"/>
  <c r="F168" i="15"/>
  <c r="I168" i="15"/>
  <c r="A169" i="15"/>
  <c r="B169" i="15"/>
  <c r="C169" i="15"/>
  <c r="D169" i="15"/>
  <c r="E169" i="15"/>
  <c r="F169" i="15"/>
  <c r="I169" i="15"/>
  <c r="A170" i="15"/>
  <c r="B170" i="15"/>
  <c r="C170" i="15"/>
  <c r="D170" i="15"/>
  <c r="E170" i="15"/>
  <c r="G170" i="15" s="1"/>
  <c r="H170" i="15" s="1"/>
  <c r="F170" i="15"/>
  <c r="I170" i="15"/>
  <c r="A171" i="15"/>
  <c r="B171" i="15"/>
  <c r="C171" i="15"/>
  <c r="D171" i="15"/>
  <c r="E171" i="15"/>
  <c r="G171" i="15" s="1"/>
  <c r="H171" i="15" s="1"/>
  <c r="F171" i="15"/>
  <c r="I171" i="15"/>
  <c r="A172" i="15"/>
  <c r="F172" i="15" s="1"/>
  <c r="B172" i="15"/>
  <c r="C172" i="15"/>
  <c r="D172" i="15"/>
  <c r="E172" i="15"/>
  <c r="G172" i="15" s="1"/>
  <c r="H172" i="15" s="1"/>
  <c r="A173" i="15"/>
  <c r="F173" i="15" s="1"/>
  <c r="G173" i="15" s="1"/>
  <c r="H173" i="15" s="1"/>
  <c r="B173" i="15"/>
  <c r="C173" i="15"/>
  <c r="D173" i="15"/>
  <c r="E173" i="15"/>
  <c r="I173" i="15"/>
  <c r="A174" i="15"/>
  <c r="F174" i="15" s="1"/>
  <c r="G174" i="15" s="1"/>
  <c r="H174" i="15" s="1"/>
  <c r="B174" i="15"/>
  <c r="C174" i="15"/>
  <c r="D174" i="15"/>
  <c r="E174" i="15"/>
  <c r="I174" i="15"/>
  <c r="A175" i="15"/>
  <c r="B175" i="15"/>
  <c r="C175" i="15"/>
  <c r="D175" i="15"/>
  <c r="E175" i="15"/>
  <c r="F175" i="15"/>
  <c r="G175" i="15" s="1"/>
  <c r="H175" i="15" s="1"/>
  <c r="I175" i="15"/>
  <c r="A176" i="15"/>
  <c r="B176" i="15"/>
  <c r="C176" i="15"/>
  <c r="D176" i="15"/>
  <c r="E176" i="15"/>
  <c r="F176" i="15"/>
  <c r="G176" i="15"/>
  <c r="H176" i="15" s="1"/>
  <c r="I176" i="15"/>
  <c r="A177" i="15"/>
  <c r="B177" i="15"/>
  <c r="C177" i="15"/>
  <c r="D177" i="15"/>
  <c r="E177" i="15"/>
  <c r="G177" i="15" s="1"/>
  <c r="H177" i="15" s="1"/>
  <c r="F177" i="15"/>
  <c r="I177" i="15"/>
  <c r="A178" i="15"/>
  <c r="B178" i="15"/>
  <c r="C178" i="15"/>
  <c r="D178" i="15"/>
  <c r="E178" i="15"/>
  <c r="G178" i="15" s="1"/>
  <c r="H178" i="15" s="1"/>
  <c r="F178" i="15"/>
  <c r="I178" i="15"/>
  <c r="A179" i="15"/>
  <c r="B179" i="15"/>
  <c r="C179" i="15"/>
  <c r="D179" i="15"/>
  <c r="E179" i="15"/>
  <c r="G179" i="15" s="1"/>
  <c r="H179" i="15" s="1"/>
  <c r="F179" i="15"/>
  <c r="I179" i="15"/>
  <c r="A180" i="15"/>
  <c r="F180" i="15" s="1"/>
  <c r="B180" i="15"/>
  <c r="C180" i="15"/>
  <c r="D180" i="15"/>
  <c r="E180" i="15"/>
  <c r="G180" i="15" s="1"/>
  <c r="H180" i="15" s="1"/>
  <c r="I180" i="15"/>
  <c r="A181" i="15"/>
  <c r="F181" i="15" s="1"/>
  <c r="G181" i="15" s="1"/>
  <c r="B181" i="15"/>
  <c r="C181" i="15"/>
  <c r="D181" i="15"/>
  <c r="E181" i="15"/>
  <c r="H181" i="15"/>
  <c r="I181" i="15"/>
  <c r="A182" i="15"/>
  <c r="F182" i="15" s="1"/>
  <c r="G182" i="15" s="1"/>
  <c r="H182" i="15" s="1"/>
  <c r="B182" i="15"/>
  <c r="C182" i="15"/>
  <c r="D182" i="15"/>
  <c r="E182" i="15"/>
  <c r="A183" i="15"/>
  <c r="B183" i="15"/>
  <c r="C183" i="15"/>
  <c r="D183" i="15"/>
  <c r="E183" i="15"/>
  <c r="F183" i="15"/>
  <c r="G183" i="15"/>
  <c r="H183" i="15" s="1"/>
  <c r="I183" i="15"/>
  <c r="A184" i="15"/>
  <c r="B184" i="15"/>
  <c r="C184" i="15"/>
  <c r="D184" i="15"/>
  <c r="E184" i="15"/>
  <c r="F184" i="15"/>
  <c r="G184" i="15" s="1"/>
  <c r="H184" i="15" s="1"/>
  <c r="I184" i="15"/>
  <c r="A185" i="15"/>
  <c r="B185" i="15"/>
  <c r="C185" i="15"/>
  <c r="D185" i="15"/>
  <c r="E185" i="15"/>
  <c r="F185" i="15"/>
  <c r="I185" i="15"/>
  <c r="A186" i="15"/>
  <c r="B186" i="15"/>
  <c r="C186" i="15"/>
  <c r="D186" i="15"/>
  <c r="E186" i="15"/>
  <c r="G186" i="15" s="1"/>
  <c r="H186" i="15" s="1"/>
  <c r="F186" i="15"/>
  <c r="I186" i="15"/>
  <c r="A187" i="15"/>
  <c r="B187" i="15"/>
  <c r="C187" i="15"/>
  <c r="D187" i="15"/>
  <c r="E187" i="15"/>
  <c r="G187" i="15" s="1"/>
  <c r="H187" i="15" s="1"/>
  <c r="F187" i="15"/>
  <c r="I187" i="15"/>
  <c r="A188" i="15"/>
  <c r="F188" i="15" s="1"/>
  <c r="B188" i="15"/>
  <c r="C188" i="15"/>
  <c r="D188" i="15"/>
  <c r="E188" i="15"/>
  <c r="A189" i="15"/>
  <c r="F189" i="15" s="1"/>
  <c r="G189" i="15" s="1"/>
  <c r="H189" i="15" s="1"/>
  <c r="B189" i="15"/>
  <c r="C189" i="15"/>
  <c r="D189" i="15"/>
  <c r="E189" i="15"/>
  <c r="A190" i="15"/>
  <c r="F190" i="15" s="1"/>
  <c r="B190" i="15"/>
  <c r="C190" i="15"/>
  <c r="D190" i="15"/>
  <c r="E190" i="15"/>
  <c r="G190" i="15"/>
  <c r="H190" i="15" s="1"/>
  <c r="I190" i="15"/>
  <c r="A191" i="15"/>
  <c r="B191" i="15"/>
  <c r="C191" i="15"/>
  <c r="D191" i="15"/>
  <c r="E191" i="15"/>
  <c r="F191" i="15"/>
  <c r="G191" i="15" s="1"/>
  <c r="H191" i="15" s="1"/>
  <c r="I191" i="15"/>
  <c r="A192" i="15"/>
  <c r="B192" i="15"/>
  <c r="C192" i="15"/>
  <c r="D192" i="15"/>
  <c r="E192" i="15"/>
  <c r="G192" i="15" s="1"/>
  <c r="H192" i="15" s="1"/>
  <c r="F192" i="15"/>
  <c r="I192" i="15"/>
  <c r="A193" i="15"/>
  <c r="B193" i="15"/>
  <c r="C193" i="15"/>
  <c r="D193" i="15"/>
  <c r="E193" i="15"/>
  <c r="G193" i="15" s="1"/>
  <c r="H193" i="15" s="1"/>
  <c r="F193" i="15"/>
  <c r="I193" i="15"/>
  <c r="A194" i="15"/>
  <c r="B194" i="15"/>
  <c r="C194" i="15"/>
  <c r="D194" i="15"/>
  <c r="E194" i="15"/>
  <c r="G194" i="15" s="1"/>
  <c r="H194" i="15" s="1"/>
  <c r="F194" i="15"/>
  <c r="I194" i="15"/>
  <c r="A195" i="15"/>
  <c r="B195" i="15"/>
  <c r="C195" i="15"/>
  <c r="D195" i="15"/>
  <c r="E195" i="15"/>
  <c r="G195" i="15" s="1"/>
  <c r="H195" i="15" s="1"/>
  <c r="F195" i="15"/>
  <c r="I195" i="15"/>
  <c r="A196" i="15"/>
  <c r="F196" i="15" s="1"/>
  <c r="B196" i="15"/>
  <c r="C196" i="15"/>
  <c r="D196" i="15"/>
  <c r="E196" i="15"/>
  <c r="G196" i="15" s="1"/>
  <c r="H196" i="15" s="1"/>
  <c r="I196" i="15"/>
  <c r="A197" i="15"/>
  <c r="F197" i="15" s="1"/>
  <c r="G197" i="15" s="1"/>
  <c r="B197" i="15"/>
  <c r="C197" i="15"/>
  <c r="D197" i="15"/>
  <c r="E197" i="15"/>
  <c r="H197" i="15"/>
  <c r="A198" i="15"/>
  <c r="F198" i="15" s="1"/>
  <c r="G198" i="15" s="1"/>
  <c r="H198" i="15" s="1"/>
  <c r="B198" i="15"/>
  <c r="C198" i="15"/>
  <c r="D198" i="15"/>
  <c r="E198" i="15"/>
  <c r="A199" i="15"/>
  <c r="B199" i="15"/>
  <c r="C199" i="15"/>
  <c r="D199" i="15"/>
  <c r="E199" i="15"/>
  <c r="F199" i="15"/>
  <c r="G199" i="15"/>
  <c r="H199" i="15" s="1"/>
  <c r="I199" i="15"/>
  <c r="A200" i="15"/>
  <c r="B200" i="15"/>
  <c r="C200" i="15"/>
  <c r="D200" i="15"/>
  <c r="E200" i="15"/>
  <c r="F200" i="15"/>
  <c r="G200" i="15" s="1"/>
  <c r="H200" i="15" s="1"/>
  <c r="I200" i="15"/>
  <c r="A201" i="15"/>
  <c r="B201" i="15"/>
  <c r="C201" i="15"/>
  <c r="D201" i="15"/>
  <c r="E201" i="15"/>
  <c r="F201" i="15"/>
  <c r="I201" i="15"/>
  <c r="A202" i="15"/>
  <c r="B202" i="15"/>
  <c r="C202" i="15"/>
  <c r="D202" i="15"/>
  <c r="E202" i="15"/>
  <c r="F202" i="15"/>
  <c r="G202" i="15"/>
  <c r="H202" i="15" s="1"/>
  <c r="I202" i="15"/>
  <c r="A203" i="15"/>
  <c r="B203" i="15"/>
  <c r="C203" i="15"/>
  <c r="D203" i="15"/>
  <c r="E203" i="15"/>
  <c r="F203" i="15"/>
  <c r="I203" i="15"/>
  <c r="A204" i="15"/>
  <c r="F204" i="15" s="1"/>
  <c r="B204" i="15"/>
  <c r="C204" i="15"/>
  <c r="D204" i="15"/>
  <c r="E204" i="15"/>
  <c r="A205" i="15"/>
  <c r="B205" i="15"/>
  <c r="C205" i="15"/>
  <c r="D205" i="15"/>
  <c r="E205" i="15"/>
  <c r="A206" i="15"/>
  <c r="F206" i="15" s="1"/>
  <c r="B206" i="15"/>
  <c r="C206" i="15"/>
  <c r="D206" i="15"/>
  <c r="E206" i="15"/>
  <c r="G206" i="15"/>
  <c r="H206" i="15" s="1"/>
  <c r="I206" i="15"/>
  <c r="A207" i="15"/>
  <c r="B207" i="15"/>
  <c r="C207" i="15"/>
  <c r="D207" i="15"/>
  <c r="E207" i="15"/>
  <c r="F207" i="15"/>
  <c r="G207" i="15" s="1"/>
  <c r="H207" i="15" s="1"/>
  <c r="I207" i="15"/>
  <c r="A208" i="15"/>
  <c r="B208" i="15"/>
  <c r="C208" i="15"/>
  <c r="D208" i="15"/>
  <c r="E208" i="15"/>
  <c r="A209" i="15"/>
  <c r="B209" i="15"/>
  <c r="C209" i="15"/>
  <c r="D209" i="15"/>
  <c r="E209" i="15"/>
  <c r="G209" i="15" s="1"/>
  <c r="H209" i="15" s="1"/>
  <c r="F209" i="15"/>
  <c r="I209" i="15"/>
  <c r="A210" i="15"/>
  <c r="B210" i="15"/>
  <c r="C210" i="15"/>
  <c r="D210" i="15"/>
  <c r="E210" i="15"/>
  <c r="G210" i="15" s="1"/>
  <c r="H210" i="15" s="1"/>
  <c r="F210" i="15"/>
  <c r="I210" i="15"/>
  <c r="A211" i="15"/>
  <c r="B211" i="15"/>
  <c r="C211" i="15"/>
  <c r="D211" i="15"/>
  <c r="E211" i="15"/>
  <c r="G211" i="15" s="1"/>
  <c r="H211" i="15" s="1"/>
  <c r="F211" i="15"/>
  <c r="I211" i="15"/>
  <c r="A212" i="15"/>
  <c r="F212" i="15" s="1"/>
  <c r="B212" i="15"/>
  <c r="C212" i="15"/>
  <c r="D212" i="15"/>
  <c r="E212" i="15"/>
  <c r="G212" i="15" s="1"/>
  <c r="H212" i="15"/>
  <c r="I212" i="15"/>
  <c r="A213" i="15"/>
  <c r="F213" i="15" s="1"/>
  <c r="B213" i="15"/>
  <c r="C213" i="15"/>
  <c r="D213" i="15"/>
  <c r="E213" i="15"/>
  <c r="G213" i="15"/>
  <c r="H213" i="15"/>
  <c r="I213" i="15"/>
  <c r="A214" i="15"/>
  <c r="B214" i="15"/>
  <c r="C214" i="15"/>
  <c r="D214" i="15"/>
  <c r="E214" i="15"/>
  <c r="F214" i="15"/>
  <c r="G214" i="15"/>
  <c r="H214" i="15" s="1"/>
  <c r="I214" i="15"/>
  <c r="A215" i="15"/>
  <c r="B215" i="15"/>
  <c r="C215" i="15"/>
  <c r="D215" i="15"/>
  <c r="E215" i="15"/>
  <c r="F215" i="15"/>
  <c r="G215" i="15" s="1"/>
  <c r="H215" i="15" s="1"/>
  <c r="I215" i="15"/>
  <c r="A216" i="15"/>
  <c r="F216" i="15" s="1"/>
  <c r="B216" i="15"/>
  <c r="C216" i="15"/>
  <c r="D216" i="15"/>
  <c r="E216" i="15"/>
  <c r="G216" i="15" s="1"/>
  <c r="H216" i="15" s="1"/>
  <c r="A217" i="15"/>
  <c r="B217" i="15"/>
  <c r="C217" i="15"/>
  <c r="D217" i="15"/>
  <c r="E217" i="15"/>
  <c r="G217" i="15" s="1"/>
  <c r="F217" i="15"/>
  <c r="H217" i="15"/>
  <c r="I217" i="15"/>
  <c r="A218" i="15"/>
  <c r="B218" i="15"/>
  <c r="C218" i="15"/>
  <c r="D218" i="15"/>
  <c r="E218" i="15"/>
  <c r="F218" i="15"/>
  <c r="G218" i="15"/>
  <c r="H218" i="15" s="1"/>
  <c r="I218" i="15"/>
  <c r="A219" i="15"/>
  <c r="F219" i="15" s="1"/>
  <c r="B219" i="15"/>
  <c r="C219" i="15"/>
  <c r="D219" i="15"/>
  <c r="E219" i="15"/>
  <c r="I219" i="15"/>
  <c r="A220" i="15"/>
  <c r="F220" i="15" s="1"/>
  <c r="B220" i="15"/>
  <c r="C220" i="15"/>
  <c r="D220" i="15"/>
  <c r="E220" i="15"/>
  <c r="G220" i="15" s="1"/>
  <c r="H220" i="15" s="1"/>
  <c r="A221" i="15"/>
  <c r="B221" i="15"/>
  <c r="C221" i="15"/>
  <c r="D221" i="15"/>
  <c r="E221" i="15"/>
  <c r="A222" i="15"/>
  <c r="F222" i="15" s="1"/>
  <c r="G222" i="15" s="1"/>
  <c r="H222" i="15" s="1"/>
  <c r="B222" i="15"/>
  <c r="C222" i="15"/>
  <c r="D222" i="15"/>
  <c r="E222" i="15"/>
  <c r="I222" i="15"/>
  <c r="A223" i="15"/>
  <c r="B223" i="15"/>
  <c r="C223" i="15"/>
  <c r="D223" i="15"/>
  <c r="E223" i="15"/>
  <c r="G223" i="15" s="1"/>
  <c r="H223" i="15" s="1"/>
  <c r="F223" i="15"/>
  <c r="I223" i="15"/>
  <c r="A224" i="15"/>
  <c r="F224" i="15" s="1"/>
  <c r="G224" i="15" s="1"/>
  <c r="H224" i="15" s="1"/>
  <c r="B224" i="15"/>
  <c r="C224" i="15"/>
  <c r="D224" i="15"/>
  <c r="E224" i="15"/>
  <c r="I224" i="15"/>
  <c r="A225" i="15"/>
  <c r="B225" i="15"/>
  <c r="C225" i="15"/>
  <c r="D225" i="15"/>
  <c r="E225" i="15"/>
  <c r="F225" i="15"/>
  <c r="G225" i="15" s="1"/>
  <c r="H225" i="15" s="1"/>
  <c r="I225" i="15"/>
  <c r="A226" i="15"/>
  <c r="B226" i="15"/>
  <c r="C226" i="15"/>
  <c r="D226" i="15"/>
  <c r="E226" i="15"/>
  <c r="G226" i="15" s="1"/>
  <c r="H226" i="15" s="1"/>
  <c r="F226" i="15"/>
  <c r="I226" i="15"/>
  <c r="A227" i="15"/>
  <c r="F227" i="15" s="1"/>
  <c r="B227" i="15"/>
  <c r="C227" i="15"/>
  <c r="D227" i="15"/>
  <c r="E227" i="15"/>
  <c r="I227" i="15"/>
  <c r="A228" i="15"/>
  <c r="F228" i="15" s="1"/>
  <c r="B228" i="15"/>
  <c r="C228" i="15"/>
  <c r="D228" i="15"/>
  <c r="E228" i="15"/>
  <c r="I228" i="15"/>
  <c r="A229" i="15"/>
  <c r="F229" i="15" s="1"/>
  <c r="G229" i="15" s="1"/>
  <c r="B229" i="15"/>
  <c r="C229" i="15"/>
  <c r="D229" i="15"/>
  <c r="E229" i="15"/>
  <c r="H229" i="15"/>
  <c r="A230" i="15"/>
  <c r="F230" i="15" s="1"/>
  <c r="G230" i="15" s="1"/>
  <c r="H230" i="15" s="1"/>
  <c r="B230" i="15"/>
  <c r="C230" i="15"/>
  <c r="D230" i="15"/>
  <c r="E230" i="15"/>
  <c r="I230" i="15"/>
  <c r="A231" i="15"/>
  <c r="B231" i="15"/>
  <c r="C231" i="15"/>
  <c r="D231" i="15"/>
  <c r="E231" i="15"/>
  <c r="F231" i="15"/>
  <c r="G231" i="15" s="1"/>
  <c r="H231" i="15" s="1"/>
  <c r="I231" i="15"/>
  <c r="A232" i="15"/>
  <c r="F232" i="15" s="1"/>
  <c r="B232" i="15"/>
  <c r="C232" i="15"/>
  <c r="D232" i="15"/>
  <c r="E232" i="15"/>
  <c r="I232" i="15"/>
  <c r="A233" i="15"/>
  <c r="B233" i="15"/>
  <c r="C233" i="15"/>
  <c r="D233" i="15"/>
  <c r="E233" i="15"/>
  <c r="G233" i="15" s="1"/>
  <c r="H233" i="15" s="1"/>
  <c r="F233" i="15"/>
  <c r="I233" i="15"/>
  <c r="A234" i="15"/>
  <c r="B234" i="15"/>
  <c r="C234" i="15"/>
  <c r="D234" i="15"/>
  <c r="E234" i="15"/>
  <c r="G234" i="15" s="1"/>
  <c r="H234" i="15" s="1"/>
  <c r="F234" i="15"/>
  <c r="I234" i="15"/>
  <c r="A235" i="15"/>
  <c r="B235" i="15"/>
  <c r="C235" i="15"/>
  <c r="D235" i="15"/>
  <c r="E235" i="15"/>
  <c r="G235" i="15" s="1"/>
  <c r="H235" i="15" s="1"/>
  <c r="F235" i="15"/>
  <c r="I235" i="15"/>
  <c r="A236" i="15"/>
  <c r="F236" i="15" s="1"/>
  <c r="B236" i="15"/>
  <c r="C236" i="15"/>
  <c r="D236" i="15"/>
  <c r="E236" i="15"/>
  <c r="G236" i="15" s="1"/>
  <c r="H236" i="15"/>
  <c r="I236" i="15"/>
  <c r="A237" i="15"/>
  <c r="F237" i="15" s="1"/>
  <c r="G237" i="15" s="1"/>
  <c r="H237" i="15" s="1"/>
  <c r="B237" i="15"/>
  <c r="C237" i="15"/>
  <c r="D237" i="15"/>
  <c r="E237" i="15"/>
  <c r="A238" i="15"/>
  <c r="F238" i="15" s="1"/>
  <c r="G238" i="15" s="1"/>
  <c r="H238" i="15" s="1"/>
  <c r="B238" i="15"/>
  <c r="C238" i="15"/>
  <c r="D238" i="15"/>
  <c r="E238" i="15"/>
  <c r="I238" i="15"/>
  <c r="A239" i="15"/>
  <c r="B239" i="15"/>
  <c r="C239" i="15"/>
  <c r="D239" i="15"/>
  <c r="E239" i="15"/>
  <c r="F239" i="15"/>
  <c r="G239" i="15" s="1"/>
  <c r="H239" i="15" s="1"/>
  <c r="I239" i="15"/>
  <c r="A240" i="15"/>
  <c r="B240" i="15"/>
  <c r="C240" i="15"/>
  <c r="D240" i="15"/>
  <c r="E240" i="15"/>
  <c r="G240" i="15" s="1"/>
  <c r="H240" i="15" s="1"/>
  <c r="F240" i="15"/>
  <c r="I240" i="15"/>
  <c r="A241" i="15"/>
  <c r="B241" i="15"/>
  <c r="C241" i="15"/>
  <c r="D241" i="15"/>
  <c r="E241" i="15"/>
  <c r="G241" i="15" s="1"/>
  <c r="H241" i="15" s="1"/>
  <c r="F241" i="15"/>
  <c r="I241" i="15"/>
  <c r="A242" i="15"/>
  <c r="B242" i="15"/>
  <c r="C242" i="15"/>
  <c r="D242" i="15"/>
  <c r="E242" i="15"/>
  <c r="G242" i="15" s="1"/>
  <c r="H242" i="15" s="1"/>
  <c r="F242" i="15"/>
  <c r="I242" i="15"/>
  <c r="A243" i="15"/>
  <c r="B243" i="15"/>
  <c r="C243" i="15"/>
  <c r="D243" i="15"/>
  <c r="E243" i="15"/>
  <c r="G243" i="15" s="1"/>
  <c r="H243" i="15" s="1"/>
  <c r="F243" i="15"/>
  <c r="I243" i="15"/>
  <c r="A244" i="15"/>
  <c r="B244" i="15"/>
  <c r="C244" i="15"/>
  <c r="D244" i="15"/>
  <c r="E244" i="15"/>
  <c r="G244" i="15" s="1"/>
  <c r="F244" i="15"/>
  <c r="H244" i="15"/>
  <c r="I244" i="15"/>
  <c r="A245" i="15"/>
  <c r="F245" i="15" s="1"/>
  <c r="G245" i="15" s="1"/>
  <c r="H245" i="15" s="1"/>
  <c r="B245" i="15"/>
  <c r="C245" i="15"/>
  <c r="D245" i="15"/>
  <c r="E245" i="15"/>
  <c r="I245" i="15"/>
  <c r="A246" i="15"/>
  <c r="B246" i="15"/>
  <c r="C246" i="15"/>
  <c r="D246" i="15"/>
  <c r="E246" i="15"/>
  <c r="F246" i="15"/>
  <c r="G246" i="15" s="1"/>
  <c r="H246" i="15" s="1"/>
  <c r="I246" i="15"/>
  <c r="A247" i="15"/>
  <c r="F247" i="15" s="1"/>
  <c r="B247" i="15"/>
  <c r="C247" i="15"/>
  <c r="D247" i="15"/>
  <c r="E247" i="15"/>
  <c r="G247" i="15" s="1"/>
  <c r="H247" i="15" s="1"/>
  <c r="I247" i="15"/>
  <c r="A248" i="15"/>
  <c r="B248" i="15"/>
  <c r="C248" i="15"/>
  <c r="D248" i="15"/>
  <c r="E248" i="15"/>
  <c r="F248" i="15"/>
  <c r="G248" i="15" s="1"/>
  <c r="H248" i="15" s="1"/>
  <c r="I248" i="15"/>
  <c r="A249" i="15"/>
  <c r="B249" i="15"/>
  <c r="C249" i="15"/>
  <c r="D249" i="15"/>
  <c r="E249" i="15"/>
  <c r="G249" i="15" s="1"/>
  <c r="H249" i="15" s="1"/>
  <c r="F249" i="15"/>
  <c r="I249" i="15"/>
  <c r="A250" i="15"/>
  <c r="B250" i="15"/>
  <c r="C250" i="15"/>
  <c r="D250" i="15"/>
  <c r="E250" i="15"/>
  <c r="G250" i="15" s="1"/>
  <c r="H250" i="15" s="1"/>
  <c r="F250" i="15"/>
  <c r="I250" i="15"/>
  <c r="A251" i="15"/>
  <c r="F251" i="15" s="1"/>
  <c r="B251" i="15"/>
  <c r="C251" i="15"/>
  <c r="D251" i="15"/>
  <c r="E251" i="15"/>
  <c r="A252" i="15"/>
  <c r="B252" i="15"/>
  <c r="C252" i="15"/>
  <c r="D252" i="15"/>
  <c r="E252" i="15"/>
  <c r="G252" i="15" s="1"/>
  <c r="F252" i="15"/>
  <c r="H252" i="15"/>
  <c r="I252" i="15"/>
  <c r="A253" i="15"/>
  <c r="F253" i="15" s="1"/>
  <c r="G253" i="15" s="1"/>
  <c r="H253" i="15" s="1"/>
  <c r="B253" i="15"/>
  <c r="C253" i="15"/>
  <c r="D253" i="15"/>
  <c r="E253" i="15"/>
  <c r="I253" i="15"/>
  <c r="A254" i="15"/>
  <c r="B254" i="15"/>
  <c r="C254" i="15"/>
  <c r="D254" i="15"/>
  <c r="E254" i="15"/>
  <c r="F254" i="15"/>
  <c r="G254" i="15" s="1"/>
  <c r="H254" i="15" s="1"/>
  <c r="I254" i="15"/>
  <c r="A255" i="15"/>
  <c r="F255" i="15" s="1"/>
  <c r="B255" i="15"/>
  <c r="C255" i="15"/>
  <c r="D255" i="15"/>
  <c r="E255" i="15"/>
  <c r="G255" i="15" s="1"/>
  <c r="H255" i="15" s="1"/>
  <c r="I255" i="15"/>
  <c r="A256" i="15"/>
  <c r="B256" i="15"/>
  <c r="C256" i="15"/>
  <c r="D256" i="15"/>
  <c r="E256" i="15"/>
  <c r="F256" i="15"/>
  <c r="G256" i="15" s="1"/>
  <c r="H256" i="15" s="1"/>
  <c r="I256" i="15"/>
  <c r="A257" i="15"/>
  <c r="B257" i="15"/>
  <c r="C257" i="15"/>
  <c r="D257" i="15"/>
  <c r="E257" i="15"/>
  <c r="G257" i="15" s="1"/>
  <c r="H257" i="15" s="1"/>
  <c r="F257" i="15"/>
  <c r="I257" i="15"/>
  <c r="A258" i="15"/>
  <c r="B258" i="15"/>
  <c r="C258" i="15"/>
  <c r="D258" i="15"/>
  <c r="E258" i="15"/>
  <c r="G258" i="15" s="1"/>
  <c r="H258" i="15" s="1"/>
  <c r="F258" i="15"/>
  <c r="I258" i="15"/>
  <c r="A259" i="15"/>
  <c r="F259" i="15" s="1"/>
  <c r="B259" i="15"/>
  <c r="C259" i="15"/>
  <c r="D259" i="15"/>
  <c r="E259" i="15"/>
  <c r="A260" i="15"/>
  <c r="B260" i="15"/>
  <c r="C260" i="15"/>
  <c r="D260" i="15"/>
  <c r="E260" i="15"/>
  <c r="G260" i="15" s="1"/>
  <c r="H260" i="15" s="1"/>
  <c r="F260" i="15"/>
  <c r="I260" i="15"/>
  <c r="A261" i="15"/>
  <c r="F261" i="15" s="1"/>
  <c r="G261" i="15" s="1"/>
  <c r="H261" i="15" s="1"/>
  <c r="B261" i="15"/>
  <c r="C261" i="15"/>
  <c r="D261" i="15"/>
  <c r="E261" i="15"/>
  <c r="I261" i="15"/>
  <c r="A262" i="15"/>
  <c r="B262" i="15"/>
  <c r="C262" i="15"/>
  <c r="D262" i="15"/>
  <c r="E262" i="15"/>
  <c r="F262" i="15"/>
  <c r="G262" i="15" s="1"/>
  <c r="H262" i="15" s="1"/>
  <c r="I262" i="15"/>
  <c r="A263" i="15"/>
  <c r="F263" i="15" s="1"/>
  <c r="B263" i="15"/>
  <c r="C263" i="15"/>
  <c r="D263" i="15"/>
  <c r="E263" i="15"/>
  <c r="G263" i="15" s="1"/>
  <c r="H263" i="15" s="1"/>
  <c r="I263" i="15"/>
  <c r="A264" i="15"/>
  <c r="B264" i="15"/>
  <c r="C264" i="15"/>
  <c r="D264" i="15"/>
  <c r="E264" i="15"/>
  <c r="F264" i="15"/>
  <c r="G264" i="15" s="1"/>
  <c r="H264" i="15" s="1"/>
  <c r="I264" i="15"/>
  <c r="A265" i="15"/>
  <c r="B265" i="15"/>
  <c r="C265" i="15"/>
  <c r="D265" i="15"/>
  <c r="E265" i="15"/>
  <c r="G265" i="15" s="1"/>
  <c r="H265" i="15" s="1"/>
  <c r="F265" i="15"/>
  <c r="I265" i="15"/>
  <c r="A266" i="15"/>
  <c r="B266" i="15"/>
  <c r="C266" i="15"/>
  <c r="D266" i="15"/>
  <c r="E266" i="15"/>
  <c r="G266" i="15" s="1"/>
  <c r="H266" i="15" s="1"/>
  <c r="F266" i="15"/>
  <c r="I266" i="15"/>
  <c r="A267" i="15"/>
  <c r="F267" i="15" s="1"/>
  <c r="B267" i="15"/>
  <c r="C267" i="15"/>
  <c r="D267" i="15"/>
  <c r="E267" i="15"/>
  <c r="A268" i="15"/>
  <c r="B268" i="15"/>
  <c r="C268" i="15"/>
  <c r="D268" i="15"/>
  <c r="E268" i="15"/>
  <c r="G268" i="15" s="1"/>
  <c r="H268" i="15" s="1"/>
  <c r="F268" i="15"/>
  <c r="I268" i="15"/>
  <c r="A269" i="15"/>
  <c r="F269" i="15" s="1"/>
  <c r="B269" i="15"/>
  <c r="C269" i="15"/>
  <c r="D269" i="15"/>
  <c r="E269" i="15"/>
  <c r="G269" i="15"/>
  <c r="H269" i="15" s="1"/>
  <c r="I269" i="15"/>
  <c r="A270" i="15"/>
  <c r="B270" i="15"/>
  <c r="C270" i="15"/>
  <c r="D270" i="15"/>
  <c r="E270" i="15"/>
  <c r="F270" i="15"/>
  <c r="G270" i="15" s="1"/>
  <c r="H270" i="15" s="1"/>
  <c r="I270" i="15"/>
  <c r="A271" i="15"/>
  <c r="F271" i="15" s="1"/>
  <c r="B271" i="15"/>
  <c r="C271" i="15"/>
  <c r="D271" i="15"/>
  <c r="E271" i="15"/>
  <c r="G271" i="15" s="1"/>
  <c r="H271" i="15" s="1"/>
  <c r="I271" i="15"/>
  <c r="A272" i="15"/>
  <c r="B272" i="15"/>
  <c r="C272" i="15"/>
  <c r="D272" i="15"/>
  <c r="E272" i="15"/>
  <c r="F272" i="15"/>
  <c r="G272" i="15" s="1"/>
  <c r="H272" i="15" s="1"/>
  <c r="I272" i="15"/>
  <c r="A273" i="15"/>
  <c r="B273" i="15"/>
  <c r="C273" i="15"/>
  <c r="D273" i="15"/>
  <c r="E273" i="15"/>
  <c r="G273" i="15" s="1"/>
  <c r="H273" i="15" s="1"/>
  <c r="F273" i="15"/>
  <c r="I273" i="15"/>
  <c r="A274" i="15"/>
  <c r="B274" i="15"/>
  <c r="C274" i="15"/>
  <c r="D274" i="15"/>
  <c r="E274" i="15"/>
  <c r="G274" i="15" s="1"/>
  <c r="H274" i="15" s="1"/>
  <c r="F274" i="15"/>
  <c r="I274" i="15"/>
  <c r="A275" i="15"/>
  <c r="F275" i="15" s="1"/>
  <c r="B275" i="15"/>
  <c r="C275" i="15"/>
  <c r="D275" i="15"/>
  <c r="E275" i="15"/>
  <c r="G275" i="15" s="1"/>
  <c r="H275" i="15" s="1"/>
  <c r="A276" i="15"/>
  <c r="B276" i="15"/>
  <c r="C276" i="15"/>
  <c r="D276" i="15"/>
  <c r="E276" i="15"/>
  <c r="G276" i="15" s="1"/>
  <c r="F276" i="15"/>
  <c r="H276" i="15"/>
  <c r="I276" i="15"/>
  <c r="A277" i="15"/>
  <c r="F277" i="15" s="1"/>
  <c r="B277" i="15"/>
  <c r="C277" i="15"/>
  <c r="D277" i="15"/>
  <c r="E277" i="15"/>
  <c r="G277" i="15"/>
  <c r="H277" i="15" s="1"/>
  <c r="I277" i="15"/>
  <c r="A278" i="15"/>
  <c r="B278" i="15"/>
  <c r="C278" i="15"/>
  <c r="D278" i="15"/>
  <c r="E278" i="15"/>
  <c r="F278" i="15"/>
  <c r="G278" i="15" s="1"/>
  <c r="H278" i="15" s="1"/>
  <c r="I278" i="15"/>
  <c r="A279" i="15"/>
  <c r="F279" i="15" s="1"/>
  <c r="B279" i="15"/>
  <c r="C279" i="15"/>
  <c r="D279" i="15"/>
  <c r="E279" i="15"/>
  <c r="I279" i="15"/>
  <c r="A280" i="15"/>
  <c r="B280" i="15"/>
  <c r="C280" i="15"/>
  <c r="D280" i="15"/>
  <c r="E280" i="15"/>
  <c r="F280" i="15"/>
  <c r="G280" i="15" s="1"/>
  <c r="H280" i="15" s="1"/>
  <c r="I280" i="15"/>
  <c r="A281" i="15"/>
  <c r="B281" i="15"/>
  <c r="C281" i="15"/>
  <c r="D281" i="15"/>
  <c r="E281" i="15"/>
  <c r="G281" i="15" s="1"/>
  <c r="H281" i="15" s="1"/>
  <c r="F281" i="15"/>
  <c r="I281" i="15"/>
  <c r="A282" i="15"/>
  <c r="B282" i="15"/>
  <c r="C282" i="15"/>
  <c r="D282" i="15"/>
  <c r="E282" i="15"/>
  <c r="G282" i="15" s="1"/>
  <c r="H282" i="15" s="1"/>
  <c r="F282" i="15"/>
  <c r="I282" i="15"/>
  <c r="A283" i="15"/>
  <c r="F283" i="15" s="1"/>
  <c r="B283" i="15"/>
  <c r="C283" i="15"/>
  <c r="D283" i="15"/>
  <c r="E283" i="15"/>
  <c r="G283" i="15" s="1"/>
  <c r="H283" i="15" s="1"/>
  <c r="I283" i="15"/>
  <c r="A284" i="15"/>
  <c r="B284" i="15"/>
  <c r="C284" i="15"/>
  <c r="D284" i="15"/>
  <c r="E284" i="15"/>
  <c r="G284" i="15" s="1"/>
  <c r="F284" i="15"/>
  <c r="H284" i="15"/>
  <c r="I284" i="15"/>
  <c r="A285" i="15"/>
  <c r="F285" i="15" s="1"/>
  <c r="B285" i="15"/>
  <c r="C285" i="15"/>
  <c r="D285" i="15"/>
  <c r="E285" i="15"/>
  <c r="G285" i="15"/>
  <c r="H285" i="15" s="1"/>
  <c r="I285" i="15"/>
  <c r="A286" i="15"/>
  <c r="B286" i="15"/>
  <c r="C286" i="15"/>
  <c r="D286" i="15"/>
  <c r="E286" i="15"/>
  <c r="F286" i="15"/>
  <c r="G286" i="15" s="1"/>
  <c r="H286" i="15" s="1"/>
  <c r="I286" i="15"/>
  <c r="A287" i="15"/>
  <c r="F287" i="15" s="1"/>
  <c r="B287" i="15"/>
  <c r="C287" i="15"/>
  <c r="D287" i="15"/>
  <c r="E287" i="15"/>
  <c r="I287" i="15"/>
  <c r="A288" i="15"/>
  <c r="B288" i="15"/>
  <c r="C288" i="15"/>
  <c r="D288" i="15"/>
  <c r="E288" i="15"/>
  <c r="F288" i="15"/>
  <c r="G288" i="15" s="1"/>
  <c r="H288" i="15" s="1"/>
  <c r="I288" i="15"/>
  <c r="A289" i="15"/>
  <c r="B289" i="15"/>
  <c r="C289" i="15"/>
  <c r="D289" i="15"/>
  <c r="E289" i="15"/>
  <c r="G289" i="15" s="1"/>
  <c r="H289" i="15" s="1"/>
  <c r="F289" i="15"/>
  <c r="I289" i="15"/>
  <c r="A290" i="15"/>
  <c r="B290" i="15"/>
  <c r="C290" i="15"/>
  <c r="D290" i="15"/>
  <c r="E290" i="15"/>
  <c r="G290" i="15" s="1"/>
  <c r="H290" i="15" s="1"/>
  <c r="F290" i="15"/>
  <c r="I290" i="15"/>
  <c r="A291" i="15"/>
  <c r="F291" i="15" s="1"/>
  <c r="B291" i="15"/>
  <c r="C291" i="15"/>
  <c r="D291" i="15"/>
  <c r="E291" i="15"/>
  <c r="I291" i="15"/>
  <c r="A292" i="15"/>
  <c r="B292" i="15"/>
  <c r="C292" i="15"/>
  <c r="D292" i="15"/>
  <c r="E292" i="15"/>
  <c r="G292" i="15" s="1"/>
  <c r="H292" i="15" s="1"/>
  <c r="F292" i="15"/>
  <c r="I292" i="15"/>
  <c r="A293" i="15"/>
  <c r="F293" i="15" s="1"/>
  <c r="G293" i="15" s="1"/>
  <c r="H293" i="15" s="1"/>
  <c r="B293" i="15"/>
  <c r="C293" i="15"/>
  <c r="D293" i="15"/>
  <c r="E293" i="15"/>
  <c r="I293" i="15"/>
  <c r="A294" i="15"/>
  <c r="B294" i="15"/>
  <c r="C294" i="15"/>
  <c r="D294" i="15"/>
  <c r="E294" i="15"/>
  <c r="F294" i="15"/>
  <c r="G294" i="15" s="1"/>
  <c r="H294" i="15" s="1"/>
  <c r="I294" i="15"/>
  <c r="A295" i="15"/>
  <c r="F295" i="15" s="1"/>
  <c r="B295" i="15"/>
  <c r="C295" i="15"/>
  <c r="D295" i="15"/>
  <c r="E295" i="15"/>
  <c r="I295" i="15"/>
  <c r="A296" i="15"/>
  <c r="B296" i="15"/>
  <c r="C296" i="15"/>
  <c r="D296" i="15"/>
  <c r="E296" i="15"/>
  <c r="F296" i="15"/>
  <c r="G296" i="15" s="1"/>
  <c r="H296" i="15" s="1"/>
  <c r="I296" i="15"/>
  <c r="A297" i="15"/>
  <c r="B297" i="15"/>
  <c r="C297" i="15"/>
  <c r="D297" i="15"/>
  <c r="E297" i="15"/>
  <c r="G297" i="15" s="1"/>
  <c r="H297" i="15" s="1"/>
  <c r="F297" i="15"/>
  <c r="I297" i="15"/>
  <c r="A298" i="15"/>
  <c r="B298" i="15"/>
  <c r="C298" i="15"/>
  <c r="D298" i="15"/>
  <c r="E298" i="15"/>
  <c r="G298" i="15" s="1"/>
  <c r="H298" i="15" s="1"/>
  <c r="F298" i="15"/>
  <c r="I298" i="15"/>
  <c r="A299" i="15"/>
  <c r="F299" i="15" s="1"/>
  <c r="B299" i="15"/>
  <c r="C299" i="15"/>
  <c r="D299" i="15"/>
  <c r="E299" i="15"/>
  <c r="G299" i="15" s="1"/>
  <c r="H299" i="15" s="1"/>
  <c r="I299" i="15"/>
  <c r="A300" i="15"/>
  <c r="B300" i="15"/>
  <c r="C300" i="15"/>
  <c r="D300" i="15"/>
  <c r="E300" i="15"/>
  <c r="G300" i="15" s="1"/>
  <c r="F300" i="15"/>
  <c r="H300" i="15"/>
  <c r="I300" i="15"/>
  <c r="A301" i="15"/>
  <c r="F301" i="15" s="1"/>
  <c r="G301" i="15" s="1"/>
  <c r="H301" i="15" s="1"/>
  <c r="B301" i="15"/>
  <c r="C301" i="15"/>
  <c r="D301" i="15"/>
  <c r="E301" i="15"/>
  <c r="I301" i="15"/>
  <c r="A302" i="15"/>
  <c r="B302" i="15"/>
  <c r="C302" i="15"/>
  <c r="D302" i="15"/>
  <c r="E302" i="15"/>
  <c r="F302" i="15"/>
  <c r="G302" i="15" s="1"/>
  <c r="H302" i="15" s="1"/>
  <c r="I302" i="15"/>
  <c r="A303" i="15"/>
  <c r="F303" i="15" s="1"/>
  <c r="B303" i="15"/>
  <c r="C303" i="15"/>
  <c r="D303" i="15"/>
  <c r="E303" i="15"/>
  <c r="I303" i="15"/>
  <c r="A304" i="15"/>
  <c r="B304" i="15"/>
  <c r="C304" i="15"/>
  <c r="D304" i="15"/>
  <c r="E304" i="15"/>
  <c r="F304" i="15"/>
  <c r="G304" i="15" s="1"/>
  <c r="H304" i="15" s="1"/>
  <c r="I304" i="15"/>
  <c r="A305" i="15"/>
  <c r="B305" i="15"/>
  <c r="C305" i="15"/>
  <c r="D305" i="15"/>
  <c r="E305" i="15"/>
  <c r="G305" i="15" s="1"/>
  <c r="H305" i="15" s="1"/>
  <c r="F305" i="15"/>
  <c r="I305" i="15"/>
  <c r="A306" i="15"/>
  <c r="B306" i="15"/>
  <c r="C306" i="15"/>
  <c r="D306" i="15"/>
  <c r="E306" i="15"/>
  <c r="G306" i="15" s="1"/>
  <c r="H306" i="15" s="1"/>
  <c r="F306" i="15"/>
  <c r="I306" i="15"/>
  <c r="A307" i="15"/>
  <c r="F307" i="15" s="1"/>
  <c r="B307" i="15"/>
  <c r="C307" i="15"/>
  <c r="D307" i="15"/>
  <c r="E307" i="15"/>
  <c r="A308" i="15"/>
  <c r="B308" i="15"/>
  <c r="C308" i="15"/>
  <c r="D308" i="15"/>
  <c r="E308" i="15"/>
  <c r="G308" i="15" s="1"/>
  <c r="F308" i="15"/>
  <c r="H308" i="15"/>
  <c r="I308" i="15"/>
  <c r="A309" i="15"/>
  <c r="F309" i="15" s="1"/>
  <c r="G309" i="15" s="1"/>
  <c r="H309" i="15" s="1"/>
  <c r="B309" i="15"/>
  <c r="C309" i="15"/>
  <c r="D309" i="15"/>
  <c r="E309" i="15"/>
  <c r="I309" i="15"/>
  <c r="A310" i="15"/>
  <c r="B310" i="15"/>
  <c r="C310" i="15"/>
  <c r="D310" i="15"/>
  <c r="E310" i="15"/>
  <c r="F310" i="15"/>
  <c r="G310" i="15" s="1"/>
  <c r="H310" i="15" s="1"/>
  <c r="I310" i="15"/>
  <c r="A311" i="15"/>
  <c r="F311" i="15" s="1"/>
  <c r="B311" i="15"/>
  <c r="C311" i="15"/>
  <c r="D311" i="15"/>
  <c r="E311" i="15"/>
  <c r="G311" i="15" s="1"/>
  <c r="H311" i="15" s="1"/>
  <c r="I311" i="15"/>
  <c r="A312" i="15"/>
  <c r="B312" i="15"/>
  <c r="C312" i="15"/>
  <c r="D312" i="15"/>
  <c r="E312" i="15"/>
  <c r="F312" i="15"/>
  <c r="G312" i="15" s="1"/>
  <c r="H312" i="15" s="1"/>
  <c r="I312" i="15"/>
  <c r="A313" i="15"/>
  <c r="B313" i="15"/>
  <c r="C313" i="15"/>
  <c r="D313" i="15"/>
  <c r="E313" i="15"/>
  <c r="G313" i="15" s="1"/>
  <c r="H313" i="15" s="1"/>
  <c r="F313" i="15"/>
  <c r="I313" i="15"/>
  <c r="A314" i="15"/>
  <c r="B314" i="15"/>
  <c r="C314" i="15"/>
  <c r="D314" i="15"/>
  <c r="E314" i="15"/>
  <c r="G314" i="15" s="1"/>
  <c r="H314" i="15" s="1"/>
  <c r="F314" i="15"/>
  <c r="I314" i="15"/>
  <c r="A315" i="15"/>
  <c r="F315" i="15" s="1"/>
  <c r="B315" i="15"/>
  <c r="C315" i="15"/>
  <c r="D315" i="15"/>
  <c r="E315" i="15"/>
  <c r="A316" i="15"/>
  <c r="B316" i="15"/>
  <c r="C316" i="15"/>
  <c r="D316" i="15"/>
  <c r="E316" i="15"/>
  <c r="G316" i="15" s="1"/>
  <c r="F316" i="15"/>
  <c r="H316" i="15"/>
  <c r="I316" i="15"/>
  <c r="A317" i="15"/>
  <c r="F317" i="15" s="1"/>
  <c r="G317" i="15" s="1"/>
  <c r="H317" i="15" s="1"/>
  <c r="B317" i="15"/>
  <c r="C317" i="15"/>
  <c r="D317" i="15"/>
  <c r="E317" i="15"/>
  <c r="I317" i="15"/>
  <c r="A318" i="15"/>
  <c r="B318" i="15"/>
  <c r="C318" i="15"/>
  <c r="D318" i="15"/>
  <c r="E318" i="15"/>
  <c r="F318" i="15"/>
  <c r="G318" i="15" s="1"/>
  <c r="H318" i="15" s="1"/>
  <c r="I318" i="15"/>
  <c r="A319" i="15"/>
  <c r="F319" i="15" s="1"/>
  <c r="B319" i="15"/>
  <c r="C319" i="15"/>
  <c r="D319" i="15"/>
  <c r="E319" i="15"/>
  <c r="G319" i="15" s="1"/>
  <c r="H319" i="15" s="1"/>
  <c r="I319" i="15"/>
  <c r="A320" i="15"/>
  <c r="B320" i="15"/>
  <c r="C320" i="15"/>
  <c r="D320" i="15"/>
  <c r="E320" i="15"/>
  <c r="F320" i="15"/>
  <c r="G320" i="15" s="1"/>
  <c r="H320" i="15" s="1"/>
  <c r="I320" i="15"/>
  <c r="A321" i="15"/>
  <c r="B321" i="15"/>
  <c r="C321" i="15"/>
  <c r="D321" i="15"/>
  <c r="E321" i="15"/>
  <c r="G321" i="15" s="1"/>
  <c r="H321" i="15" s="1"/>
  <c r="F321" i="15"/>
  <c r="I321" i="15"/>
  <c r="A322" i="15"/>
  <c r="B322" i="15"/>
  <c r="C322" i="15"/>
  <c r="D322" i="15"/>
  <c r="E322" i="15"/>
  <c r="G322" i="15" s="1"/>
  <c r="H322" i="15" s="1"/>
  <c r="F322" i="15"/>
  <c r="I322" i="15"/>
  <c r="A323" i="15"/>
  <c r="F323" i="15" s="1"/>
  <c r="B323" i="15"/>
  <c r="C323" i="15"/>
  <c r="D323" i="15"/>
  <c r="E323" i="15"/>
  <c r="A324" i="15"/>
  <c r="B324" i="15"/>
  <c r="C324" i="15"/>
  <c r="D324" i="15"/>
  <c r="E324" i="15"/>
  <c r="G324" i="15" s="1"/>
  <c r="H324" i="15" s="1"/>
  <c r="F324" i="15"/>
  <c r="I324" i="15"/>
  <c r="A325" i="15"/>
  <c r="F325" i="15" s="1"/>
  <c r="G325" i="15" s="1"/>
  <c r="H325" i="15" s="1"/>
  <c r="B325" i="15"/>
  <c r="C325" i="15"/>
  <c r="D325" i="15"/>
  <c r="E325" i="15"/>
  <c r="I325" i="15"/>
  <c r="A326" i="15"/>
  <c r="B326" i="15"/>
  <c r="C326" i="15"/>
  <c r="D326" i="15"/>
  <c r="E326" i="15"/>
  <c r="F326" i="15"/>
  <c r="G326" i="15" s="1"/>
  <c r="H326" i="15" s="1"/>
  <c r="I326" i="15"/>
  <c r="A327" i="15"/>
  <c r="F327" i="15" s="1"/>
  <c r="B327" i="15"/>
  <c r="C327" i="15"/>
  <c r="D327" i="15"/>
  <c r="E327" i="15"/>
  <c r="G327" i="15" s="1"/>
  <c r="H327" i="15" s="1"/>
  <c r="I327" i="15"/>
  <c r="A328" i="15"/>
  <c r="B328" i="15"/>
  <c r="C328" i="15"/>
  <c r="D328" i="15"/>
  <c r="E328" i="15"/>
  <c r="F328" i="15"/>
  <c r="G328" i="15" s="1"/>
  <c r="H328" i="15" s="1"/>
  <c r="I328" i="15"/>
  <c r="A329" i="15"/>
  <c r="B329" i="15"/>
  <c r="C329" i="15"/>
  <c r="D329" i="15"/>
  <c r="E329" i="15"/>
  <c r="G329" i="15" s="1"/>
  <c r="H329" i="15" s="1"/>
  <c r="F329" i="15"/>
  <c r="I329" i="15"/>
  <c r="A330" i="15"/>
  <c r="B330" i="15"/>
  <c r="C330" i="15"/>
  <c r="D330" i="15"/>
  <c r="E330" i="15"/>
  <c r="G330" i="15" s="1"/>
  <c r="H330" i="15" s="1"/>
  <c r="F330" i="15"/>
  <c r="I330" i="15"/>
  <c r="A331" i="15"/>
  <c r="F331" i="15" s="1"/>
  <c r="B331" i="15"/>
  <c r="C331" i="15"/>
  <c r="D331" i="15"/>
  <c r="E331" i="15"/>
  <c r="A332" i="15"/>
  <c r="B332" i="15"/>
  <c r="C332" i="15"/>
  <c r="D332" i="15"/>
  <c r="E332" i="15"/>
  <c r="G332" i="15" s="1"/>
  <c r="H332" i="15" s="1"/>
  <c r="F332" i="15"/>
  <c r="I332" i="15"/>
  <c r="A333" i="15"/>
  <c r="F333" i="15" s="1"/>
  <c r="B333" i="15"/>
  <c r="C333" i="15"/>
  <c r="D333" i="15"/>
  <c r="E333" i="15"/>
  <c r="G333" i="15"/>
  <c r="H333" i="15" s="1"/>
  <c r="I333" i="15"/>
  <c r="A334" i="15"/>
  <c r="B334" i="15"/>
  <c r="C334" i="15"/>
  <c r="D334" i="15"/>
  <c r="E334" i="15"/>
  <c r="F334" i="15"/>
  <c r="G334" i="15" s="1"/>
  <c r="H334" i="15" s="1"/>
  <c r="I334" i="15"/>
  <c r="A335" i="15"/>
  <c r="F335" i="15" s="1"/>
  <c r="B335" i="15"/>
  <c r="C335" i="15"/>
  <c r="D335" i="15"/>
  <c r="E335" i="15"/>
  <c r="G335" i="15" s="1"/>
  <c r="H335" i="15" s="1"/>
  <c r="I335" i="15"/>
  <c r="A336" i="15"/>
  <c r="B336" i="15"/>
  <c r="C336" i="15"/>
  <c r="D336" i="15"/>
  <c r="E336" i="15"/>
  <c r="F336" i="15"/>
  <c r="G336" i="15" s="1"/>
  <c r="H336" i="15" s="1"/>
  <c r="I336" i="15"/>
  <c r="A337" i="15"/>
  <c r="B337" i="15"/>
  <c r="C337" i="15"/>
  <c r="D337" i="15"/>
  <c r="E337" i="15"/>
  <c r="F337" i="15"/>
  <c r="G337" i="15"/>
  <c r="H337" i="15" s="1"/>
  <c r="I337" i="15"/>
  <c r="A338" i="15"/>
  <c r="B338" i="15"/>
  <c r="C338" i="15"/>
  <c r="D338" i="15"/>
  <c r="E338" i="15"/>
  <c r="G338" i="15" s="1"/>
  <c r="H338" i="15" s="1"/>
  <c r="F338" i="15"/>
  <c r="I338" i="15"/>
  <c r="A339" i="15"/>
  <c r="F339" i="15" s="1"/>
  <c r="B339" i="15"/>
  <c r="C339" i="15"/>
  <c r="D339" i="15"/>
  <c r="E339" i="15"/>
  <c r="A340" i="15"/>
  <c r="B340" i="15"/>
  <c r="C340" i="15"/>
  <c r="D340" i="15"/>
  <c r="E340" i="15"/>
  <c r="G340" i="15" s="1"/>
  <c r="H340" i="15" s="1"/>
  <c r="F340" i="15"/>
  <c r="I340" i="15"/>
  <c r="A341" i="15"/>
  <c r="F341" i="15" s="1"/>
  <c r="B341" i="15"/>
  <c r="C341" i="15"/>
  <c r="D341" i="15"/>
  <c r="E341" i="15"/>
  <c r="G341" i="15"/>
  <c r="H341" i="15" s="1"/>
  <c r="I341" i="15"/>
  <c r="A342" i="15"/>
  <c r="B342" i="15"/>
  <c r="C342" i="15"/>
  <c r="D342" i="15"/>
  <c r="E342" i="15"/>
  <c r="F342" i="15"/>
  <c r="G342" i="15" s="1"/>
  <c r="H342" i="15" s="1"/>
  <c r="I342" i="15"/>
  <c r="A343" i="15"/>
  <c r="F343" i="15" s="1"/>
  <c r="B343" i="15"/>
  <c r="C343" i="15"/>
  <c r="D343" i="15"/>
  <c r="E343" i="15"/>
  <c r="G343" i="15" s="1"/>
  <c r="H343" i="15" s="1"/>
  <c r="I343" i="15"/>
  <c r="A344" i="15"/>
  <c r="B344" i="15"/>
  <c r="C344" i="15"/>
  <c r="D344" i="15"/>
  <c r="E344" i="15"/>
  <c r="F344" i="15"/>
  <c r="G344" i="15" s="1"/>
  <c r="H344" i="15"/>
  <c r="I344" i="15"/>
  <c r="A345" i="15"/>
  <c r="B345" i="15"/>
  <c r="C345" i="15"/>
  <c r="D345" i="15"/>
  <c r="E345" i="15"/>
  <c r="F345" i="15"/>
  <c r="G345" i="15"/>
  <c r="H345" i="15" s="1"/>
  <c r="I345" i="15"/>
  <c r="A346" i="15"/>
  <c r="B346" i="15"/>
  <c r="C346" i="15"/>
  <c r="D346" i="15"/>
  <c r="E346" i="15"/>
  <c r="F346" i="15"/>
  <c r="I346" i="15"/>
  <c r="A347" i="15"/>
  <c r="F347" i="15" s="1"/>
  <c r="B347" i="15"/>
  <c r="C347" i="15"/>
  <c r="D347" i="15"/>
  <c r="E347" i="15"/>
  <c r="A348" i="15"/>
  <c r="B348" i="15"/>
  <c r="C348" i="15"/>
  <c r="D348" i="15"/>
  <c r="E348" i="15"/>
  <c r="G348" i="15" s="1"/>
  <c r="H348" i="15" s="1"/>
  <c r="F348" i="15"/>
  <c r="I348" i="15"/>
  <c r="A349" i="15"/>
  <c r="F349" i="15" s="1"/>
  <c r="G349" i="15" s="1"/>
  <c r="H349" i="15" s="1"/>
  <c r="B349" i="15"/>
  <c r="C349" i="15"/>
  <c r="D349" i="15"/>
  <c r="E349" i="15"/>
  <c r="A350" i="15"/>
  <c r="B350" i="15"/>
  <c r="C350" i="15"/>
  <c r="D350" i="15"/>
  <c r="E350" i="15"/>
  <c r="F350" i="15"/>
  <c r="G350" i="15" s="1"/>
  <c r="H350" i="15" s="1"/>
  <c r="I350" i="15"/>
  <c r="A351" i="15"/>
  <c r="F351" i="15" s="1"/>
  <c r="B351" i="15"/>
  <c r="C351" i="15"/>
  <c r="D351" i="15"/>
  <c r="E351" i="15"/>
  <c r="G351" i="15"/>
  <c r="H351" i="15" s="1"/>
  <c r="A352" i="15"/>
  <c r="B352" i="15"/>
  <c r="C352" i="15"/>
  <c r="D352" i="15"/>
  <c r="E352" i="15"/>
  <c r="F352" i="15"/>
  <c r="G352" i="15" s="1"/>
  <c r="H352" i="15"/>
  <c r="I352" i="15"/>
  <c r="A353" i="15"/>
  <c r="B353" i="15"/>
  <c r="C353" i="15"/>
  <c r="D353" i="15"/>
  <c r="E353" i="15"/>
  <c r="F353" i="15"/>
  <c r="G353" i="15"/>
  <c r="H353" i="15" s="1"/>
  <c r="I353" i="15"/>
  <c r="A354" i="15"/>
  <c r="B354" i="15"/>
  <c r="C354" i="15"/>
  <c r="D354" i="15"/>
  <c r="E354" i="15"/>
  <c r="F354" i="15"/>
  <c r="I354" i="15"/>
  <c r="A355" i="15"/>
  <c r="F355" i="15" s="1"/>
  <c r="B355" i="15"/>
  <c r="C355" i="15"/>
  <c r="D355" i="15"/>
  <c r="E355" i="15"/>
  <c r="G355" i="15" s="1"/>
  <c r="H355" i="15" s="1"/>
  <c r="I355" i="15"/>
  <c r="A356" i="15"/>
  <c r="B356" i="15"/>
  <c r="C356" i="15"/>
  <c r="D356" i="15"/>
  <c r="E356" i="15"/>
  <c r="G356" i="15" s="1"/>
  <c r="F356" i="15"/>
  <c r="H356" i="15"/>
  <c r="I356" i="15"/>
  <c r="A357" i="15"/>
  <c r="F357" i="15" s="1"/>
  <c r="G357" i="15" s="1"/>
  <c r="H357" i="15" s="1"/>
  <c r="B357" i="15"/>
  <c r="C357" i="15"/>
  <c r="D357" i="15"/>
  <c r="E357" i="15"/>
  <c r="A358" i="15"/>
  <c r="B358" i="15"/>
  <c r="C358" i="15"/>
  <c r="D358" i="15"/>
  <c r="E358" i="15"/>
  <c r="F358" i="15"/>
  <c r="G358" i="15" s="1"/>
  <c r="H358" i="15"/>
  <c r="I358" i="15"/>
  <c r="A359" i="15"/>
  <c r="F359" i="15" s="1"/>
  <c r="G359" i="15" s="1"/>
  <c r="H359" i="15" s="1"/>
  <c r="B359" i="15"/>
  <c r="C359" i="15"/>
  <c r="D359" i="15"/>
  <c r="E359" i="15"/>
  <c r="A360" i="15"/>
  <c r="B360" i="15"/>
  <c r="C360" i="15"/>
  <c r="D360" i="15"/>
  <c r="E360" i="15"/>
  <c r="F360" i="15"/>
  <c r="G360" i="15"/>
  <c r="H360" i="15"/>
  <c r="I360" i="15"/>
  <c r="A3" i="15"/>
  <c r="B3" i="15"/>
  <c r="C3" i="15"/>
  <c r="D3" i="15"/>
  <c r="E3" i="15"/>
  <c r="F3" i="15"/>
  <c r="G3" i="15"/>
  <c r="H3" i="15" s="1"/>
  <c r="A4" i="15"/>
  <c r="B4" i="15"/>
  <c r="C4" i="15"/>
  <c r="D4" i="15"/>
  <c r="E4" i="15"/>
  <c r="G4" i="15" s="1"/>
  <c r="H4" i="15" s="1"/>
  <c r="F4" i="15"/>
  <c r="I4" i="15"/>
  <c r="A5" i="15"/>
  <c r="B5" i="15"/>
  <c r="C5" i="15"/>
  <c r="D5" i="15"/>
  <c r="E5" i="15"/>
  <c r="G5" i="15" s="1"/>
  <c r="H5" i="15" s="1"/>
  <c r="F5" i="15"/>
  <c r="I5" i="15"/>
  <c r="A6" i="15"/>
  <c r="B6" i="15"/>
  <c r="C6" i="15"/>
  <c r="D6" i="15"/>
  <c r="E6" i="15"/>
  <c r="F6" i="15"/>
  <c r="G6" i="15"/>
  <c r="H6" i="15" s="1"/>
  <c r="I6" i="15"/>
  <c r="A7" i="15"/>
  <c r="B7" i="15"/>
  <c r="C7" i="15"/>
  <c r="D7" i="15"/>
  <c r="E7" i="15"/>
  <c r="G7" i="15" s="1"/>
  <c r="H7" i="15" s="1"/>
  <c r="F7" i="15"/>
  <c r="I7" i="15"/>
  <c r="A8" i="15"/>
  <c r="B8" i="15"/>
  <c r="C8" i="15"/>
  <c r="D8" i="15"/>
  <c r="E8" i="15"/>
  <c r="G8" i="15" s="1"/>
  <c r="H8" i="15" s="1"/>
  <c r="F8" i="15"/>
  <c r="I8" i="15"/>
  <c r="A9" i="15"/>
  <c r="F9" i="15" s="1"/>
  <c r="B9" i="15"/>
  <c r="C9" i="15"/>
  <c r="D9" i="15"/>
  <c r="E9" i="15"/>
  <c r="A10" i="15"/>
  <c r="B10" i="15"/>
  <c r="C10" i="15"/>
  <c r="D10" i="15"/>
  <c r="E10" i="15"/>
  <c r="F10" i="15"/>
  <c r="G10" i="15"/>
  <c r="H10" i="15"/>
  <c r="I10" i="15"/>
  <c r="A11" i="15"/>
  <c r="B11" i="15"/>
  <c r="C11" i="15"/>
  <c r="D11" i="15"/>
  <c r="E11" i="15"/>
  <c r="F11" i="15"/>
  <c r="G11" i="15"/>
  <c r="H11" i="15" s="1"/>
  <c r="I11" i="15"/>
  <c r="A12" i="15"/>
  <c r="B12" i="15"/>
  <c r="C12" i="15"/>
  <c r="D12" i="15"/>
  <c r="E12" i="15"/>
  <c r="G12" i="15" s="1"/>
  <c r="H12" i="15" s="1"/>
  <c r="F12" i="15"/>
  <c r="I12" i="15"/>
  <c r="A13" i="15"/>
  <c r="B13" i="15"/>
  <c r="C13" i="15"/>
  <c r="D13" i="15"/>
  <c r="E13" i="15"/>
  <c r="G13" i="15" s="1"/>
  <c r="H13" i="15" s="1"/>
  <c r="F13" i="15"/>
  <c r="I13" i="15"/>
  <c r="A14" i="15"/>
  <c r="B14" i="15"/>
  <c r="C14" i="15"/>
  <c r="D14" i="15"/>
  <c r="E14" i="15"/>
  <c r="F14" i="15"/>
  <c r="G14" i="15"/>
  <c r="H14" i="15" s="1"/>
  <c r="I14" i="15"/>
  <c r="E361" i="15"/>
  <c r="D361" i="15"/>
  <c r="C361" i="15"/>
  <c r="B361" i="15"/>
  <c r="A361" i="15"/>
  <c r="I361" i="15" s="1"/>
  <c r="I2" i="15"/>
  <c r="H2" i="15"/>
  <c r="G2" i="15"/>
  <c r="F2" i="15"/>
  <c r="E2" i="15"/>
  <c r="D2" i="15"/>
  <c r="C2" i="15"/>
  <c r="B2" i="15"/>
  <c r="A2" i="15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C4" i="13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4" i="12"/>
  <c r="A27" i="12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" i="12"/>
  <c r="A7" i="12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5" i="12"/>
  <c r="A4" i="12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14" i="1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J3" i="1" s="1"/>
  <c r="F4" i="2"/>
  <c r="F5" i="2"/>
  <c r="F6" i="2"/>
  <c r="F7" i="2"/>
  <c r="F8" i="2"/>
  <c r="F9" i="2"/>
  <c r="J5" i="1" s="1"/>
  <c r="F10" i="2"/>
  <c r="F11" i="2"/>
  <c r="F12" i="2"/>
  <c r="J7" i="1" s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J12" i="1" s="1"/>
  <c r="F26" i="2"/>
  <c r="F27" i="2"/>
  <c r="F28" i="2"/>
  <c r="J14" i="1" s="1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J18" i="1" s="1"/>
  <c r="F43" i="2"/>
  <c r="H19" i="1" s="1"/>
  <c r="F44" i="2"/>
  <c r="F45" i="2"/>
  <c r="F46" i="2"/>
  <c r="F47" i="2"/>
  <c r="F48" i="2"/>
  <c r="F49" i="2"/>
  <c r="F50" i="2"/>
  <c r="F51" i="2"/>
  <c r="F52" i="2"/>
  <c r="J22" i="1" s="1"/>
  <c r="F53" i="2"/>
  <c r="F54" i="2"/>
  <c r="F55" i="2"/>
  <c r="F56" i="2"/>
  <c r="F57" i="2"/>
  <c r="F58" i="2"/>
  <c r="F59" i="2"/>
  <c r="F60" i="2"/>
  <c r="J25" i="1" s="1"/>
  <c r="F61" i="2"/>
  <c r="J26" i="1" s="1"/>
  <c r="F62" i="2"/>
  <c r="J27" i="1" s="1"/>
  <c r="F63" i="2"/>
  <c r="F64" i="2"/>
  <c r="F65" i="2"/>
  <c r="F66" i="2"/>
  <c r="F67" i="2"/>
  <c r="F68" i="2"/>
  <c r="F69" i="2"/>
  <c r="F70" i="2"/>
  <c r="F71" i="2"/>
  <c r="F72" i="2"/>
  <c r="J30" i="1" s="1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J38" i="1" s="1"/>
  <c r="F95" i="2"/>
  <c r="F96" i="2"/>
  <c r="F97" i="2"/>
  <c r="J40" i="1" s="1"/>
  <c r="F98" i="2"/>
  <c r="F99" i="2"/>
  <c r="F100" i="2"/>
  <c r="F101" i="2"/>
  <c r="F102" i="2"/>
  <c r="J42" i="1" s="1"/>
  <c r="F103" i="2"/>
  <c r="F104" i="2"/>
  <c r="F105" i="2"/>
  <c r="F106" i="2"/>
  <c r="F107" i="2"/>
  <c r="F108" i="2"/>
  <c r="J44" i="1" s="1"/>
  <c r="F109" i="2"/>
  <c r="F110" i="2"/>
  <c r="F111" i="2"/>
  <c r="F112" i="2"/>
  <c r="F113" i="2"/>
  <c r="F114" i="2"/>
  <c r="F115" i="2"/>
  <c r="J47" i="1" s="1"/>
  <c r="F116" i="2"/>
  <c r="F117" i="2"/>
  <c r="F118" i="2"/>
  <c r="F119" i="2"/>
  <c r="F120" i="2"/>
  <c r="F121" i="2"/>
  <c r="F122" i="2"/>
  <c r="F123" i="2"/>
  <c r="F124" i="2"/>
  <c r="F125" i="2"/>
  <c r="F126" i="2"/>
  <c r="J52" i="1" s="1"/>
  <c r="F127" i="2"/>
  <c r="F128" i="2"/>
  <c r="F129" i="2"/>
  <c r="F130" i="2"/>
  <c r="F131" i="2"/>
  <c r="J54" i="1" s="1"/>
  <c r="F132" i="2"/>
  <c r="F133" i="2"/>
  <c r="F134" i="2"/>
  <c r="J56" i="1" s="1"/>
  <c r="F135" i="2"/>
  <c r="F136" i="2"/>
  <c r="F137" i="2"/>
  <c r="F138" i="2"/>
  <c r="F139" i="2"/>
  <c r="F140" i="2"/>
  <c r="F141" i="2"/>
  <c r="F142" i="2"/>
  <c r="J59" i="1" s="1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J64" i="1" s="1"/>
  <c r="F156" i="2"/>
  <c r="J65" i="1" s="1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J71" i="1" s="1"/>
  <c r="F177" i="2"/>
  <c r="F178" i="2"/>
  <c r="F179" i="2"/>
  <c r="F180" i="2"/>
  <c r="F181" i="2"/>
  <c r="F182" i="2"/>
  <c r="J74" i="1" s="1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J80" i="1" s="1"/>
  <c r="F199" i="2"/>
  <c r="F200" i="2"/>
  <c r="F201" i="2"/>
  <c r="F202" i="2"/>
  <c r="F203" i="2"/>
  <c r="F204" i="2"/>
  <c r="J82" i="1" s="1"/>
  <c r="F205" i="2"/>
  <c r="J83" i="1" s="1"/>
  <c r="F206" i="2"/>
  <c r="J84" i="1" s="1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J92" i="1" s="1"/>
  <c r="F227" i="2"/>
  <c r="F228" i="2"/>
  <c r="F229" i="2"/>
  <c r="F230" i="2"/>
  <c r="J94" i="1" s="1"/>
  <c r="F231" i="2"/>
  <c r="F232" i="2"/>
  <c r="F233" i="2"/>
  <c r="F234" i="2"/>
  <c r="F235" i="2"/>
  <c r="F236" i="2"/>
  <c r="F237" i="2"/>
  <c r="F238" i="2"/>
  <c r="F239" i="2"/>
  <c r="F240" i="2"/>
  <c r="J98" i="1" s="1"/>
  <c r="F241" i="2"/>
  <c r="H99" i="1" s="1"/>
  <c r="F242" i="2"/>
  <c r="F243" i="2"/>
  <c r="F244" i="2"/>
  <c r="F245" i="2"/>
  <c r="F246" i="2"/>
  <c r="F247" i="2"/>
  <c r="F248" i="2"/>
  <c r="F249" i="2"/>
  <c r="F250" i="2"/>
  <c r="J103" i="1" s="1"/>
  <c r="F251" i="2"/>
  <c r="J104" i="1" s="1"/>
  <c r="F252" i="2"/>
  <c r="J105" i="1" s="1"/>
  <c r="F253" i="2"/>
  <c r="J106" i="1" s="1"/>
  <c r="F254" i="2"/>
  <c r="J107" i="1" s="1"/>
  <c r="F255" i="2"/>
  <c r="F256" i="2"/>
  <c r="F257" i="2"/>
  <c r="F258" i="2"/>
  <c r="F259" i="2"/>
  <c r="F260" i="2"/>
  <c r="F261" i="2"/>
  <c r="F262" i="2"/>
  <c r="F263" i="2"/>
  <c r="J110" i="1" s="1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J115" i="1" s="1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J119" i="1" s="1"/>
  <c r="F292" i="2"/>
  <c r="J120" i="1" s="1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J129" i="1" s="1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J135" i="1" s="1"/>
  <c r="F337" i="2"/>
  <c r="F338" i="2"/>
  <c r="F339" i="2"/>
  <c r="F340" i="2"/>
  <c r="F341" i="2"/>
  <c r="F342" i="2"/>
  <c r="J138" i="1" s="1"/>
  <c r="F343" i="2"/>
  <c r="F344" i="2"/>
  <c r="F345" i="2"/>
  <c r="F346" i="2"/>
  <c r="J139" i="1" s="1"/>
  <c r="F347" i="2"/>
  <c r="F348" i="2"/>
  <c r="F349" i="2"/>
  <c r="F350" i="2"/>
  <c r="J141" i="1" s="1"/>
  <c r="F351" i="2"/>
  <c r="F352" i="2"/>
  <c r="F353" i="2"/>
  <c r="F354" i="2"/>
  <c r="F355" i="2"/>
  <c r="F356" i="2"/>
  <c r="F357" i="2"/>
  <c r="F358" i="2"/>
  <c r="J144" i="1" s="1"/>
  <c r="F359" i="2"/>
  <c r="J145" i="1" s="1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J160" i="1" s="1"/>
  <c r="F405" i="2"/>
  <c r="J161" i="1" s="1"/>
  <c r="F406" i="2"/>
  <c r="J162" i="1" s="1"/>
  <c r="F407" i="2"/>
  <c r="F408" i="2"/>
  <c r="F409" i="2"/>
  <c r="F410" i="2"/>
  <c r="F411" i="2"/>
  <c r="F412" i="2"/>
  <c r="F413" i="2"/>
  <c r="F414" i="2"/>
  <c r="J164" i="1" s="1"/>
  <c r="F415" i="2"/>
  <c r="F416" i="2"/>
  <c r="F417" i="2"/>
  <c r="F418" i="2"/>
  <c r="F419" i="2"/>
  <c r="F420" i="2"/>
  <c r="F421" i="2"/>
  <c r="J167" i="1" s="1"/>
  <c r="F422" i="2"/>
  <c r="J168" i="1" s="1"/>
  <c r="F423" i="2"/>
  <c r="F424" i="2"/>
  <c r="F425" i="2"/>
  <c r="F426" i="2"/>
  <c r="F427" i="2"/>
  <c r="F428" i="2"/>
  <c r="F429" i="2"/>
  <c r="F430" i="2"/>
  <c r="J171" i="1" s="1"/>
  <c r="F431" i="2"/>
  <c r="F432" i="2"/>
  <c r="F433" i="2"/>
  <c r="F434" i="2"/>
  <c r="F435" i="2"/>
  <c r="F436" i="2"/>
  <c r="F437" i="2"/>
  <c r="J173" i="1" s="1"/>
  <c r="F438" i="2"/>
  <c r="J174" i="1" s="1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J181" i="1" s="1"/>
  <c r="F459" i="2"/>
  <c r="F460" i="2"/>
  <c r="F461" i="2"/>
  <c r="F462" i="2"/>
  <c r="F463" i="2"/>
  <c r="J183" i="1" s="1"/>
  <c r="F464" i="2"/>
  <c r="F465" i="2"/>
  <c r="F466" i="2"/>
  <c r="F467" i="2"/>
  <c r="F468" i="2"/>
  <c r="F469" i="2"/>
  <c r="F470" i="2"/>
  <c r="F471" i="2"/>
  <c r="F472" i="2"/>
  <c r="J187" i="1" s="1"/>
  <c r="F473" i="2"/>
  <c r="F474" i="2"/>
  <c r="F475" i="2"/>
  <c r="F476" i="2"/>
  <c r="F477" i="2"/>
  <c r="F478" i="2"/>
  <c r="F479" i="2"/>
  <c r="F480" i="2"/>
  <c r="F481" i="2"/>
  <c r="F482" i="2"/>
  <c r="F483" i="2"/>
  <c r="F484" i="2"/>
  <c r="J191" i="1" s="1"/>
  <c r="F485" i="2"/>
  <c r="F486" i="2"/>
  <c r="F487" i="2"/>
  <c r="J193" i="1" s="1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J201" i="1" s="1"/>
  <c r="F510" i="2"/>
  <c r="J202" i="1" s="1"/>
  <c r="F511" i="2"/>
  <c r="J203" i="1" s="1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H209" i="1" s="1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H217" i="1" s="1"/>
  <c r="F552" i="2"/>
  <c r="F553" i="2"/>
  <c r="F554" i="2"/>
  <c r="F555" i="2"/>
  <c r="F556" i="2"/>
  <c r="F557" i="2"/>
  <c r="F558" i="2"/>
  <c r="J219" i="1" s="1"/>
  <c r="F559" i="2"/>
  <c r="F560" i="2"/>
  <c r="F561" i="2"/>
  <c r="F562" i="2"/>
  <c r="F563" i="2"/>
  <c r="F564" i="2"/>
  <c r="F565" i="2"/>
  <c r="J222" i="1" s="1"/>
  <c r="F566" i="2"/>
  <c r="F567" i="2"/>
  <c r="F568" i="2"/>
  <c r="F569" i="2"/>
  <c r="F570" i="2"/>
  <c r="F571" i="2"/>
  <c r="F572" i="2"/>
  <c r="F573" i="2"/>
  <c r="J225" i="1" s="1"/>
  <c r="F574" i="2"/>
  <c r="F575" i="2"/>
  <c r="F576" i="2"/>
  <c r="F577" i="2"/>
  <c r="F578" i="2"/>
  <c r="F579" i="2"/>
  <c r="F580" i="2"/>
  <c r="F581" i="2"/>
  <c r="F582" i="2"/>
  <c r="F583" i="2"/>
  <c r="J229" i="1" s="1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J235" i="1" s="1"/>
  <c r="F599" i="2"/>
  <c r="J236" i="1" s="1"/>
  <c r="F600" i="2"/>
  <c r="F601" i="2"/>
  <c r="F602" i="2"/>
  <c r="J238" i="1" s="1"/>
  <c r="F603" i="2"/>
  <c r="F604" i="2"/>
  <c r="F605" i="2"/>
  <c r="F606" i="2"/>
  <c r="F607" i="2"/>
  <c r="H240" i="1" s="1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J247" i="1" s="1"/>
  <c r="F631" i="2"/>
  <c r="H248" i="1" s="1"/>
  <c r="F632" i="2"/>
  <c r="F633" i="2"/>
  <c r="H249" i="1" s="1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H256" i="1" s="1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H273" i="1" s="1"/>
  <c r="F706" i="2"/>
  <c r="F707" i="2"/>
  <c r="F708" i="2"/>
  <c r="J274" i="1" s="1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J280" i="1" s="1"/>
  <c r="F726" i="2"/>
  <c r="F727" i="2"/>
  <c r="F728" i="2"/>
  <c r="F729" i="2"/>
  <c r="J282" i="1" s="1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H290" i="1" s="1"/>
  <c r="F752" i="2"/>
  <c r="F753" i="2"/>
  <c r="F754" i="2"/>
  <c r="F755" i="2"/>
  <c r="F756" i="2"/>
  <c r="J292" i="1" s="1"/>
  <c r="F757" i="2"/>
  <c r="F758" i="2"/>
  <c r="F759" i="2"/>
  <c r="F760" i="2"/>
  <c r="F761" i="2"/>
  <c r="J295" i="1" s="1"/>
  <c r="F762" i="2"/>
  <c r="F763" i="2"/>
  <c r="F764" i="2"/>
  <c r="F765" i="2"/>
  <c r="F766" i="2"/>
  <c r="J298" i="1" s="1"/>
  <c r="F767" i="2"/>
  <c r="J299" i="1" s="1"/>
  <c r="F768" i="2"/>
  <c r="F769" i="2"/>
  <c r="F770" i="2"/>
  <c r="F771" i="2"/>
  <c r="F772" i="2"/>
  <c r="F773" i="2"/>
  <c r="F774" i="2"/>
  <c r="F775" i="2"/>
  <c r="J302" i="1" s="1"/>
  <c r="F776" i="2"/>
  <c r="F777" i="2"/>
  <c r="F778" i="2"/>
  <c r="F779" i="2"/>
  <c r="J303" i="1" s="1"/>
  <c r="F780" i="2"/>
  <c r="F781" i="2"/>
  <c r="F782" i="2"/>
  <c r="J305" i="1" s="1"/>
  <c r="F783" i="2"/>
  <c r="J306" i="1" s="1"/>
  <c r="F784" i="2"/>
  <c r="F785" i="2"/>
  <c r="J307" i="1" s="1"/>
  <c r="F786" i="2"/>
  <c r="F787" i="2"/>
  <c r="F788" i="2"/>
  <c r="F789" i="2"/>
  <c r="F790" i="2"/>
  <c r="F791" i="2"/>
  <c r="F792" i="2"/>
  <c r="F793" i="2"/>
  <c r="J309" i="1" s="1"/>
  <c r="F794" i="2"/>
  <c r="F795" i="2"/>
  <c r="F796" i="2"/>
  <c r="F797" i="2"/>
  <c r="F798" i="2"/>
  <c r="F799" i="2"/>
  <c r="J311" i="1" s="1"/>
  <c r="F800" i="2"/>
  <c r="F801" i="2"/>
  <c r="F802" i="2"/>
  <c r="F803" i="2"/>
  <c r="F804" i="2"/>
  <c r="F805" i="2"/>
  <c r="F806" i="2"/>
  <c r="F807" i="2"/>
  <c r="F808" i="2"/>
  <c r="J314" i="1" s="1"/>
  <c r="F809" i="2"/>
  <c r="J315" i="1" s="1"/>
  <c r="F810" i="2"/>
  <c r="F811" i="2"/>
  <c r="F812" i="2"/>
  <c r="J317" i="1" s="1"/>
  <c r="F813" i="2"/>
  <c r="F814" i="2"/>
  <c r="F815" i="2"/>
  <c r="J319" i="1" s="1"/>
  <c r="F816" i="2"/>
  <c r="F817" i="2"/>
  <c r="F818" i="2"/>
  <c r="F819" i="2"/>
  <c r="J320" i="1" s="1"/>
  <c r="F820" i="2"/>
  <c r="F821" i="2"/>
  <c r="J321" i="1" s="1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J326" i="1" s="1"/>
  <c r="F836" i="2"/>
  <c r="J327" i="1" s="1"/>
  <c r="F837" i="2"/>
  <c r="F838" i="2"/>
  <c r="F839" i="2"/>
  <c r="F840" i="2"/>
  <c r="J329" i="1" s="1"/>
  <c r="F841" i="2"/>
  <c r="J330" i="1" s="1"/>
  <c r="F842" i="2"/>
  <c r="F843" i="2"/>
  <c r="F844" i="2"/>
  <c r="F845" i="2"/>
  <c r="F846" i="2"/>
  <c r="F847" i="2"/>
  <c r="J332" i="1" s="1"/>
  <c r="F848" i="2"/>
  <c r="F849" i="2"/>
  <c r="F850" i="2"/>
  <c r="F851" i="2"/>
  <c r="F852" i="2"/>
  <c r="F853" i="2"/>
  <c r="F854" i="2"/>
  <c r="F855" i="2"/>
  <c r="J334" i="1" s="1"/>
  <c r="F856" i="2"/>
  <c r="F857" i="2"/>
  <c r="J335" i="1" s="1"/>
  <c r="F858" i="2"/>
  <c r="F859" i="2"/>
  <c r="F860" i="2"/>
  <c r="F861" i="2"/>
  <c r="F862" i="2"/>
  <c r="F863" i="2"/>
  <c r="F864" i="2"/>
  <c r="F865" i="2"/>
  <c r="F866" i="2"/>
  <c r="J338" i="1" s="1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J343" i="1" s="1"/>
  <c r="F880" i="2"/>
  <c r="F881" i="2"/>
  <c r="J344" i="1" s="1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J352" i="1" s="1"/>
  <c r="F904" i="2"/>
  <c r="F905" i="2"/>
  <c r="F906" i="2"/>
  <c r="F907" i="2"/>
  <c r="F908" i="2"/>
  <c r="J354" i="1" s="1"/>
  <c r="F909" i="2"/>
  <c r="F910" i="2"/>
  <c r="F911" i="2"/>
  <c r="J356" i="1" s="1"/>
  <c r="F912" i="2"/>
  <c r="F913" i="2"/>
  <c r="J357" i="1" s="1"/>
  <c r="F914" i="2"/>
  <c r="F915" i="2"/>
  <c r="F916" i="2"/>
  <c r="F917" i="2"/>
  <c r="F918" i="2"/>
  <c r="F919" i="2"/>
  <c r="F920" i="2"/>
  <c r="F921" i="2"/>
  <c r="F922" i="2"/>
  <c r="J360" i="1" s="1"/>
  <c r="F923" i="2"/>
  <c r="F924" i="2"/>
  <c r="F925" i="2"/>
  <c r="F2" i="2"/>
  <c r="H2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D3" i="2"/>
  <c r="I3" i="2" s="1"/>
  <c r="D4" i="2"/>
  <c r="I4" i="2" s="1"/>
  <c r="D5" i="2"/>
  <c r="I5" i="2" s="1"/>
  <c r="D6" i="2"/>
  <c r="I6" i="2" s="1"/>
  <c r="D7" i="2"/>
  <c r="I7" i="2" s="1"/>
  <c r="D8" i="2"/>
  <c r="I8" i="2" s="1"/>
  <c r="D9" i="2"/>
  <c r="I9" i="2" s="1"/>
  <c r="D10" i="2"/>
  <c r="I10" i="2" s="1"/>
  <c r="D11" i="2"/>
  <c r="I11" i="2" s="1"/>
  <c r="D12" i="2"/>
  <c r="I12" i="2" s="1"/>
  <c r="I7" i="1" s="1"/>
  <c r="D13" i="2"/>
  <c r="I13" i="2" s="1"/>
  <c r="D14" i="2"/>
  <c r="I14" i="2" s="1"/>
  <c r="D15" i="2"/>
  <c r="I15" i="2" s="1"/>
  <c r="D16" i="2"/>
  <c r="I16" i="2" s="1"/>
  <c r="D17" i="2"/>
  <c r="I17" i="2" s="1"/>
  <c r="D18" i="2"/>
  <c r="I18" i="2" s="1"/>
  <c r="D19" i="2"/>
  <c r="I19" i="2" s="1"/>
  <c r="D20" i="2"/>
  <c r="I20" i="2" s="1"/>
  <c r="D21" i="2"/>
  <c r="I21" i="2" s="1"/>
  <c r="D22" i="2"/>
  <c r="I22" i="2" s="1"/>
  <c r="D23" i="2"/>
  <c r="I23" i="2" s="1"/>
  <c r="D24" i="2"/>
  <c r="I24" i="2" s="1"/>
  <c r="D25" i="2"/>
  <c r="I25" i="2" s="1"/>
  <c r="I12" i="1" s="1"/>
  <c r="D26" i="2"/>
  <c r="I26" i="2" s="1"/>
  <c r="D27" i="2"/>
  <c r="I27" i="2" s="1"/>
  <c r="D28" i="2"/>
  <c r="I28" i="2" s="1"/>
  <c r="D29" i="2"/>
  <c r="I29" i="2" s="1"/>
  <c r="D30" i="2"/>
  <c r="I30" i="2" s="1"/>
  <c r="D31" i="2"/>
  <c r="I31" i="2" s="1"/>
  <c r="D32" i="2"/>
  <c r="I32" i="2" s="1"/>
  <c r="D33" i="2"/>
  <c r="I33" i="2" s="1"/>
  <c r="D34" i="2"/>
  <c r="I34" i="2" s="1"/>
  <c r="D35" i="2"/>
  <c r="I35" i="2" s="1"/>
  <c r="D36" i="2"/>
  <c r="I36" i="2" s="1"/>
  <c r="D37" i="2"/>
  <c r="I37" i="2" s="1"/>
  <c r="D38" i="2"/>
  <c r="I38" i="2" s="1"/>
  <c r="D39" i="2"/>
  <c r="I39" i="2" s="1"/>
  <c r="D40" i="2"/>
  <c r="I40" i="2" s="1"/>
  <c r="D41" i="2"/>
  <c r="I41" i="2" s="1"/>
  <c r="D42" i="2"/>
  <c r="I42" i="2" s="1"/>
  <c r="I18" i="1" s="1"/>
  <c r="D43" i="2"/>
  <c r="I43" i="2" s="1"/>
  <c r="D44" i="2"/>
  <c r="I44" i="2" s="1"/>
  <c r="D45" i="2"/>
  <c r="I45" i="2" s="1"/>
  <c r="D46" i="2"/>
  <c r="I46" i="2" s="1"/>
  <c r="D47" i="2"/>
  <c r="I47" i="2" s="1"/>
  <c r="D48" i="2"/>
  <c r="I48" i="2" s="1"/>
  <c r="D49" i="2"/>
  <c r="I49" i="2" s="1"/>
  <c r="D50" i="2"/>
  <c r="I50" i="2" s="1"/>
  <c r="D51" i="2"/>
  <c r="I51" i="2" s="1"/>
  <c r="D52" i="2"/>
  <c r="I52" i="2" s="1"/>
  <c r="D53" i="2"/>
  <c r="I53" i="2" s="1"/>
  <c r="D54" i="2"/>
  <c r="I54" i="2" s="1"/>
  <c r="D55" i="2"/>
  <c r="I55" i="2" s="1"/>
  <c r="D56" i="2"/>
  <c r="I56" i="2" s="1"/>
  <c r="D57" i="2"/>
  <c r="I57" i="2" s="1"/>
  <c r="D58" i="2"/>
  <c r="I58" i="2" s="1"/>
  <c r="D59" i="2"/>
  <c r="I59" i="2" s="1"/>
  <c r="D60" i="2"/>
  <c r="I60" i="2" s="1"/>
  <c r="I25" i="1" s="1"/>
  <c r="D61" i="2"/>
  <c r="I61" i="2" s="1"/>
  <c r="I26" i="1" s="1"/>
  <c r="D62" i="2"/>
  <c r="I62" i="2" s="1"/>
  <c r="D63" i="2"/>
  <c r="I63" i="2" s="1"/>
  <c r="D64" i="2"/>
  <c r="I64" i="2" s="1"/>
  <c r="D65" i="2"/>
  <c r="I65" i="2" s="1"/>
  <c r="D66" i="2"/>
  <c r="I66" i="2" s="1"/>
  <c r="D67" i="2"/>
  <c r="I67" i="2" s="1"/>
  <c r="D68" i="2"/>
  <c r="I68" i="2" s="1"/>
  <c r="D69" i="2"/>
  <c r="I69" i="2" s="1"/>
  <c r="D70" i="2"/>
  <c r="I70" i="2" s="1"/>
  <c r="D71" i="2"/>
  <c r="I71" i="2" s="1"/>
  <c r="D72" i="2"/>
  <c r="I72" i="2" s="1"/>
  <c r="I30" i="1" s="1"/>
  <c r="D73" i="2"/>
  <c r="I73" i="2" s="1"/>
  <c r="D74" i="2"/>
  <c r="I74" i="2" s="1"/>
  <c r="D75" i="2"/>
  <c r="I75" i="2" s="1"/>
  <c r="D76" i="2"/>
  <c r="I76" i="2" s="1"/>
  <c r="D77" i="2"/>
  <c r="I77" i="2" s="1"/>
  <c r="D78" i="2"/>
  <c r="I78" i="2" s="1"/>
  <c r="D79" i="2"/>
  <c r="I79" i="2" s="1"/>
  <c r="D80" i="2"/>
  <c r="I80" i="2" s="1"/>
  <c r="D81" i="2"/>
  <c r="I81" i="2" s="1"/>
  <c r="D82" i="2"/>
  <c r="I82" i="2" s="1"/>
  <c r="D83" i="2"/>
  <c r="I83" i="2" s="1"/>
  <c r="D84" i="2"/>
  <c r="I84" i="2" s="1"/>
  <c r="D85" i="2"/>
  <c r="I85" i="2" s="1"/>
  <c r="D86" i="2"/>
  <c r="I86" i="2" s="1"/>
  <c r="D87" i="2"/>
  <c r="I87" i="2" s="1"/>
  <c r="D88" i="2"/>
  <c r="I88" i="2" s="1"/>
  <c r="D89" i="2"/>
  <c r="I89" i="2" s="1"/>
  <c r="D90" i="2"/>
  <c r="I90" i="2" s="1"/>
  <c r="D91" i="2"/>
  <c r="I91" i="2" s="1"/>
  <c r="D92" i="2"/>
  <c r="I92" i="2" s="1"/>
  <c r="D93" i="2"/>
  <c r="I93" i="2" s="1"/>
  <c r="D94" i="2"/>
  <c r="I94" i="2" s="1"/>
  <c r="I38" i="1" s="1"/>
  <c r="D95" i="2"/>
  <c r="I95" i="2" s="1"/>
  <c r="D96" i="2"/>
  <c r="I96" i="2" s="1"/>
  <c r="D97" i="2"/>
  <c r="I97" i="2" s="1"/>
  <c r="I40" i="1" s="1"/>
  <c r="D98" i="2"/>
  <c r="I98" i="2" s="1"/>
  <c r="D99" i="2"/>
  <c r="I99" i="2" s="1"/>
  <c r="D100" i="2"/>
  <c r="I100" i="2" s="1"/>
  <c r="D101" i="2"/>
  <c r="I101" i="2" s="1"/>
  <c r="D102" i="2"/>
  <c r="I102" i="2" s="1"/>
  <c r="D103" i="2"/>
  <c r="I103" i="2" s="1"/>
  <c r="D104" i="2"/>
  <c r="I104" i="2" s="1"/>
  <c r="D105" i="2"/>
  <c r="I105" i="2" s="1"/>
  <c r="D106" i="2"/>
  <c r="I106" i="2" s="1"/>
  <c r="D107" i="2"/>
  <c r="I107" i="2" s="1"/>
  <c r="D108" i="2"/>
  <c r="I108" i="2" s="1"/>
  <c r="I44" i="1" s="1"/>
  <c r="D109" i="2"/>
  <c r="I109" i="2" s="1"/>
  <c r="D110" i="2"/>
  <c r="I110" i="2" s="1"/>
  <c r="D111" i="2"/>
  <c r="I111" i="2" s="1"/>
  <c r="D112" i="2"/>
  <c r="I112" i="2" s="1"/>
  <c r="D113" i="2"/>
  <c r="I113" i="2" s="1"/>
  <c r="D114" i="2"/>
  <c r="I114" i="2" s="1"/>
  <c r="D115" i="2"/>
  <c r="I115" i="2" s="1"/>
  <c r="I47" i="1" s="1"/>
  <c r="D116" i="2"/>
  <c r="I116" i="2" s="1"/>
  <c r="D117" i="2"/>
  <c r="I117" i="2" s="1"/>
  <c r="D118" i="2"/>
  <c r="I118" i="2" s="1"/>
  <c r="D119" i="2"/>
  <c r="I119" i="2" s="1"/>
  <c r="D120" i="2"/>
  <c r="I120" i="2" s="1"/>
  <c r="D121" i="2"/>
  <c r="I121" i="2" s="1"/>
  <c r="D122" i="2"/>
  <c r="I122" i="2" s="1"/>
  <c r="D123" i="2"/>
  <c r="I123" i="2" s="1"/>
  <c r="D124" i="2"/>
  <c r="I124" i="2" s="1"/>
  <c r="D125" i="2"/>
  <c r="I125" i="2" s="1"/>
  <c r="D126" i="2"/>
  <c r="I126" i="2" s="1"/>
  <c r="D127" i="2"/>
  <c r="I127" i="2" s="1"/>
  <c r="D128" i="2"/>
  <c r="I128" i="2" s="1"/>
  <c r="D129" i="2"/>
  <c r="I129" i="2" s="1"/>
  <c r="D130" i="2"/>
  <c r="I130" i="2" s="1"/>
  <c r="D131" i="2"/>
  <c r="I131" i="2" s="1"/>
  <c r="I54" i="1" s="1"/>
  <c r="D132" i="2"/>
  <c r="I132" i="2" s="1"/>
  <c r="D133" i="2"/>
  <c r="I133" i="2" s="1"/>
  <c r="D134" i="2"/>
  <c r="I134" i="2" s="1"/>
  <c r="D135" i="2"/>
  <c r="I135" i="2" s="1"/>
  <c r="D136" i="2"/>
  <c r="I136" i="2" s="1"/>
  <c r="D137" i="2"/>
  <c r="I137" i="2" s="1"/>
  <c r="D138" i="2"/>
  <c r="I138" i="2" s="1"/>
  <c r="D139" i="2"/>
  <c r="I139" i="2" s="1"/>
  <c r="D140" i="2"/>
  <c r="I140" i="2" s="1"/>
  <c r="D141" i="2"/>
  <c r="I141" i="2" s="1"/>
  <c r="D142" i="2"/>
  <c r="I142" i="2" s="1"/>
  <c r="I59" i="1" s="1"/>
  <c r="D143" i="2"/>
  <c r="I143" i="2" s="1"/>
  <c r="D144" i="2"/>
  <c r="I144" i="2" s="1"/>
  <c r="D145" i="2"/>
  <c r="I145" i="2" s="1"/>
  <c r="D146" i="2"/>
  <c r="I146" i="2" s="1"/>
  <c r="D147" i="2"/>
  <c r="I147" i="2" s="1"/>
  <c r="D148" i="2"/>
  <c r="I148" i="2" s="1"/>
  <c r="D149" i="2"/>
  <c r="I149" i="2" s="1"/>
  <c r="D150" i="2"/>
  <c r="I150" i="2" s="1"/>
  <c r="D151" i="2"/>
  <c r="I151" i="2" s="1"/>
  <c r="D152" i="2"/>
  <c r="I152" i="2" s="1"/>
  <c r="D153" i="2"/>
  <c r="I153" i="2" s="1"/>
  <c r="D154" i="2"/>
  <c r="I154" i="2" s="1"/>
  <c r="D155" i="2"/>
  <c r="I155" i="2" s="1"/>
  <c r="I64" i="1" s="1"/>
  <c r="D156" i="2"/>
  <c r="I156" i="2" s="1"/>
  <c r="I65" i="1" s="1"/>
  <c r="D157" i="2"/>
  <c r="I157" i="2" s="1"/>
  <c r="D158" i="2"/>
  <c r="I158" i="2" s="1"/>
  <c r="D159" i="2"/>
  <c r="I159" i="2" s="1"/>
  <c r="D160" i="2"/>
  <c r="I160" i="2" s="1"/>
  <c r="D161" i="2"/>
  <c r="I161" i="2" s="1"/>
  <c r="D162" i="2"/>
  <c r="I162" i="2" s="1"/>
  <c r="D163" i="2"/>
  <c r="I163" i="2" s="1"/>
  <c r="D164" i="2"/>
  <c r="I164" i="2" s="1"/>
  <c r="D165" i="2"/>
  <c r="I165" i="2" s="1"/>
  <c r="D166" i="2"/>
  <c r="I166" i="2" s="1"/>
  <c r="D167" i="2"/>
  <c r="I167" i="2" s="1"/>
  <c r="D168" i="2"/>
  <c r="I168" i="2" s="1"/>
  <c r="D169" i="2"/>
  <c r="I169" i="2" s="1"/>
  <c r="D170" i="2"/>
  <c r="I170" i="2" s="1"/>
  <c r="D171" i="2"/>
  <c r="I171" i="2" s="1"/>
  <c r="D172" i="2"/>
  <c r="I172" i="2" s="1"/>
  <c r="D173" i="2"/>
  <c r="I173" i="2" s="1"/>
  <c r="D174" i="2"/>
  <c r="I174" i="2" s="1"/>
  <c r="D175" i="2"/>
  <c r="I175" i="2" s="1"/>
  <c r="D176" i="2"/>
  <c r="I176" i="2" s="1"/>
  <c r="I71" i="1" s="1"/>
  <c r="D177" i="2"/>
  <c r="I177" i="2" s="1"/>
  <c r="D178" i="2"/>
  <c r="I178" i="2" s="1"/>
  <c r="D179" i="2"/>
  <c r="I179" i="2" s="1"/>
  <c r="D180" i="2"/>
  <c r="I180" i="2" s="1"/>
  <c r="D181" i="2"/>
  <c r="I181" i="2" s="1"/>
  <c r="D182" i="2"/>
  <c r="I182" i="2" s="1"/>
  <c r="I74" i="1" s="1"/>
  <c r="D183" i="2"/>
  <c r="I183" i="2" s="1"/>
  <c r="D184" i="2"/>
  <c r="I184" i="2" s="1"/>
  <c r="D185" i="2"/>
  <c r="I185" i="2" s="1"/>
  <c r="D186" i="2"/>
  <c r="I186" i="2" s="1"/>
  <c r="D187" i="2"/>
  <c r="I187" i="2" s="1"/>
  <c r="D188" i="2"/>
  <c r="I188" i="2" s="1"/>
  <c r="D189" i="2"/>
  <c r="I189" i="2" s="1"/>
  <c r="D190" i="2"/>
  <c r="I190" i="2" s="1"/>
  <c r="D191" i="2"/>
  <c r="I191" i="2" s="1"/>
  <c r="D192" i="2"/>
  <c r="I192" i="2" s="1"/>
  <c r="D193" i="2"/>
  <c r="I193" i="2" s="1"/>
  <c r="D194" i="2"/>
  <c r="I194" i="2" s="1"/>
  <c r="D195" i="2"/>
  <c r="I195" i="2" s="1"/>
  <c r="D196" i="2"/>
  <c r="I196" i="2" s="1"/>
  <c r="D197" i="2"/>
  <c r="I197" i="2" s="1"/>
  <c r="D198" i="2"/>
  <c r="I198" i="2" s="1"/>
  <c r="D199" i="2"/>
  <c r="I199" i="2" s="1"/>
  <c r="D200" i="2"/>
  <c r="I200" i="2" s="1"/>
  <c r="D201" i="2"/>
  <c r="I201" i="2" s="1"/>
  <c r="D202" i="2"/>
  <c r="I202" i="2" s="1"/>
  <c r="D203" i="2"/>
  <c r="I203" i="2" s="1"/>
  <c r="D204" i="2"/>
  <c r="I204" i="2" s="1"/>
  <c r="I82" i="1" s="1"/>
  <c r="D205" i="2"/>
  <c r="I205" i="2" s="1"/>
  <c r="I83" i="1" s="1"/>
  <c r="D206" i="2"/>
  <c r="I206" i="2" s="1"/>
  <c r="D207" i="2"/>
  <c r="I207" i="2" s="1"/>
  <c r="D208" i="2"/>
  <c r="I208" i="2" s="1"/>
  <c r="D209" i="2"/>
  <c r="I209" i="2" s="1"/>
  <c r="D210" i="2"/>
  <c r="I210" i="2" s="1"/>
  <c r="D211" i="2"/>
  <c r="I211" i="2" s="1"/>
  <c r="D212" i="2"/>
  <c r="I212" i="2" s="1"/>
  <c r="D213" i="2"/>
  <c r="I213" i="2" s="1"/>
  <c r="D214" i="2"/>
  <c r="I214" i="2" s="1"/>
  <c r="D215" i="2"/>
  <c r="I215" i="2" s="1"/>
  <c r="D216" i="2"/>
  <c r="I216" i="2" s="1"/>
  <c r="D217" i="2"/>
  <c r="I217" i="2" s="1"/>
  <c r="D218" i="2"/>
  <c r="I218" i="2" s="1"/>
  <c r="D219" i="2"/>
  <c r="I219" i="2" s="1"/>
  <c r="D220" i="2"/>
  <c r="I220" i="2" s="1"/>
  <c r="D221" i="2"/>
  <c r="I221" i="2" s="1"/>
  <c r="D222" i="2"/>
  <c r="I222" i="2" s="1"/>
  <c r="D223" i="2"/>
  <c r="I223" i="2" s="1"/>
  <c r="D224" i="2"/>
  <c r="I224" i="2" s="1"/>
  <c r="D225" i="2"/>
  <c r="I225" i="2" s="1"/>
  <c r="D226" i="2"/>
  <c r="I226" i="2" s="1"/>
  <c r="I92" i="1" s="1"/>
  <c r="D227" i="2"/>
  <c r="I227" i="2" s="1"/>
  <c r="D228" i="2"/>
  <c r="I228" i="2" s="1"/>
  <c r="D229" i="2"/>
  <c r="I229" i="2" s="1"/>
  <c r="D230" i="2"/>
  <c r="I230" i="2" s="1"/>
  <c r="D231" i="2"/>
  <c r="I231" i="2" s="1"/>
  <c r="D232" i="2"/>
  <c r="I232" i="2" s="1"/>
  <c r="D233" i="2"/>
  <c r="I233" i="2" s="1"/>
  <c r="D234" i="2"/>
  <c r="I234" i="2" s="1"/>
  <c r="D235" i="2"/>
  <c r="I235" i="2" s="1"/>
  <c r="D236" i="2"/>
  <c r="I236" i="2" s="1"/>
  <c r="D237" i="2"/>
  <c r="I237" i="2" s="1"/>
  <c r="D238" i="2"/>
  <c r="I238" i="2" s="1"/>
  <c r="D239" i="2"/>
  <c r="I239" i="2" s="1"/>
  <c r="D240" i="2"/>
  <c r="I240" i="2" s="1"/>
  <c r="I98" i="1" s="1"/>
  <c r="D241" i="2"/>
  <c r="I241" i="2" s="1"/>
  <c r="D242" i="2"/>
  <c r="I242" i="2" s="1"/>
  <c r="D243" i="2"/>
  <c r="I243" i="2" s="1"/>
  <c r="D244" i="2"/>
  <c r="I244" i="2" s="1"/>
  <c r="D245" i="2"/>
  <c r="I245" i="2" s="1"/>
  <c r="D246" i="2"/>
  <c r="I246" i="2" s="1"/>
  <c r="D247" i="2"/>
  <c r="I247" i="2" s="1"/>
  <c r="D248" i="2"/>
  <c r="I248" i="2" s="1"/>
  <c r="D249" i="2"/>
  <c r="I249" i="2" s="1"/>
  <c r="D250" i="2"/>
  <c r="I250" i="2" s="1"/>
  <c r="I103" i="1" s="1"/>
  <c r="D251" i="2"/>
  <c r="I251" i="2" s="1"/>
  <c r="I104" i="1" s="1"/>
  <c r="D252" i="2"/>
  <c r="I252" i="2" s="1"/>
  <c r="I105" i="1" s="1"/>
  <c r="D253" i="2"/>
  <c r="I253" i="2" s="1"/>
  <c r="I106" i="1" s="1"/>
  <c r="D254" i="2"/>
  <c r="I254" i="2" s="1"/>
  <c r="D255" i="2"/>
  <c r="I255" i="2" s="1"/>
  <c r="D256" i="2"/>
  <c r="I256" i="2" s="1"/>
  <c r="D257" i="2"/>
  <c r="I257" i="2" s="1"/>
  <c r="D258" i="2"/>
  <c r="I258" i="2" s="1"/>
  <c r="D259" i="2"/>
  <c r="I259" i="2" s="1"/>
  <c r="D260" i="2"/>
  <c r="I260" i="2" s="1"/>
  <c r="D261" i="2"/>
  <c r="I261" i="2" s="1"/>
  <c r="D262" i="2"/>
  <c r="I262" i="2" s="1"/>
  <c r="D263" i="2"/>
  <c r="I263" i="2" s="1"/>
  <c r="I110" i="1" s="1"/>
  <c r="D264" i="2"/>
  <c r="I264" i="2" s="1"/>
  <c r="D265" i="2"/>
  <c r="I265" i="2" s="1"/>
  <c r="D266" i="2"/>
  <c r="I266" i="2" s="1"/>
  <c r="D267" i="2"/>
  <c r="I267" i="2" s="1"/>
  <c r="D268" i="2"/>
  <c r="I268" i="2" s="1"/>
  <c r="D269" i="2"/>
  <c r="I269" i="2" s="1"/>
  <c r="D270" i="2"/>
  <c r="I270" i="2" s="1"/>
  <c r="D271" i="2"/>
  <c r="I271" i="2" s="1"/>
  <c r="D272" i="2"/>
  <c r="I272" i="2" s="1"/>
  <c r="D273" i="2"/>
  <c r="I273" i="2" s="1"/>
  <c r="D274" i="2"/>
  <c r="I274" i="2" s="1"/>
  <c r="D275" i="2"/>
  <c r="I275" i="2" s="1"/>
  <c r="D276" i="2"/>
  <c r="I276" i="2" s="1"/>
  <c r="D277" i="2"/>
  <c r="I277" i="2" s="1"/>
  <c r="D278" i="2"/>
  <c r="I278" i="2" s="1"/>
  <c r="D279" i="2"/>
  <c r="I279" i="2" s="1"/>
  <c r="D280" i="2"/>
  <c r="I280" i="2" s="1"/>
  <c r="D281" i="2"/>
  <c r="I281" i="2" s="1"/>
  <c r="D282" i="2"/>
  <c r="I282" i="2" s="1"/>
  <c r="D283" i="2"/>
  <c r="I283" i="2" s="1"/>
  <c r="D284" i="2"/>
  <c r="I284" i="2" s="1"/>
  <c r="D285" i="2"/>
  <c r="I285" i="2" s="1"/>
  <c r="D286" i="2"/>
  <c r="I286" i="2" s="1"/>
  <c r="D287" i="2"/>
  <c r="I287" i="2" s="1"/>
  <c r="D288" i="2"/>
  <c r="I288" i="2" s="1"/>
  <c r="D289" i="2"/>
  <c r="I289" i="2" s="1"/>
  <c r="D290" i="2"/>
  <c r="I290" i="2" s="1"/>
  <c r="D291" i="2"/>
  <c r="I291" i="2" s="1"/>
  <c r="I119" i="1" s="1"/>
  <c r="D292" i="2"/>
  <c r="I292" i="2" s="1"/>
  <c r="I120" i="1" s="1"/>
  <c r="D293" i="2"/>
  <c r="I293" i="2" s="1"/>
  <c r="D294" i="2"/>
  <c r="I294" i="2" s="1"/>
  <c r="D295" i="2"/>
  <c r="I295" i="2" s="1"/>
  <c r="D296" i="2"/>
  <c r="I296" i="2" s="1"/>
  <c r="D297" i="2"/>
  <c r="I297" i="2" s="1"/>
  <c r="D298" i="2"/>
  <c r="I298" i="2" s="1"/>
  <c r="D299" i="2"/>
  <c r="I299" i="2" s="1"/>
  <c r="D300" i="2"/>
  <c r="I300" i="2" s="1"/>
  <c r="D301" i="2"/>
  <c r="I301" i="2" s="1"/>
  <c r="D302" i="2"/>
  <c r="I302" i="2" s="1"/>
  <c r="D303" i="2"/>
  <c r="I303" i="2" s="1"/>
  <c r="D304" i="2"/>
  <c r="I304" i="2" s="1"/>
  <c r="D305" i="2"/>
  <c r="I305" i="2" s="1"/>
  <c r="D306" i="2"/>
  <c r="I306" i="2" s="1"/>
  <c r="D307" i="2"/>
  <c r="I307" i="2" s="1"/>
  <c r="D308" i="2"/>
  <c r="I308" i="2" s="1"/>
  <c r="D309" i="2"/>
  <c r="I309" i="2" s="1"/>
  <c r="D310" i="2"/>
  <c r="I310" i="2" s="1"/>
  <c r="D311" i="2"/>
  <c r="I311" i="2" s="1"/>
  <c r="D312" i="2"/>
  <c r="I312" i="2" s="1"/>
  <c r="D313" i="2"/>
  <c r="I313" i="2" s="1"/>
  <c r="D314" i="2"/>
  <c r="I314" i="2" s="1"/>
  <c r="D315" i="2"/>
  <c r="I315" i="2" s="1"/>
  <c r="D316" i="2"/>
  <c r="I316" i="2" s="1"/>
  <c r="D317" i="2"/>
  <c r="I317" i="2" s="1"/>
  <c r="D318" i="2"/>
  <c r="I318" i="2" s="1"/>
  <c r="D319" i="2"/>
  <c r="I319" i="2" s="1"/>
  <c r="D320" i="2"/>
  <c r="I320" i="2" s="1"/>
  <c r="D321" i="2"/>
  <c r="I321" i="2" s="1"/>
  <c r="D322" i="2"/>
  <c r="I322" i="2" s="1"/>
  <c r="D323" i="2"/>
  <c r="I323" i="2" s="1"/>
  <c r="D324" i="2"/>
  <c r="I324" i="2" s="1"/>
  <c r="D325" i="2"/>
  <c r="I325" i="2" s="1"/>
  <c r="D326" i="2"/>
  <c r="I326" i="2" s="1"/>
  <c r="D327" i="2"/>
  <c r="I327" i="2" s="1"/>
  <c r="D328" i="2"/>
  <c r="I328" i="2" s="1"/>
  <c r="D329" i="2"/>
  <c r="I329" i="2" s="1"/>
  <c r="D330" i="2"/>
  <c r="I330" i="2" s="1"/>
  <c r="D331" i="2"/>
  <c r="I331" i="2" s="1"/>
  <c r="D332" i="2"/>
  <c r="I332" i="2" s="1"/>
  <c r="D333" i="2"/>
  <c r="I333" i="2" s="1"/>
  <c r="D334" i="2"/>
  <c r="I334" i="2" s="1"/>
  <c r="D335" i="2"/>
  <c r="I335" i="2" s="1"/>
  <c r="D336" i="2"/>
  <c r="I336" i="2" s="1"/>
  <c r="I135" i="1" s="1"/>
  <c r="D337" i="2"/>
  <c r="I337" i="2" s="1"/>
  <c r="D338" i="2"/>
  <c r="I338" i="2" s="1"/>
  <c r="D339" i="2"/>
  <c r="I339" i="2" s="1"/>
  <c r="D340" i="2"/>
  <c r="I340" i="2" s="1"/>
  <c r="D341" i="2"/>
  <c r="I341" i="2" s="1"/>
  <c r="D342" i="2"/>
  <c r="I342" i="2" s="1"/>
  <c r="D343" i="2"/>
  <c r="I343" i="2" s="1"/>
  <c r="D344" i="2"/>
  <c r="I344" i="2" s="1"/>
  <c r="D345" i="2"/>
  <c r="I345" i="2" s="1"/>
  <c r="D346" i="2"/>
  <c r="I346" i="2" s="1"/>
  <c r="I139" i="1" s="1"/>
  <c r="D347" i="2"/>
  <c r="I347" i="2" s="1"/>
  <c r="D348" i="2"/>
  <c r="I348" i="2" s="1"/>
  <c r="D349" i="2"/>
  <c r="I349" i="2" s="1"/>
  <c r="D350" i="2"/>
  <c r="I350" i="2" s="1"/>
  <c r="D351" i="2"/>
  <c r="I351" i="2" s="1"/>
  <c r="D352" i="2"/>
  <c r="I352" i="2" s="1"/>
  <c r="D353" i="2"/>
  <c r="I353" i="2" s="1"/>
  <c r="D354" i="2"/>
  <c r="I354" i="2" s="1"/>
  <c r="D355" i="2"/>
  <c r="I355" i="2" s="1"/>
  <c r="D356" i="2"/>
  <c r="I356" i="2" s="1"/>
  <c r="D357" i="2"/>
  <c r="I357" i="2" s="1"/>
  <c r="D358" i="2"/>
  <c r="I358" i="2" s="1"/>
  <c r="I144" i="1" s="1"/>
  <c r="D359" i="2"/>
  <c r="I359" i="2" s="1"/>
  <c r="I145" i="1" s="1"/>
  <c r="D360" i="2"/>
  <c r="I360" i="2" s="1"/>
  <c r="D361" i="2"/>
  <c r="I361" i="2" s="1"/>
  <c r="D362" i="2"/>
  <c r="I362" i="2" s="1"/>
  <c r="D363" i="2"/>
  <c r="I363" i="2" s="1"/>
  <c r="D364" i="2"/>
  <c r="I364" i="2" s="1"/>
  <c r="D365" i="2"/>
  <c r="I365" i="2" s="1"/>
  <c r="D366" i="2"/>
  <c r="I366" i="2" s="1"/>
  <c r="D367" i="2"/>
  <c r="I367" i="2" s="1"/>
  <c r="D368" i="2"/>
  <c r="I368" i="2" s="1"/>
  <c r="D369" i="2"/>
  <c r="I369" i="2" s="1"/>
  <c r="D370" i="2"/>
  <c r="I370" i="2" s="1"/>
  <c r="D371" i="2"/>
  <c r="I371" i="2" s="1"/>
  <c r="D372" i="2"/>
  <c r="I372" i="2" s="1"/>
  <c r="D373" i="2"/>
  <c r="I373" i="2" s="1"/>
  <c r="D374" i="2"/>
  <c r="I374" i="2" s="1"/>
  <c r="D375" i="2"/>
  <c r="I375" i="2" s="1"/>
  <c r="D376" i="2"/>
  <c r="I376" i="2" s="1"/>
  <c r="D377" i="2"/>
  <c r="I377" i="2" s="1"/>
  <c r="D378" i="2"/>
  <c r="I378" i="2" s="1"/>
  <c r="D379" i="2"/>
  <c r="I379" i="2" s="1"/>
  <c r="D380" i="2"/>
  <c r="I380" i="2" s="1"/>
  <c r="D381" i="2"/>
  <c r="I381" i="2" s="1"/>
  <c r="D382" i="2"/>
  <c r="I382" i="2" s="1"/>
  <c r="D383" i="2"/>
  <c r="I383" i="2" s="1"/>
  <c r="D384" i="2"/>
  <c r="I384" i="2" s="1"/>
  <c r="D385" i="2"/>
  <c r="I385" i="2" s="1"/>
  <c r="D386" i="2"/>
  <c r="I386" i="2" s="1"/>
  <c r="D387" i="2"/>
  <c r="I387" i="2" s="1"/>
  <c r="D388" i="2"/>
  <c r="I388" i="2" s="1"/>
  <c r="D389" i="2"/>
  <c r="I389" i="2" s="1"/>
  <c r="D390" i="2"/>
  <c r="I390" i="2" s="1"/>
  <c r="D391" i="2"/>
  <c r="I391" i="2" s="1"/>
  <c r="D392" i="2"/>
  <c r="I392" i="2" s="1"/>
  <c r="D393" i="2"/>
  <c r="I393" i="2" s="1"/>
  <c r="D394" i="2"/>
  <c r="I394" i="2" s="1"/>
  <c r="D395" i="2"/>
  <c r="I395" i="2" s="1"/>
  <c r="D396" i="2"/>
  <c r="I396" i="2" s="1"/>
  <c r="D397" i="2"/>
  <c r="I397" i="2" s="1"/>
  <c r="D398" i="2"/>
  <c r="I398" i="2" s="1"/>
  <c r="D399" i="2"/>
  <c r="I399" i="2" s="1"/>
  <c r="D400" i="2"/>
  <c r="I400" i="2" s="1"/>
  <c r="D401" i="2"/>
  <c r="I401" i="2" s="1"/>
  <c r="D402" i="2"/>
  <c r="I402" i="2" s="1"/>
  <c r="D403" i="2"/>
  <c r="I403" i="2" s="1"/>
  <c r="D404" i="2"/>
  <c r="I404" i="2" s="1"/>
  <c r="I160" i="1" s="1"/>
  <c r="D405" i="2"/>
  <c r="I405" i="2" s="1"/>
  <c r="I161" i="1" s="1"/>
  <c r="D406" i="2"/>
  <c r="I406" i="2" s="1"/>
  <c r="D407" i="2"/>
  <c r="I407" i="2" s="1"/>
  <c r="D408" i="2"/>
  <c r="I408" i="2" s="1"/>
  <c r="D409" i="2"/>
  <c r="I409" i="2" s="1"/>
  <c r="D410" i="2"/>
  <c r="I410" i="2" s="1"/>
  <c r="D411" i="2"/>
  <c r="I411" i="2" s="1"/>
  <c r="D412" i="2"/>
  <c r="I412" i="2" s="1"/>
  <c r="D413" i="2"/>
  <c r="I413" i="2" s="1"/>
  <c r="D414" i="2"/>
  <c r="I414" i="2" s="1"/>
  <c r="D415" i="2"/>
  <c r="I415" i="2" s="1"/>
  <c r="D416" i="2"/>
  <c r="I416" i="2" s="1"/>
  <c r="D417" i="2"/>
  <c r="I417" i="2" s="1"/>
  <c r="D418" i="2"/>
  <c r="I418" i="2" s="1"/>
  <c r="D419" i="2"/>
  <c r="I419" i="2" s="1"/>
  <c r="D420" i="2"/>
  <c r="I420" i="2" s="1"/>
  <c r="D421" i="2"/>
  <c r="I421" i="2" s="1"/>
  <c r="I167" i="1" s="1"/>
  <c r="D422" i="2"/>
  <c r="I422" i="2" s="1"/>
  <c r="I168" i="1" s="1"/>
  <c r="D423" i="2"/>
  <c r="I423" i="2" s="1"/>
  <c r="D424" i="2"/>
  <c r="I424" i="2" s="1"/>
  <c r="D425" i="2"/>
  <c r="I425" i="2" s="1"/>
  <c r="D426" i="2"/>
  <c r="I426" i="2" s="1"/>
  <c r="D427" i="2"/>
  <c r="I427" i="2" s="1"/>
  <c r="D428" i="2"/>
  <c r="I428" i="2" s="1"/>
  <c r="D429" i="2"/>
  <c r="I429" i="2" s="1"/>
  <c r="D430" i="2"/>
  <c r="I430" i="2" s="1"/>
  <c r="D431" i="2"/>
  <c r="I431" i="2" s="1"/>
  <c r="D432" i="2"/>
  <c r="I432" i="2" s="1"/>
  <c r="D433" i="2"/>
  <c r="I433" i="2" s="1"/>
  <c r="D434" i="2"/>
  <c r="I434" i="2" s="1"/>
  <c r="D435" i="2"/>
  <c r="I435" i="2" s="1"/>
  <c r="D436" i="2"/>
  <c r="I436" i="2" s="1"/>
  <c r="D437" i="2"/>
  <c r="I437" i="2" s="1"/>
  <c r="I173" i="1" s="1"/>
  <c r="D438" i="2"/>
  <c r="I438" i="2" s="1"/>
  <c r="I174" i="1" s="1"/>
  <c r="D439" i="2"/>
  <c r="I439" i="2" s="1"/>
  <c r="D440" i="2"/>
  <c r="I440" i="2" s="1"/>
  <c r="D441" i="2"/>
  <c r="I441" i="2" s="1"/>
  <c r="D442" i="2"/>
  <c r="I442" i="2" s="1"/>
  <c r="D443" i="2"/>
  <c r="I443" i="2" s="1"/>
  <c r="D444" i="2"/>
  <c r="I444" i="2" s="1"/>
  <c r="D445" i="2"/>
  <c r="I445" i="2" s="1"/>
  <c r="D446" i="2"/>
  <c r="I446" i="2" s="1"/>
  <c r="D447" i="2"/>
  <c r="I447" i="2" s="1"/>
  <c r="D448" i="2"/>
  <c r="I448" i="2" s="1"/>
  <c r="D449" i="2"/>
  <c r="I449" i="2" s="1"/>
  <c r="D450" i="2"/>
  <c r="I450" i="2" s="1"/>
  <c r="D451" i="2"/>
  <c r="I451" i="2" s="1"/>
  <c r="D452" i="2"/>
  <c r="I452" i="2" s="1"/>
  <c r="D453" i="2"/>
  <c r="I453" i="2" s="1"/>
  <c r="D454" i="2"/>
  <c r="I454" i="2" s="1"/>
  <c r="D455" i="2"/>
  <c r="I455" i="2" s="1"/>
  <c r="D456" i="2"/>
  <c r="I456" i="2" s="1"/>
  <c r="D457" i="2"/>
  <c r="I457" i="2" s="1"/>
  <c r="D458" i="2"/>
  <c r="I458" i="2" s="1"/>
  <c r="I181" i="1" s="1"/>
  <c r="D459" i="2"/>
  <c r="I459" i="2" s="1"/>
  <c r="D460" i="2"/>
  <c r="I460" i="2" s="1"/>
  <c r="D461" i="2"/>
  <c r="I461" i="2" s="1"/>
  <c r="D462" i="2"/>
  <c r="I462" i="2" s="1"/>
  <c r="D463" i="2"/>
  <c r="I463" i="2" s="1"/>
  <c r="I183" i="1" s="1"/>
  <c r="D464" i="2"/>
  <c r="I464" i="2" s="1"/>
  <c r="D465" i="2"/>
  <c r="I465" i="2" s="1"/>
  <c r="D466" i="2"/>
  <c r="I466" i="2" s="1"/>
  <c r="D467" i="2"/>
  <c r="I467" i="2" s="1"/>
  <c r="D468" i="2"/>
  <c r="I468" i="2" s="1"/>
  <c r="D469" i="2"/>
  <c r="I469" i="2" s="1"/>
  <c r="D470" i="2"/>
  <c r="I470" i="2" s="1"/>
  <c r="D471" i="2"/>
  <c r="I471" i="2" s="1"/>
  <c r="D472" i="2"/>
  <c r="I472" i="2" s="1"/>
  <c r="I187" i="1" s="1"/>
  <c r="D473" i="2"/>
  <c r="I473" i="2" s="1"/>
  <c r="D474" i="2"/>
  <c r="I474" i="2" s="1"/>
  <c r="D475" i="2"/>
  <c r="I475" i="2" s="1"/>
  <c r="D476" i="2"/>
  <c r="I476" i="2" s="1"/>
  <c r="D477" i="2"/>
  <c r="I477" i="2" s="1"/>
  <c r="D478" i="2"/>
  <c r="I478" i="2" s="1"/>
  <c r="D479" i="2"/>
  <c r="I479" i="2" s="1"/>
  <c r="D480" i="2"/>
  <c r="I480" i="2" s="1"/>
  <c r="D481" i="2"/>
  <c r="I481" i="2" s="1"/>
  <c r="D482" i="2"/>
  <c r="I482" i="2" s="1"/>
  <c r="D483" i="2"/>
  <c r="I483" i="2" s="1"/>
  <c r="D484" i="2"/>
  <c r="I484" i="2" s="1"/>
  <c r="I191" i="1" s="1"/>
  <c r="D485" i="2"/>
  <c r="I485" i="2" s="1"/>
  <c r="D486" i="2"/>
  <c r="I486" i="2" s="1"/>
  <c r="D487" i="2"/>
  <c r="I487" i="2" s="1"/>
  <c r="I193" i="1" s="1"/>
  <c r="D488" i="2"/>
  <c r="I488" i="2" s="1"/>
  <c r="D489" i="2"/>
  <c r="I489" i="2" s="1"/>
  <c r="D490" i="2"/>
  <c r="I490" i="2" s="1"/>
  <c r="D491" i="2"/>
  <c r="I491" i="2" s="1"/>
  <c r="D492" i="2"/>
  <c r="I492" i="2" s="1"/>
  <c r="D493" i="2"/>
  <c r="I493" i="2" s="1"/>
  <c r="D494" i="2"/>
  <c r="I494" i="2" s="1"/>
  <c r="D495" i="2"/>
  <c r="I495" i="2" s="1"/>
  <c r="D496" i="2"/>
  <c r="I496" i="2" s="1"/>
  <c r="D497" i="2"/>
  <c r="I497" i="2" s="1"/>
  <c r="D498" i="2"/>
  <c r="I498" i="2" s="1"/>
  <c r="D499" i="2"/>
  <c r="I499" i="2" s="1"/>
  <c r="D500" i="2"/>
  <c r="I500" i="2" s="1"/>
  <c r="D501" i="2"/>
  <c r="I501" i="2" s="1"/>
  <c r="D502" i="2"/>
  <c r="I502" i="2" s="1"/>
  <c r="D503" i="2"/>
  <c r="I503" i="2" s="1"/>
  <c r="D504" i="2"/>
  <c r="I504" i="2" s="1"/>
  <c r="D505" i="2"/>
  <c r="I505" i="2" s="1"/>
  <c r="D506" i="2"/>
  <c r="I506" i="2" s="1"/>
  <c r="D507" i="2"/>
  <c r="I507" i="2" s="1"/>
  <c r="D508" i="2"/>
  <c r="I508" i="2" s="1"/>
  <c r="D509" i="2"/>
  <c r="I509" i="2" s="1"/>
  <c r="I201" i="1" s="1"/>
  <c r="D510" i="2"/>
  <c r="I510" i="2" s="1"/>
  <c r="I202" i="1" s="1"/>
  <c r="D511" i="2"/>
  <c r="I511" i="2" s="1"/>
  <c r="I203" i="1" s="1"/>
  <c r="D512" i="2"/>
  <c r="I512" i="2" s="1"/>
  <c r="D513" i="2"/>
  <c r="I513" i="2" s="1"/>
  <c r="D514" i="2"/>
  <c r="I514" i="2" s="1"/>
  <c r="D515" i="2"/>
  <c r="I515" i="2" s="1"/>
  <c r="D516" i="2"/>
  <c r="I516" i="2" s="1"/>
  <c r="D517" i="2"/>
  <c r="I517" i="2" s="1"/>
  <c r="D518" i="2"/>
  <c r="I518" i="2" s="1"/>
  <c r="D519" i="2"/>
  <c r="I519" i="2" s="1"/>
  <c r="D520" i="2"/>
  <c r="I520" i="2" s="1"/>
  <c r="D521" i="2"/>
  <c r="I521" i="2" s="1"/>
  <c r="D522" i="2"/>
  <c r="I522" i="2" s="1"/>
  <c r="D523" i="2"/>
  <c r="I523" i="2" s="1"/>
  <c r="D524" i="2"/>
  <c r="I524" i="2" s="1"/>
  <c r="D525" i="2"/>
  <c r="I525" i="2" s="1"/>
  <c r="D526" i="2"/>
  <c r="I526" i="2" s="1"/>
  <c r="D527" i="2"/>
  <c r="I527" i="2" s="1"/>
  <c r="D528" i="2"/>
  <c r="I528" i="2" s="1"/>
  <c r="D529" i="2"/>
  <c r="I529" i="2" s="1"/>
  <c r="D530" i="2"/>
  <c r="I530" i="2" s="1"/>
  <c r="D531" i="2"/>
  <c r="I531" i="2" s="1"/>
  <c r="D532" i="2"/>
  <c r="I532" i="2" s="1"/>
  <c r="D533" i="2"/>
  <c r="I533" i="2" s="1"/>
  <c r="D534" i="2"/>
  <c r="I534" i="2" s="1"/>
  <c r="D535" i="2"/>
  <c r="I535" i="2" s="1"/>
  <c r="D536" i="2"/>
  <c r="I536" i="2" s="1"/>
  <c r="D537" i="2"/>
  <c r="I537" i="2" s="1"/>
  <c r="D538" i="2"/>
  <c r="I538" i="2" s="1"/>
  <c r="D539" i="2"/>
  <c r="I539" i="2" s="1"/>
  <c r="D540" i="2"/>
  <c r="I540" i="2" s="1"/>
  <c r="D541" i="2"/>
  <c r="I541" i="2" s="1"/>
  <c r="D542" i="2"/>
  <c r="I542" i="2" s="1"/>
  <c r="D543" i="2"/>
  <c r="I543" i="2" s="1"/>
  <c r="D544" i="2"/>
  <c r="I544" i="2" s="1"/>
  <c r="D545" i="2"/>
  <c r="I545" i="2" s="1"/>
  <c r="D546" i="2"/>
  <c r="I546" i="2" s="1"/>
  <c r="D547" i="2"/>
  <c r="I547" i="2" s="1"/>
  <c r="D548" i="2"/>
  <c r="I548" i="2" s="1"/>
  <c r="D549" i="2"/>
  <c r="I549" i="2" s="1"/>
  <c r="D550" i="2"/>
  <c r="I550" i="2" s="1"/>
  <c r="D551" i="2"/>
  <c r="I551" i="2" s="1"/>
  <c r="D552" i="2"/>
  <c r="I552" i="2" s="1"/>
  <c r="D553" i="2"/>
  <c r="I553" i="2" s="1"/>
  <c r="D554" i="2"/>
  <c r="I554" i="2" s="1"/>
  <c r="D555" i="2"/>
  <c r="I555" i="2" s="1"/>
  <c r="D556" i="2"/>
  <c r="I556" i="2" s="1"/>
  <c r="D557" i="2"/>
  <c r="I557" i="2" s="1"/>
  <c r="D558" i="2"/>
  <c r="I558" i="2" s="1"/>
  <c r="I219" i="1" s="1"/>
  <c r="D559" i="2"/>
  <c r="I559" i="2" s="1"/>
  <c r="D560" i="2"/>
  <c r="I560" i="2" s="1"/>
  <c r="D561" i="2"/>
  <c r="I561" i="2" s="1"/>
  <c r="D562" i="2"/>
  <c r="I562" i="2" s="1"/>
  <c r="D563" i="2"/>
  <c r="I563" i="2" s="1"/>
  <c r="D564" i="2"/>
  <c r="I564" i="2" s="1"/>
  <c r="D565" i="2"/>
  <c r="I565" i="2" s="1"/>
  <c r="I222" i="1" s="1"/>
  <c r="D566" i="2"/>
  <c r="I566" i="2" s="1"/>
  <c r="D567" i="2"/>
  <c r="I567" i="2" s="1"/>
  <c r="D568" i="2"/>
  <c r="I568" i="2" s="1"/>
  <c r="D569" i="2"/>
  <c r="I569" i="2" s="1"/>
  <c r="D570" i="2"/>
  <c r="I570" i="2" s="1"/>
  <c r="D571" i="2"/>
  <c r="I571" i="2" s="1"/>
  <c r="D572" i="2"/>
  <c r="I572" i="2" s="1"/>
  <c r="D573" i="2"/>
  <c r="I573" i="2" s="1"/>
  <c r="I225" i="1" s="1"/>
  <c r="D574" i="2"/>
  <c r="I574" i="2" s="1"/>
  <c r="D575" i="2"/>
  <c r="I575" i="2" s="1"/>
  <c r="D576" i="2"/>
  <c r="I576" i="2" s="1"/>
  <c r="D577" i="2"/>
  <c r="I577" i="2" s="1"/>
  <c r="D578" i="2"/>
  <c r="I578" i="2" s="1"/>
  <c r="D579" i="2"/>
  <c r="I579" i="2" s="1"/>
  <c r="D580" i="2"/>
  <c r="I580" i="2" s="1"/>
  <c r="D581" i="2"/>
  <c r="I581" i="2" s="1"/>
  <c r="D582" i="2"/>
  <c r="I582" i="2" s="1"/>
  <c r="D583" i="2"/>
  <c r="I583" i="2" s="1"/>
  <c r="I229" i="1" s="1"/>
  <c r="D584" i="2"/>
  <c r="I584" i="2" s="1"/>
  <c r="D585" i="2"/>
  <c r="I585" i="2" s="1"/>
  <c r="D586" i="2"/>
  <c r="I586" i="2" s="1"/>
  <c r="D587" i="2"/>
  <c r="I587" i="2" s="1"/>
  <c r="D588" i="2"/>
  <c r="I588" i="2" s="1"/>
  <c r="D589" i="2"/>
  <c r="I589" i="2" s="1"/>
  <c r="D590" i="2"/>
  <c r="I590" i="2" s="1"/>
  <c r="D591" i="2"/>
  <c r="I591" i="2" s="1"/>
  <c r="D592" i="2"/>
  <c r="I592" i="2" s="1"/>
  <c r="D593" i="2"/>
  <c r="I593" i="2" s="1"/>
  <c r="D594" i="2"/>
  <c r="I594" i="2" s="1"/>
  <c r="D595" i="2"/>
  <c r="I595" i="2" s="1"/>
  <c r="D596" i="2"/>
  <c r="I596" i="2" s="1"/>
  <c r="D597" i="2"/>
  <c r="I597" i="2" s="1"/>
  <c r="D598" i="2"/>
  <c r="I598" i="2" s="1"/>
  <c r="I235" i="1" s="1"/>
  <c r="D599" i="2"/>
  <c r="I599" i="2" s="1"/>
  <c r="I236" i="1" s="1"/>
  <c r="D600" i="2"/>
  <c r="I600" i="2" s="1"/>
  <c r="D601" i="2"/>
  <c r="I601" i="2" s="1"/>
  <c r="D602" i="2"/>
  <c r="I602" i="2" s="1"/>
  <c r="I238" i="1" s="1"/>
  <c r="D603" i="2"/>
  <c r="I603" i="2" s="1"/>
  <c r="D604" i="2"/>
  <c r="I604" i="2" s="1"/>
  <c r="D605" i="2"/>
  <c r="I605" i="2" s="1"/>
  <c r="D606" i="2"/>
  <c r="I606" i="2" s="1"/>
  <c r="D607" i="2"/>
  <c r="I607" i="2" s="1"/>
  <c r="D608" i="2"/>
  <c r="I608" i="2" s="1"/>
  <c r="D609" i="2"/>
  <c r="I609" i="2" s="1"/>
  <c r="D610" i="2"/>
  <c r="I610" i="2" s="1"/>
  <c r="D611" i="2"/>
  <c r="I611" i="2" s="1"/>
  <c r="D612" i="2"/>
  <c r="I612" i="2" s="1"/>
  <c r="D613" i="2"/>
  <c r="I613" i="2" s="1"/>
  <c r="D614" i="2"/>
  <c r="I614" i="2" s="1"/>
  <c r="D615" i="2"/>
  <c r="I615" i="2" s="1"/>
  <c r="D616" i="2"/>
  <c r="I616" i="2" s="1"/>
  <c r="D617" i="2"/>
  <c r="I617" i="2" s="1"/>
  <c r="D618" i="2"/>
  <c r="I618" i="2" s="1"/>
  <c r="D619" i="2"/>
  <c r="I619" i="2" s="1"/>
  <c r="D620" i="2"/>
  <c r="I620" i="2" s="1"/>
  <c r="D621" i="2"/>
  <c r="I621" i="2" s="1"/>
  <c r="D622" i="2"/>
  <c r="I622" i="2" s="1"/>
  <c r="D623" i="2"/>
  <c r="I623" i="2" s="1"/>
  <c r="D624" i="2"/>
  <c r="I624" i="2" s="1"/>
  <c r="D625" i="2"/>
  <c r="I625" i="2" s="1"/>
  <c r="D626" i="2"/>
  <c r="I626" i="2" s="1"/>
  <c r="D627" i="2"/>
  <c r="I627" i="2" s="1"/>
  <c r="D628" i="2"/>
  <c r="I628" i="2" s="1"/>
  <c r="D629" i="2"/>
  <c r="I629" i="2" s="1"/>
  <c r="D630" i="2"/>
  <c r="I630" i="2" s="1"/>
  <c r="I247" i="1" s="1"/>
  <c r="D631" i="2"/>
  <c r="I631" i="2" s="1"/>
  <c r="D632" i="2"/>
  <c r="I632" i="2" s="1"/>
  <c r="D633" i="2"/>
  <c r="I633" i="2" s="1"/>
  <c r="D634" i="2"/>
  <c r="I634" i="2" s="1"/>
  <c r="D635" i="2"/>
  <c r="I635" i="2" s="1"/>
  <c r="D636" i="2"/>
  <c r="I636" i="2" s="1"/>
  <c r="D637" i="2"/>
  <c r="I637" i="2" s="1"/>
  <c r="D638" i="2"/>
  <c r="I638" i="2" s="1"/>
  <c r="D639" i="2"/>
  <c r="I639" i="2" s="1"/>
  <c r="D640" i="2"/>
  <c r="I640" i="2" s="1"/>
  <c r="D641" i="2"/>
  <c r="I641" i="2" s="1"/>
  <c r="D642" i="2"/>
  <c r="I642" i="2" s="1"/>
  <c r="D643" i="2"/>
  <c r="I643" i="2" s="1"/>
  <c r="D644" i="2"/>
  <c r="I644" i="2" s="1"/>
  <c r="D645" i="2"/>
  <c r="I645" i="2" s="1"/>
  <c r="D646" i="2"/>
  <c r="I646" i="2" s="1"/>
  <c r="D647" i="2"/>
  <c r="I647" i="2" s="1"/>
  <c r="D648" i="2"/>
  <c r="I648" i="2" s="1"/>
  <c r="D649" i="2"/>
  <c r="I649" i="2" s="1"/>
  <c r="D650" i="2"/>
  <c r="I650" i="2" s="1"/>
  <c r="D651" i="2"/>
  <c r="I651" i="2" s="1"/>
  <c r="D652" i="2"/>
  <c r="I652" i="2" s="1"/>
  <c r="D653" i="2"/>
  <c r="I653" i="2" s="1"/>
  <c r="D654" i="2"/>
  <c r="I654" i="2" s="1"/>
  <c r="D655" i="2"/>
  <c r="I655" i="2" s="1"/>
  <c r="D656" i="2"/>
  <c r="I656" i="2" s="1"/>
  <c r="D657" i="2"/>
  <c r="I657" i="2" s="1"/>
  <c r="D658" i="2"/>
  <c r="I658" i="2" s="1"/>
  <c r="D659" i="2"/>
  <c r="I659" i="2" s="1"/>
  <c r="D660" i="2"/>
  <c r="I660" i="2" s="1"/>
  <c r="D661" i="2"/>
  <c r="I661" i="2" s="1"/>
  <c r="D662" i="2"/>
  <c r="I662" i="2" s="1"/>
  <c r="D663" i="2"/>
  <c r="I663" i="2" s="1"/>
  <c r="D664" i="2"/>
  <c r="I664" i="2" s="1"/>
  <c r="D665" i="2"/>
  <c r="I665" i="2" s="1"/>
  <c r="D666" i="2"/>
  <c r="I666" i="2" s="1"/>
  <c r="D667" i="2"/>
  <c r="I667" i="2" s="1"/>
  <c r="D668" i="2"/>
  <c r="I668" i="2" s="1"/>
  <c r="D669" i="2"/>
  <c r="I669" i="2" s="1"/>
  <c r="D670" i="2"/>
  <c r="I670" i="2" s="1"/>
  <c r="D671" i="2"/>
  <c r="I671" i="2" s="1"/>
  <c r="D672" i="2"/>
  <c r="I672" i="2" s="1"/>
  <c r="D673" i="2"/>
  <c r="I673" i="2" s="1"/>
  <c r="D674" i="2"/>
  <c r="I674" i="2" s="1"/>
  <c r="D675" i="2"/>
  <c r="I675" i="2" s="1"/>
  <c r="D676" i="2"/>
  <c r="I676" i="2" s="1"/>
  <c r="D677" i="2"/>
  <c r="I677" i="2" s="1"/>
  <c r="D678" i="2"/>
  <c r="I678" i="2" s="1"/>
  <c r="D679" i="2"/>
  <c r="I679" i="2" s="1"/>
  <c r="D680" i="2"/>
  <c r="I680" i="2" s="1"/>
  <c r="D681" i="2"/>
  <c r="I681" i="2" s="1"/>
  <c r="D682" i="2"/>
  <c r="I682" i="2" s="1"/>
  <c r="D683" i="2"/>
  <c r="I683" i="2" s="1"/>
  <c r="D684" i="2"/>
  <c r="I684" i="2" s="1"/>
  <c r="D685" i="2"/>
  <c r="I685" i="2" s="1"/>
  <c r="D686" i="2"/>
  <c r="I686" i="2" s="1"/>
  <c r="D687" i="2"/>
  <c r="I687" i="2" s="1"/>
  <c r="D688" i="2"/>
  <c r="I688" i="2" s="1"/>
  <c r="D689" i="2"/>
  <c r="I689" i="2" s="1"/>
  <c r="D690" i="2"/>
  <c r="I690" i="2" s="1"/>
  <c r="D691" i="2"/>
  <c r="I691" i="2" s="1"/>
  <c r="D692" i="2"/>
  <c r="I692" i="2" s="1"/>
  <c r="D693" i="2"/>
  <c r="I693" i="2" s="1"/>
  <c r="D694" i="2"/>
  <c r="I694" i="2" s="1"/>
  <c r="D695" i="2"/>
  <c r="I695" i="2" s="1"/>
  <c r="D696" i="2"/>
  <c r="I696" i="2" s="1"/>
  <c r="D697" i="2"/>
  <c r="I697" i="2" s="1"/>
  <c r="D698" i="2"/>
  <c r="I698" i="2" s="1"/>
  <c r="D699" i="2"/>
  <c r="I699" i="2" s="1"/>
  <c r="D700" i="2"/>
  <c r="I700" i="2" s="1"/>
  <c r="D701" i="2"/>
  <c r="I701" i="2" s="1"/>
  <c r="D702" i="2"/>
  <c r="I702" i="2" s="1"/>
  <c r="D703" i="2"/>
  <c r="I703" i="2" s="1"/>
  <c r="D704" i="2"/>
  <c r="I704" i="2" s="1"/>
  <c r="D705" i="2"/>
  <c r="I705" i="2" s="1"/>
  <c r="D706" i="2"/>
  <c r="I706" i="2" s="1"/>
  <c r="D707" i="2"/>
  <c r="I707" i="2" s="1"/>
  <c r="D708" i="2"/>
  <c r="I708" i="2" s="1"/>
  <c r="I274" i="1" s="1"/>
  <c r="D709" i="2"/>
  <c r="I709" i="2" s="1"/>
  <c r="D710" i="2"/>
  <c r="I710" i="2" s="1"/>
  <c r="D711" i="2"/>
  <c r="I711" i="2" s="1"/>
  <c r="D712" i="2"/>
  <c r="I712" i="2" s="1"/>
  <c r="D713" i="2"/>
  <c r="I713" i="2" s="1"/>
  <c r="D714" i="2"/>
  <c r="I714" i="2" s="1"/>
  <c r="D715" i="2"/>
  <c r="I715" i="2" s="1"/>
  <c r="D716" i="2"/>
  <c r="I716" i="2" s="1"/>
  <c r="D717" i="2"/>
  <c r="I717" i="2" s="1"/>
  <c r="D718" i="2"/>
  <c r="I718" i="2" s="1"/>
  <c r="D719" i="2"/>
  <c r="I719" i="2" s="1"/>
  <c r="D720" i="2"/>
  <c r="I720" i="2" s="1"/>
  <c r="D721" i="2"/>
  <c r="I721" i="2" s="1"/>
  <c r="D722" i="2"/>
  <c r="I722" i="2" s="1"/>
  <c r="D723" i="2"/>
  <c r="I723" i="2" s="1"/>
  <c r="D724" i="2"/>
  <c r="I724" i="2" s="1"/>
  <c r="D725" i="2"/>
  <c r="I725" i="2" s="1"/>
  <c r="I280" i="1" s="1"/>
  <c r="D726" i="2"/>
  <c r="I726" i="2" s="1"/>
  <c r="D727" i="2"/>
  <c r="I727" i="2" s="1"/>
  <c r="D728" i="2"/>
  <c r="I728" i="2" s="1"/>
  <c r="D729" i="2"/>
  <c r="I729" i="2" s="1"/>
  <c r="I282" i="1" s="1"/>
  <c r="D730" i="2"/>
  <c r="I730" i="2" s="1"/>
  <c r="D731" i="2"/>
  <c r="I731" i="2" s="1"/>
  <c r="D732" i="2"/>
  <c r="I732" i="2" s="1"/>
  <c r="D733" i="2"/>
  <c r="I733" i="2" s="1"/>
  <c r="D734" i="2"/>
  <c r="I734" i="2" s="1"/>
  <c r="D735" i="2"/>
  <c r="I735" i="2" s="1"/>
  <c r="D736" i="2"/>
  <c r="I736" i="2" s="1"/>
  <c r="D737" i="2"/>
  <c r="I737" i="2" s="1"/>
  <c r="D738" i="2"/>
  <c r="I738" i="2" s="1"/>
  <c r="D739" i="2"/>
  <c r="I739" i="2" s="1"/>
  <c r="D740" i="2"/>
  <c r="I740" i="2" s="1"/>
  <c r="D741" i="2"/>
  <c r="I741" i="2" s="1"/>
  <c r="D742" i="2"/>
  <c r="I742" i="2" s="1"/>
  <c r="D743" i="2"/>
  <c r="I743" i="2" s="1"/>
  <c r="D744" i="2"/>
  <c r="I744" i="2" s="1"/>
  <c r="D745" i="2"/>
  <c r="I745" i="2" s="1"/>
  <c r="D746" i="2"/>
  <c r="I746" i="2" s="1"/>
  <c r="D747" i="2"/>
  <c r="I747" i="2" s="1"/>
  <c r="D748" i="2"/>
  <c r="I748" i="2" s="1"/>
  <c r="D749" i="2"/>
  <c r="I749" i="2" s="1"/>
  <c r="D750" i="2"/>
  <c r="I750" i="2" s="1"/>
  <c r="D751" i="2"/>
  <c r="I751" i="2" s="1"/>
  <c r="D752" i="2"/>
  <c r="I752" i="2" s="1"/>
  <c r="D753" i="2"/>
  <c r="I753" i="2" s="1"/>
  <c r="D754" i="2"/>
  <c r="I754" i="2" s="1"/>
  <c r="D755" i="2"/>
  <c r="I755" i="2" s="1"/>
  <c r="D756" i="2"/>
  <c r="I756" i="2" s="1"/>
  <c r="I292" i="1" s="1"/>
  <c r="D757" i="2"/>
  <c r="I757" i="2" s="1"/>
  <c r="D758" i="2"/>
  <c r="I758" i="2" s="1"/>
  <c r="D759" i="2"/>
  <c r="I759" i="2" s="1"/>
  <c r="D760" i="2"/>
  <c r="I760" i="2" s="1"/>
  <c r="D761" i="2"/>
  <c r="I761" i="2" s="1"/>
  <c r="I295" i="1" s="1"/>
  <c r="D762" i="2"/>
  <c r="I762" i="2" s="1"/>
  <c r="D763" i="2"/>
  <c r="I763" i="2" s="1"/>
  <c r="D764" i="2"/>
  <c r="I764" i="2" s="1"/>
  <c r="D765" i="2"/>
  <c r="I765" i="2" s="1"/>
  <c r="D766" i="2"/>
  <c r="I766" i="2" s="1"/>
  <c r="I298" i="1" s="1"/>
  <c r="D767" i="2"/>
  <c r="I767" i="2" s="1"/>
  <c r="I299" i="1" s="1"/>
  <c r="D768" i="2"/>
  <c r="I768" i="2" s="1"/>
  <c r="D769" i="2"/>
  <c r="I769" i="2" s="1"/>
  <c r="D770" i="2"/>
  <c r="I770" i="2" s="1"/>
  <c r="D771" i="2"/>
  <c r="I771" i="2" s="1"/>
  <c r="D772" i="2"/>
  <c r="I772" i="2" s="1"/>
  <c r="D773" i="2"/>
  <c r="I773" i="2" s="1"/>
  <c r="D774" i="2"/>
  <c r="I774" i="2" s="1"/>
  <c r="D775" i="2"/>
  <c r="I775" i="2" s="1"/>
  <c r="D776" i="2"/>
  <c r="I776" i="2" s="1"/>
  <c r="D777" i="2"/>
  <c r="I777" i="2" s="1"/>
  <c r="D778" i="2"/>
  <c r="I778" i="2" s="1"/>
  <c r="D779" i="2"/>
  <c r="I779" i="2" s="1"/>
  <c r="I303" i="1" s="1"/>
  <c r="D780" i="2"/>
  <c r="I780" i="2" s="1"/>
  <c r="D781" i="2"/>
  <c r="I781" i="2" s="1"/>
  <c r="D782" i="2"/>
  <c r="I782" i="2" s="1"/>
  <c r="I305" i="1" s="1"/>
  <c r="D783" i="2"/>
  <c r="I783" i="2" s="1"/>
  <c r="D784" i="2"/>
  <c r="I784" i="2" s="1"/>
  <c r="D785" i="2"/>
  <c r="I785" i="2" s="1"/>
  <c r="D786" i="2"/>
  <c r="I786" i="2" s="1"/>
  <c r="D787" i="2"/>
  <c r="I787" i="2" s="1"/>
  <c r="D788" i="2"/>
  <c r="I788" i="2" s="1"/>
  <c r="D789" i="2"/>
  <c r="I789" i="2" s="1"/>
  <c r="D790" i="2"/>
  <c r="I790" i="2" s="1"/>
  <c r="D791" i="2"/>
  <c r="I791" i="2" s="1"/>
  <c r="D792" i="2"/>
  <c r="I792" i="2" s="1"/>
  <c r="D793" i="2"/>
  <c r="I793" i="2" s="1"/>
  <c r="D794" i="2"/>
  <c r="I794" i="2" s="1"/>
  <c r="D795" i="2"/>
  <c r="I795" i="2" s="1"/>
  <c r="D796" i="2"/>
  <c r="I796" i="2" s="1"/>
  <c r="D797" i="2"/>
  <c r="I797" i="2" s="1"/>
  <c r="D798" i="2"/>
  <c r="I798" i="2" s="1"/>
  <c r="D799" i="2"/>
  <c r="I799" i="2" s="1"/>
  <c r="D800" i="2"/>
  <c r="I800" i="2" s="1"/>
  <c r="D801" i="2"/>
  <c r="I801" i="2" s="1"/>
  <c r="D802" i="2"/>
  <c r="I802" i="2" s="1"/>
  <c r="D803" i="2"/>
  <c r="I803" i="2" s="1"/>
  <c r="D804" i="2"/>
  <c r="I804" i="2" s="1"/>
  <c r="D805" i="2"/>
  <c r="I805" i="2" s="1"/>
  <c r="D806" i="2"/>
  <c r="I806" i="2" s="1"/>
  <c r="D807" i="2"/>
  <c r="I807" i="2" s="1"/>
  <c r="D808" i="2"/>
  <c r="I808" i="2" s="1"/>
  <c r="I314" i="1" s="1"/>
  <c r="D809" i="2"/>
  <c r="I809" i="2" s="1"/>
  <c r="I315" i="1" s="1"/>
  <c r="D810" i="2"/>
  <c r="I810" i="2" s="1"/>
  <c r="D811" i="2"/>
  <c r="I811" i="2" s="1"/>
  <c r="D812" i="2"/>
  <c r="I812" i="2" s="1"/>
  <c r="I317" i="1" s="1"/>
  <c r="D813" i="2"/>
  <c r="I813" i="2" s="1"/>
  <c r="D814" i="2"/>
  <c r="I814" i="2" s="1"/>
  <c r="D815" i="2"/>
  <c r="I815" i="2" s="1"/>
  <c r="D816" i="2"/>
  <c r="I816" i="2" s="1"/>
  <c r="D817" i="2"/>
  <c r="I817" i="2" s="1"/>
  <c r="D818" i="2"/>
  <c r="I818" i="2" s="1"/>
  <c r="D819" i="2"/>
  <c r="I819" i="2" s="1"/>
  <c r="D820" i="2"/>
  <c r="I820" i="2" s="1"/>
  <c r="D821" i="2"/>
  <c r="I821" i="2" s="1"/>
  <c r="I321" i="1" s="1"/>
  <c r="D822" i="2"/>
  <c r="I822" i="2" s="1"/>
  <c r="D823" i="2"/>
  <c r="I823" i="2" s="1"/>
  <c r="D824" i="2"/>
  <c r="I824" i="2" s="1"/>
  <c r="D825" i="2"/>
  <c r="I825" i="2" s="1"/>
  <c r="D826" i="2"/>
  <c r="I826" i="2" s="1"/>
  <c r="D827" i="2"/>
  <c r="I827" i="2" s="1"/>
  <c r="D828" i="2"/>
  <c r="I828" i="2" s="1"/>
  <c r="D829" i="2"/>
  <c r="I829" i="2" s="1"/>
  <c r="D830" i="2"/>
  <c r="I830" i="2" s="1"/>
  <c r="D831" i="2"/>
  <c r="I831" i="2" s="1"/>
  <c r="D832" i="2"/>
  <c r="I832" i="2" s="1"/>
  <c r="D833" i="2"/>
  <c r="I833" i="2" s="1"/>
  <c r="D834" i="2"/>
  <c r="I834" i="2" s="1"/>
  <c r="D835" i="2"/>
  <c r="I835" i="2" s="1"/>
  <c r="I326" i="1" s="1"/>
  <c r="D836" i="2"/>
  <c r="I836" i="2" s="1"/>
  <c r="I327" i="1" s="1"/>
  <c r="D837" i="2"/>
  <c r="I837" i="2" s="1"/>
  <c r="D838" i="2"/>
  <c r="I838" i="2" s="1"/>
  <c r="D839" i="2"/>
  <c r="I839" i="2" s="1"/>
  <c r="D840" i="2"/>
  <c r="I840" i="2" s="1"/>
  <c r="I329" i="1" s="1"/>
  <c r="D841" i="2"/>
  <c r="I841" i="2" s="1"/>
  <c r="D842" i="2"/>
  <c r="I842" i="2" s="1"/>
  <c r="D843" i="2"/>
  <c r="I843" i="2" s="1"/>
  <c r="D844" i="2"/>
  <c r="I844" i="2" s="1"/>
  <c r="D845" i="2"/>
  <c r="I845" i="2" s="1"/>
  <c r="D846" i="2"/>
  <c r="I846" i="2" s="1"/>
  <c r="D847" i="2"/>
  <c r="I847" i="2" s="1"/>
  <c r="D848" i="2"/>
  <c r="I848" i="2" s="1"/>
  <c r="D849" i="2"/>
  <c r="I849" i="2" s="1"/>
  <c r="D850" i="2"/>
  <c r="I850" i="2" s="1"/>
  <c r="D851" i="2"/>
  <c r="I851" i="2" s="1"/>
  <c r="D852" i="2"/>
  <c r="I852" i="2" s="1"/>
  <c r="D853" i="2"/>
  <c r="I853" i="2" s="1"/>
  <c r="D854" i="2"/>
  <c r="I854" i="2" s="1"/>
  <c r="D855" i="2"/>
  <c r="I855" i="2" s="1"/>
  <c r="D856" i="2"/>
  <c r="I856" i="2" s="1"/>
  <c r="D857" i="2"/>
  <c r="I857" i="2" s="1"/>
  <c r="D858" i="2"/>
  <c r="I858" i="2" s="1"/>
  <c r="D859" i="2"/>
  <c r="I859" i="2" s="1"/>
  <c r="D860" i="2"/>
  <c r="I860" i="2" s="1"/>
  <c r="D861" i="2"/>
  <c r="I861" i="2" s="1"/>
  <c r="D862" i="2"/>
  <c r="I862" i="2" s="1"/>
  <c r="D863" i="2"/>
  <c r="I863" i="2" s="1"/>
  <c r="D864" i="2"/>
  <c r="I864" i="2" s="1"/>
  <c r="D865" i="2"/>
  <c r="I865" i="2" s="1"/>
  <c r="D866" i="2"/>
  <c r="I866" i="2" s="1"/>
  <c r="I338" i="1" s="1"/>
  <c r="D867" i="2"/>
  <c r="I867" i="2" s="1"/>
  <c r="D868" i="2"/>
  <c r="I868" i="2" s="1"/>
  <c r="D869" i="2"/>
  <c r="I869" i="2" s="1"/>
  <c r="D870" i="2"/>
  <c r="I870" i="2" s="1"/>
  <c r="D871" i="2"/>
  <c r="I871" i="2" s="1"/>
  <c r="D872" i="2"/>
  <c r="I872" i="2" s="1"/>
  <c r="D873" i="2"/>
  <c r="I873" i="2" s="1"/>
  <c r="D874" i="2"/>
  <c r="I874" i="2" s="1"/>
  <c r="D875" i="2"/>
  <c r="I875" i="2" s="1"/>
  <c r="D876" i="2"/>
  <c r="I876" i="2" s="1"/>
  <c r="D877" i="2"/>
  <c r="I877" i="2" s="1"/>
  <c r="D878" i="2"/>
  <c r="I878" i="2" s="1"/>
  <c r="D879" i="2"/>
  <c r="I879" i="2" s="1"/>
  <c r="D880" i="2"/>
  <c r="I880" i="2" s="1"/>
  <c r="D881" i="2"/>
  <c r="I881" i="2" s="1"/>
  <c r="I344" i="1" s="1"/>
  <c r="D882" i="2"/>
  <c r="I882" i="2" s="1"/>
  <c r="D883" i="2"/>
  <c r="I883" i="2" s="1"/>
  <c r="D884" i="2"/>
  <c r="I884" i="2" s="1"/>
  <c r="D885" i="2"/>
  <c r="I885" i="2" s="1"/>
  <c r="D886" i="2"/>
  <c r="I886" i="2" s="1"/>
  <c r="D887" i="2"/>
  <c r="I887" i="2" s="1"/>
  <c r="D888" i="2"/>
  <c r="I888" i="2" s="1"/>
  <c r="D889" i="2"/>
  <c r="I889" i="2" s="1"/>
  <c r="D890" i="2"/>
  <c r="I890" i="2" s="1"/>
  <c r="D891" i="2"/>
  <c r="I891" i="2" s="1"/>
  <c r="D892" i="2"/>
  <c r="I892" i="2" s="1"/>
  <c r="D893" i="2"/>
  <c r="I893" i="2" s="1"/>
  <c r="D894" i="2"/>
  <c r="I894" i="2" s="1"/>
  <c r="D895" i="2"/>
  <c r="I895" i="2" s="1"/>
  <c r="D896" i="2"/>
  <c r="I896" i="2" s="1"/>
  <c r="D897" i="2"/>
  <c r="I897" i="2" s="1"/>
  <c r="D898" i="2"/>
  <c r="I898" i="2" s="1"/>
  <c r="D899" i="2"/>
  <c r="I899" i="2" s="1"/>
  <c r="D900" i="2"/>
  <c r="I900" i="2" s="1"/>
  <c r="D901" i="2"/>
  <c r="I901" i="2" s="1"/>
  <c r="D902" i="2"/>
  <c r="I902" i="2" s="1"/>
  <c r="D903" i="2"/>
  <c r="I903" i="2" s="1"/>
  <c r="I352" i="1" s="1"/>
  <c r="D904" i="2"/>
  <c r="I904" i="2" s="1"/>
  <c r="D905" i="2"/>
  <c r="I905" i="2" s="1"/>
  <c r="D906" i="2"/>
  <c r="I906" i="2" s="1"/>
  <c r="D907" i="2"/>
  <c r="I907" i="2" s="1"/>
  <c r="D908" i="2"/>
  <c r="I908" i="2" s="1"/>
  <c r="I354" i="1" s="1"/>
  <c r="D909" i="2"/>
  <c r="I909" i="2" s="1"/>
  <c r="D910" i="2"/>
  <c r="I910" i="2" s="1"/>
  <c r="D911" i="2"/>
  <c r="I911" i="2" s="1"/>
  <c r="D912" i="2"/>
  <c r="I912" i="2" s="1"/>
  <c r="D913" i="2"/>
  <c r="I913" i="2" s="1"/>
  <c r="D914" i="2"/>
  <c r="I914" i="2" s="1"/>
  <c r="D915" i="2"/>
  <c r="I915" i="2" s="1"/>
  <c r="D916" i="2"/>
  <c r="I916" i="2" s="1"/>
  <c r="D917" i="2"/>
  <c r="I917" i="2" s="1"/>
  <c r="D918" i="2"/>
  <c r="I918" i="2" s="1"/>
  <c r="D919" i="2"/>
  <c r="I919" i="2" s="1"/>
  <c r="D920" i="2"/>
  <c r="I920" i="2" s="1"/>
  <c r="D921" i="2"/>
  <c r="I921" i="2" s="1"/>
  <c r="D922" i="2"/>
  <c r="I922" i="2" s="1"/>
  <c r="I360" i="1" s="1"/>
  <c r="D923" i="2"/>
  <c r="I923" i="2" s="1"/>
  <c r="D924" i="2"/>
  <c r="I924" i="2" s="1"/>
  <c r="D925" i="2"/>
  <c r="I925" i="2" s="1"/>
  <c r="B62" i="14" l="1"/>
  <c r="B63" i="14" s="1"/>
  <c r="D32" i="14"/>
  <c r="D25" i="14"/>
  <c r="D33" i="14"/>
  <c r="D34" i="14"/>
  <c r="D20" i="14"/>
  <c r="D18" i="14"/>
  <c r="D27" i="14"/>
  <c r="D17" i="14"/>
  <c r="D19" i="14"/>
  <c r="M9" i="15"/>
  <c r="M14" i="15"/>
  <c r="M6" i="15"/>
  <c r="M13" i="15"/>
  <c r="M3" i="15"/>
  <c r="M4" i="15"/>
  <c r="M11" i="15"/>
  <c r="M10" i="15"/>
  <c r="M2" i="15"/>
  <c r="M16" i="15"/>
  <c r="M8" i="15"/>
  <c r="M15" i="15"/>
  <c r="M7" i="15"/>
  <c r="M5" i="15"/>
  <c r="M12" i="15"/>
  <c r="G354" i="15"/>
  <c r="H354" i="15" s="1"/>
  <c r="G291" i="15"/>
  <c r="H291" i="15" s="1"/>
  <c r="I315" i="15"/>
  <c r="G307" i="15"/>
  <c r="H307" i="15" s="1"/>
  <c r="G279" i="15"/>
  <c r="H279" i="15" s="1"/>
  <c r="I251" i="15"/>
  <c r="F208" i="15"/>
  <c r="G208" i="15" s="1"/>
  <c r="H208" i="15" s="1"/>
  <c r="I208" i="15"/>
  <c r="I347" i="15"/>
  <c r="G346" i="15"/>
  <c r="H346" i="15" s="1"/>
  <c r="I323" i="15"/>
  <c r="G315" i="15"/>
  <c r="H315" i="15" s="1"/>
  <c r="G287" i="15"/>
  <c r="H287" i="15" s="1"/>
  <c r="I259" i="15"/>
  <c r="G251" i="15"/>
  <c r="H251" i="15" s="1"/>
  <c r="I359" i="15"/>
  <c r="F221" i="15"/>
  <c r="G221" i="15" s="1"/>
  <c r="H221" i="15" s="1"/>
  <c r="I221" i="15"/>
  <c r="I349" i="15"/>
  <c r="G347" i="15"/>
  <c r="H347" i="15" s="1"/>
  <c r="I339" i="15"/>
  <c r="I331" i="15"/>
  <c r="G323" i="15"/>
  <c r="H323" i="15" s="1"/>
  <c r="G295" i="15"/>
  <c r="H295" i="15" s="1"/>
  <c r="I267" i="15"/>
  <c r="G259" i="15"/>
  <c r="H259" i="15" s="1"/>
  <c r="G232" i="15"/>
  <c r="H232" i="15" s="1"/>
  <c r="I357" i="15"/>
  <c r="I307" i="15"/>
  <c r="I351" i="15"/>
  <c r="G339" i="15"/>
  <c r="H339" i="15" s="1"/>
  <c r="G331" i="15"/>
  <c r="H331" i="15" s="1"/>
  <c r="G303" i="15"/>
  <c r="H303" i="15" s="1"/>
  <c r="I275" i="15"/>
  <c r="G267" i="15"/>
  <c r="H267" i="15" s="1"/>
  <c r="G227" i="15"/>
  <c r="H227" i="15" s="1"/>
  <c r="I216" i="15"/>
  <c r="F205" i="15"/>
  <c r="G205" i="15" s="1"/>
  <c r="H205" i="15" s="1"/>
  <c r="I205" i="15"/>
  <c r="I229" i="15"/>
  <c r="I198" i="15"/>
  <c r="I197" i="15"/>
  <c r="G185" i="15"/>
  <c r="H185" i="15" s="1"/>
  <c r="I172" i="15"/>
  <c r="I124" i="15"/>
  <c r="G96" i="15"/>
  <c r="H96" i="15" s="1"/>
  <c r="G60" i="15"/>
  <c r="H60" i="15" s="1"/>
  <c r="G48" i="15"/>
  <c r="H48" i="15" s="1"/>
  <c r="I36" i="15"/>
  <c r="G228" i="15"/>
  <c r="H228" i="15" s="1"/>
  <c r="I220" i="15"/>
  <c r="I204" i="15"/>
  <c r="G203" i="15"/>
  <c r="H203" i="15" s="1"/>
  <c r="G201" i="15"/>
  <c r="H201" i="15" s="1"/>
  <c r="I188" i="15"/>
  <c r="I150" i="15"/>
  <c r="I149" i="15"/>
  <c r="G148" i="15"/>
  <c r="H148" i="15" s="1"/>
  <c r="G137" i="15"/>
  <c r="H137" i="15" s="1"/>
  <c r="I117" i="15"/>
  <c r="G116" i="15"/>
  <c r="H116" i="15" s="1"/>
  <c r="I108" i="15"/>
  <c r="I77" i="15"/>
  <c r="G64" i="15"/>
  <c r="H64" i="15" s="1"/>
  <c r="I52" i="15"/>
  <c r="G219" i="15"/>
  <c r="H219" i="15" s="1"/>
  <c r="G204" i="15"/>
  <c r="H204" i="15" s="1"/>
  <c r="I189" i="15"/>
  <c r="G188" i="15"/>
  <c r="H188" i="15" s="1"/>
  <c r="I164" i="15"/>
  <c r="I109" i="15"/>
  <c r="G108" i="15"/>
  <c r="H108" i="15" s="1"/>
  <c r="I100" i="15"/>
  <c r="I53" i="15"/>
  <c r="G52" i="15"/>
  <c r="H52" i="15" s="1"/>
  <c r="G40" i="15"/>
  <c r="H40" i="15" s="1"/>
  <c r="I28" i="15"/>
  <c r="G16" i="15"/>
  <c r="H16" i="15" s="1"/>
  <c r="G164" i="15"/>
  <c r="H164" i="15" s="1"/>
  <c r="G153" i="15"/>
  <c r="H153" i="15" s="1"/>
  <c r="I140" i="15"/>
  <c r="G128" i="15"/>
  <c r="H128" i="15" s="1"/>
  <c r="I101" i="15"/>
  <c r="G100" i="15"/>
  <c r="H100" i="15" s="1"/>
  <c r="I92" i="15"/>
  <c r="I68" i="15"/>
  <c r="I29" i="15"/>
  <c r="G28" i="15"/>
  <c r="H28" i="15" s="1"/>
  <c r="G140" i="15"/>
  <c r="H140" i="15" s="1"/>
  <c r="G92" i="15"/>
  <c r="H92" i="15" s="1"/>
  <c r="G68" i="15"/>
  <c r="H68" i="15" s="1"/>
  <c r="I44" i="15"/>
  <c r="I237" i="15"/>
  <c r="I182" i="15"/>
  <c r="G169" i="15"/>
  <c r="H169" i="15" s="1"/>
  <c r="G112" i="15"/>
  <c r="H112" i="15" s="1"/>
  <c r="I45" i="15"/>
  <c r="G44" i="15"/>
  <c r="H44" i="15" s="1"/>
  <c r="G32" i="15"/>
  <c r="H32" i="15" s="1"/>
  <c r="I20" i="15"/>
  <c r="G20" i="15"/>
  <c r="H20" i="15" s="1"/>
  <c r="G9" i="15"/>
  <c r="H9" i="15" s="1"/>
  <c r="I9" i="15"/>
  <c r="F361" i="15"/>
  <c r="G361" i="15" s="1"/>
  <c r="H361" i="15" s="1"/>
  <c r="K32" i="11"/>
  <c r="K21" i="11"/>
  <c r="K15" i="11"/>
  <c r="K25" i="11"/>
  <c r="K17" i="11"/>
  <c r="J267" i="1"/>
  <c r="J253" i="1"/>
  <c r="J245" i="1"/>
  <c r="K23" i="11"/>
  <c r="K22" i="11"/>
  <c r="K31" i="11"/>
  <c r="J264" i="1"/>
  <c r="K19" i="11"/>
  <c r="K16" i="11"/>
  <c r="K26" i="11"/>
  <c r="J324" i="1"/>
  <c r="J281" i="1"/>
  <c r="J251" i="1"/>
  <c r="K27" i="11"/>
  <c r="K29" i="11"/>
  <c r="J340" i="1"/>
  <c r="K28" i="11"/>
  <c r="K24" i="11"/>
  <c r="J322" i="1"/>
  <c r="J272" i="1"/>
  <c r="J261" i="1"/>
  <c r="K30" i="11"/>
  <c r="K20" i="11"/>
  <c r="K14" i="11"/>
  <c r="K18" i="11"/>
  <c r="B31" i="11"/>
  <c r="J226" i="1"/>
  <c r="J358" i="1"/>
  <c r="J346" i="1"/>
  <c r="J361" i="1"/>
  <c r="J339" i="1"/>
  <c r="J333" i="1"/>
  <c r="H179" i="1"/>
  <c r="H147" i="1"/>
  <c r="H123" i="1"/>
  <c r="J348" i="1"/>
  <c r="J345" i="1"/>
  <c r="J323" i="1"/>
  <c r="J316" i="1"/>
  <c r="J312" i="1"/>
  <c r="J296" i="1"/>
  <c r="J291" i="1"/>
  <c r="J288" i="1"/>
  <c r="H283" i="1"/>
  <c r="J233" i="1"/>
  <c r="H227" i="1"/>
  <c r="H218" i="1"/>
  <c r="H170" i="1"/>
  <c r="H163" i="1"/>
  <c r="H114" i="1"/>
  <c r="H58" i="1"/>
  <c r="J50" i="1"/>
  <c r="J24" i="1"/>
  <c r="H10" i="1"/>
  <c r="B30" i="11"/>
  <c r="C29" i="11"/>
  <c r="H210" i="1"/>
  <c r="H155" i="1"/>
  <c r="H130" i="1"/>
  <c r="J359" i="1"/>
  <c r="J353" i="1"/>
  <c r="J350" i="1"/>
  <c r="J347" i="1"/>
  <c r="J341" i="1"/>
  <c r="J337" i="1"/>
  <c r="J325" i="1"/>
  <c r="J300" i="1"/>
  <c r="J287" i="1"/>
  <c r="J278" i="1"/>
  <c r="H265" i="1"/>
  <c r="H259" i="1"/>
  <c r="H243" i="1"/>
  <c r="J237" i="1"/>
  <c r="J215" i="1"/>
  <c r="J204" i="1"/>
  <c r="H194" i="1"/>
  <c r="J184" i="1"/>
  <c r="H178" i="1"/>
  <c r="J165" i="1"/>
  <c r="H146" i="1"/>
  <c r="H81" i="1"/>
  <c r="H67" i="1"/>
  <c r="H57" i="1"/>
  <c r="H43" i="1"/>
  <c r="C31" i="11"/>
  <c r="H199" i="1"/>
  <c r="H175" i="1"/>
  <c r="H169" i="1"/>
  <c r="H154" i="1"/>
  <c r="H151" i="1"/>
  <c r="H122" i="1"/>
  <c r="H113" i="1"/>
  <c r="H91" i="1"/>
  <c r="H88" i="1"/>
  <c r="H75" i="1"/>
  <c r="H49" i="1"/>
  <c r="H39" i="1"/>
  <c r="H33" i="1"/>
  <c r="H23" i="1"/>
  <c r="H9" i="1"/>
  <c r="C30" i="11"/>
  <c r="H17" i="1"/>
  <c r="H11" i="1"/>
  <c r="H8" i="1"/>
  <c r="J242" i="1"/>
  <c r="J232" i="1"/>
  <c r="J223" i="1"/>
  <c r="J355" i="1"/>
  <c r="J336" i="1"/>
  <c r="J328" i="1"/>
  <c r="J318" i="1"/>
  <c r="J313" i="1"/>
  <c r="J310" i="1"/>
  <c r="J308" i="1"/>
  <c r="H293" i="1"/>
  <c r="H277" i="1"/>
  <c r="H275" i="1"/>
  <c r="H258" i="1"/>
  <c r="H214" i="1"/>
  <c r="H208" i="1"/>
  <c r="H206" i="1"/>
  <c r="H198" i="1"/>
  <c r="H192" i="1"/>
  <c r="H189" i="1"/>
  <c r="H186" i="1"/>
  <c r="H177" i="1"/>
  <c r="H158" i="1"/>
  <c r="H153" i="1"/>
  <c r="H150" i="1"/>
  <c r="H134" i="1"/>
  <c r="H121" i="1"/>
  <c r="H101" i="1"/>
  <c r="H97" i="1"/>
  <c r="H87" i="1"/>
  <c r="H66" i="1"/>
  <c r="H62" i="1"/>
  <c r="H45" i="1"/>
  <c r="J35" i="1"/>
  <c r="J351" i="1"/>
  <c r="J349" i="1"/>
  <c r="J342" i="1"/>
  <c r="J331" i="1"/>
  <c r="J304" i="1"/>
  <c r="J301" i="1"/>
  <c r="J297" i="1"/>
  <c r="J289" i="1"/>
  <c r="J286" i="1"/>
  <c r="J269" i="1"/>
  <c r="J260" i="1"/>
  <c r="J244" i="1"/>
  <c r="J234" i="1"/>
  <c r="J231" i="1"/>
  <c r="J211" i="1"/>
  <c r="J195" i="1"/>
  <c r="J143" i="1"/>
  <c r="J137" i="1"/>
  <c r="J131" i="1"/>
  <c r="J128" i="1"/>
  <c r="J117" i="1"/>
  <c r="J112" i="1"/>
  <c r="J90" i="1"/>
  <c r="J79" i="1"/>
  <c r="J70" i="1"/>
  <c r="J68" i="1"/>
  <c r="J55" i="1"/>
  <c r="J51" i="1"/>
  <c r="J48" i="1"/>
  <c r="J37" i="1"/>
  <c r="J32" i="1"/>
  <c r="J29" i="1"/>
  <c r="E22" i="11"/>
  <c r="B22" i="11" s="1"/>
  <c r="C22" i="11" s="1"/>
  <c r="E16" i="11"/>
  <c r="B16" i="11" s="1"/>
  <c r="C16" i="11" s="1"/>
  <c r="E17" i="11"/>
  <c r="B17" i="11" s="1"/>
  <c r="D17" i="11" s="1"/>
  <c r="D16" i="11"/>
  <c r="E23" i="11"/>
  <c r="B23" i="11" s="1"/>
  <c r="E21" i="11"/>
  <c r="B21" i="11" s="1"/>
  <c r="E20" i="11"/>
  <c r="B20" i="11" s="1"/>
  <c r="E14" i="11"/>
  <c r="B14" i="11" s="1"/>
  <c r="E19" i="11"/>
  <c r="B19" i="11" s="1"/>
  <c r="E18" i="11"/>
  <c r="B18" i="11" s="1"/>
  <c r="E15" i="11"/>
  <c r="B15" i="11" s="1"/>
  <c r="H355" i="1"/>
  <c r="H347" i="1"/>
  <c r="H339" i="1"/>
  <c r="H331" i="1"/>
  <c r="H323" i="1"/>
  <c r="H315" i="1"/>
  <c r="H307" i="1"/>
  <c r="H299" i="1"/>
  <c r="H291" i="1"/>
  <c r="H267" i="1"/>
  <c r="H251" i="1"/>
  <c r="H235" i="1"/>
  <c r="H219" i="1"/>
  <c r="H211" i="1"/>
  <c r="H203" i="1"/>
  <c r="H195" i="1"/>
  <c r="H187" i="1"/>
  <c r="H171" i="1"/>
  <c r="H139" i="1"/>
  <c r="H131" i="1"/>
  <c r="H115" i="1"/>
  <c r="H107" i="1"/>
  <c r="H83" i="1"/>
  <c r="H59" i="1"/>
  <c r="H51" i="1"/>
  <c r="H35" i="1"/>
  <c r="H27" i="1"/>
  <c r="H3" i="1"/>
  <c r="I2" i="2"/>
  <c r="B29" i="11" s="1"/>
  <c r="D29" i="11" s="1"/>
  <c r="E29" i="11" s="1"/>
  <c r="K13" i="1"/>
  <c r="K9" i="1"/>
  <c r="K19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K140" i="1"/>
  <c r="K148" i="1"/>
  <c r="K156" i="1"/>
  <c r="K164" i="1"/>
  <c r="K172" i="1"/>
  <c r="K180" i="1"/>
  <c r="K188" i="1"/>
  <c r="K196" i="1"/>
  <c r="K204" i="1"/>
  <c r="K212" i="1"/>
  <c r="K220" i="1"/>
  <c r="K228" i="1"/>
  <c r="K236" i="1"/>
  <c r="K244" i="1"/>
  <c r="K252" i="1"/>
  <c r="K260" i="1"/>
  <c r="K268" i="1"/>
  <c r="K276" i="1"/>
  <c r="K284" i="1"/>
  <c r="K292" i="1"/>
  <c r="K300" i="1"/>
  <c r="K308" i="1"/>
  <c r="K316" i="1"/>
  <c r="K324" i="1"/>
  <c r="K332" i="1"/>
  <c r="K340" i="1"/>
  <c r="K348" i="1"/>
  <c r="K356" i="1"/>
  <c r="K2" i="1"/>
  <c r="K10" i="1"/>
  <c r="K20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53" i="1"/>
  <c r="K261" i="1"/>
  <c r="K269" i="1"/>
  <c r="K277" i="1"/>
  <c r="K285" i="1"/>
  <c r="K293" i="1"/>
  <c r="K301" i="1"/>
  <c r="K309" i="1"/>
  <c r="K317" i="1"/>
  <c r="K325" i="1"/>
  <c r="K333" i="1"/>
  <c r="K341" i="1"/>
  <c r="K349" i="1"/>
  <c r="K357" i="1"/>
  <c r="K3" i="1"/>
  <c r="K11" i="1"/>
  <c r="K21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246" i="1"/>
  <c r="K254" i="1"/>
  <c r="K262" i="1"/>
  <c r="K270" i="1"/>
  <c r="K278" i="1"/>
  <c r="K286" i="1"/>
  <c r="K294" i="1"/>
  <c r="K302" i="1"/>
  <c r="K310" i="1"/>
  <c r="K318" i="1"/>
  <c r="K326" i="1"/>
  <c r="K334" i="1"/>
  <c r="K342" i="1"/>
  <c r="K350" i="1"/>
  <c r="K358" i="1"/>
  <c r="K4" i="1"/>
  <c r="K12" i="1"/>
  <c r="K22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255" i="1"/>
  <c r="K263" i="1"/>
  <c r="K271" i="1"/>
  <c r="K279" i="1"/>
  <c r="K287" i="1"/>
  <c r="K295" i="1"/>
  <c r="K303" i="1"/>
  <c r="K311" i="1"/>
  <c r="K319" i="1"/>
  <c r="K327" i="1"/>
  <c r="K335" i="1"/>
  <c r="K343" i="1"/>
  <c r="K351" i="1"/>
  <c r="K359" i="1"/>
  <c r="K5" i="1"/>
  <c r="K15" i="1"/>
  <c r="K23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144" i="1"/>
  <c r="K152" i="1"/>
  <c r="K160" i="1"/>
  <c r="K168" i="1"/>
  <c r="K176" i="1"/>
  <c r="K184" i="1"/>
  <c r="K192" i="1"/>
  <c r="K200" i="1"/>
  <c r="K208" i="1"/>
  <c r="K216" i="1"/>
  <c r="K224" i="1"/>
  <c r="K232" i="1"/>
  <c r="K240" i="1"/>
  <c r="K248" i="1"/>
  <c r="K256" i="1"/>
  <c r="K264" i="1"/>
  <c r="K272" i="1"/>
  <c r="K280" i="1"/>
  <c r="K288" i="1"/>
  <c r="K296" i="1"/>
  <c r="K304" i="1"/>
  <c r="K312" i="1"/>
  <c r="K320" i="1"/>
  <c r="K328" i="1"/>
  <c r="K336" i="1"/>
  <c r="K344" i="1"/>
  <c r="K352" i="1"/>
  <c r="K360" i="1"/>
  <c r="K6" i="1"/>
  <c r="K16" i="1"/>
  <c r="K24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257" i="1"/>
  <c r="K265" i="1"/>
  <c r="K273" i="1"/>
  <c r="K281" i="1"/>
  <c r="K289" i="1"/>
  <c r="K297" i="1"/>
  <c r="K305" i="1"/>
  <c r="K313" i="1"/>
  <c r="K321" i="1"/>
  <c r="K329" i="1"/>
  <c r="K337" i="1"/>
  <c r="K345" i="1"/>
  <c r="K353" i="1"/>
  <c r="K361" i="1"/>
  <c r="K14" i="1"/>
  <c r="K7" i="1"/>
  <c r="K17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25" i="1"/>
  <c r="K8" i="1"/>
  <c r="K18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J271" i="1"/>
  <c r="J266" i="1"/>
  <c r="J263" i="1"/>
  <c r="J255" i="1"/>
  <c r="J250" i="1"/>
  <c r="J239" i="1"/>
  <c r="J216" i="1"/>
  <c r="J182" i="1"/>
  <c r="J179" i="1"/>
  <c r="J176" i="1"/>
  <c r="J149" i="1"/>
  <c r="J147" i="1"/>
  <c r="J140" i="1"/>
  <c r="J133" i="1"/>
  <c r="J125" i="1"/>
  <c r="J123" i="1"/>
  <c r="J109" i="1"/>
  <c r="J100" i="1"/>
  <c r="J96" i="1"/>
  <c r="J93" i="1"/>
  <c r="J86" i="1"/>
  <c r="J76" i="1"/>
  <c r="J73" i="1"/>
  <c r="J34" i="1"/>
  <c r="J19" i="1"/>
  <c r="J16" i="1"/>
  <c r="H354" i="1"/>
  <c r="H346" i="1"/>
  <c r="H338" i="1"/>
  <c r="H330" i="1"/>
  <c r="H322" i="1"/>
  <c r="H314" i="1"/>
  <c r="H306" i="1"/>
  <c r="H298" i="1"/>
  <c r="H282" i="1"/>
  <c r="H274" i="1"/>
  <c r="H266" i="1"/>
  <c r="H250" i="1"/>
  <c r="H242" i="1"/>
  <c r="H234" i="1"/>
  <c r="H226" i="1"/>
  <c r="H202" i="1"/>
  <c r="H162" i="1"/>
  <c r="H138" i="1"/>
  <c r="H106" i="1"/>
  <c r="H98" i="1"/>
  <c r="H90" i="1"/>
  <c r="H82" i="1"/>
  <c r="H74" i="1"/>
  <c r="H50" i="1"/>
  <c r="H42" i="1"/>
  <c r="H34" i="1"/>
  <c r="H26" i="1"/>
  <c r="H18" i="1"/>
  <c r="J283" i="1"/>
  <c r="J279" i="1"/>
  <c r="J257" i="1"/>
  <c r="J252" i="1"/>
  <c r="J246" i="1"/>
  <c r="J241" i="1"/>
  <c r="J227" i="1"/>
  <c r="J224" i="1"/>
  <c r="J221" i="1"/>
  <c r="J218" i="1"/>
  <c r="J205" i="1"/>
  <c r="J197" i="1"/>
  <c r="J185" i="1"/>
  <c r="J172" i="1"/>
  <c r="J170" i="1"/>
  <c r="J166" i="1"/>
  <c r="J163" i="1"/>
  <c r="J152" i="1"/>
  <c r="J142" i="1"/>
  <c r="J114" i="1"/>
  <c r="J89" i="1"/>
  <c r="J78" i="1"/>
  <c r="J61" i="1"/>
  <c r="J58" i="1"/>
  <c r="J41" i="1"/>
  <c r="J13" i="1"/>
  <c r="J10" i="1"/>
  <c r="J6" i="1"/>
  <c r="H361" i="1"/>
  <c r="H353" i="1"/>
  <c r="H345" i="1"/>
  <c r="H337" i="1"/>
  <c r="H329" i="1"/>
  <c r="H321" i="1"/>
  <c r="H313" i="1"/>
  <c r="H305" i="1"/>
  <c r="H297" i="1"/>
  <c r="H289" i="1"/>
  <c r="H281" i="1"/>
  <c r="H257" i="1"/>
  <c r="H241" i="1"/>
  <c r="H233" i="1"/>
  <c r="H225" i="1"/>
  <c r="H201" i="1"/>
  <c r="H193" i="1"/>
  <c r="H185" i="1"/>
  <c r="H161" i="1"/>
  <c r="H145" i="1"/>
  <c r="H137" i="1"/>
  <c r="H129" i="1"/>
  <c r="H105" i="1"/>
  <c r="H89" i="1"/>
  <c r="H73" i="1"/>
  <c r="H65" i="1"/>
  <c r="H41" i="1"/>
  <c r="H25" i="1"/>
  <c r="J285" i="1"/>
  <c r="J276" i="1"/>
  <c r="J273" i="1"/>
  <c r="J254" i="1"/>
  <c r="J249" i="1"/>
  <c r="J213" i="1"/>
  <c r="J210" i="1"/>
  <c r="J207" i="1"/>
  <c r="J200" i="1"/>
  <c r="J190" i="1"/>
  <c r="J188" i="1"/>
  <c r="J157" i="1"/>
  <c r="J155" i="1"/>
  <c r="J136" i="1"/>
  <c r="J130" i="1"/>
  <c r="J127" i="1"/>
  <c r="J108" i="1"/>
  <c r="J99" i="1"/>
  <c r="J72" i="1"/>
  <c r="J63" i="1"/>
  <c r="J53" i="1"/>
  <c r="J31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32" i="1"/>
  <c r="H224" i="1"/>
  <c r="H216" i="1"/>
  <c r="H200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0" i="1"/>
  <c r="H72" i="1"/>
  <c r="H64" i="1"/>
  <c r="H56" i="1"/>
  <c r="H48" i="1"/>
  <c r="H40" i="1"/>
  <c r="H32" i="1"/>
  <c r="H24" i="1"/>
  <c r="H16" i="1"/>
  <c r="J268" i="1"/>
  <c r="J265" i="1"/>
  <c r="J262" i="1"/>
  <c r="J259" i="1"/>
  <c r="J243" i="1"/>
  <c r="J230" i="1"/>
  <c r="J194" i="1"/>
  <c r="J178" i="1"/>
  <c r="J159" i="1"/>
  <c r="J146" i="1"/>
  <c r="J116" i="1"/>
  <c r="J111" i="1"/>
  <c r="J95" i="1"/>
  <c r="J85" i="1"/>
  <c r="J81" i="1"/>
  <c r="J69" i="1"/>
  <c r="J67" i="1"/>
  <c r="J57" i="1"/>
  <c r="J46" i="1"/>
  <c r="J43" i="1"/>
  <c r="J36" i="1"/>
  <c r="J28" i="1"/>
  <c r="J21" i="1"/>
  <c r="J15" i="1"/>
  <c r="H359" i="1"/>
  <c r="H351" i="1"/>
  <c r="H343" i="1"/>
  <c r="H335" i="1"/>
  <c r="H327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1" i="1"/>
  <c r="H183" i="1"/>
  <c r="H167" i="1"/>
  <c r="H159" i="1"/>
  <c r="H143" i="1"/>
  <c r="H135" i="1"/>
  <c r="H127" i="1"/>
  <c r="H119" i="1"/>
  <c r="H111" i="1"/>
  <c r="H103" i="1"/>
  <c r="H95" i="1"/>
  <c r="H79" i="1"/>
  <c r="H71" i="1"/>
  <c r="H63" i="1"/>
  <c r="H55" i="1"/>
  <c r="H47" i="1"/>
  <c r="H31" i="1"/>
  <c r="H15" i="1"/>
  <c r="H7" i="1"/>
  <c r="J294" i="1"/>
  <c r="J290" i="1"/>
  <c r="J270" i="1"/>
  <c r="J256" i="1"/>
  <c r="J248" i="1"/>
  <c r="J240" i="1"/>
  <c r="J220" i="1"/>
  <c r="J217" i="1"/>
  <c r="J212" i="1"/>
  <c r="J209" i="1"/>
  <c r="J199" i="1"/>
  <c r="J196" i="1"/>
  <c r="J180" i="1"/>
  <c r="J175" i="1"/>
  <c r="J169" i="1"/>
  <c r="J154" i="1"/>
  <c r="J151" i="1"/>
  <c r="J148" i="1"/>
  <c r="J132" i="1"/>
  <c r="J126" i="1"/>
  <c r="J124" i="1"/>
  <c r="J122" i="1"/>
  <c r="J118" i="1"/>
  <c r="J113" i="1"/>
  <c r="J102" i="1"/>
  <c r="J91" i="1"/>
  <c r="J88" i="1"/>
  <c r="J77" i="1"/>
  <c r="J75" i="1"/>
  <c r="J60" i="1"/>
  <c r="J49" i="1"/>
  <c r="J39" i="1"/>
  <c r="J33" i="1"/>
  <c r="J23" i="1"/>
  <c r="J9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190" i="1"/>
  <c r="H182" i="1"/>
  <c r="H174" i="1"/>
  <c r="H166" i="1"/>
  <c r="H142" i="1"/>
  <c r="H126" i="1"/>
  <c r="H118" i="1"/>
  <c r="H110" i="1"/>
  <c r="H102" i="1"/>
  <c r="H94" i="1"/>
  <c r="H86" i="1"/>
  <c r="H78" i="1"/>
  <c r="H70" i="1"/>
  <c r="H54" i="1"/>
  <c r="H46" i="1"/>
  <c r="H38" i="1"/>
  <c r="H30" i="1"/>
  <c r="H22" i="1"/>
  <c r="H14" i="1"/>
  <c r="H6" i="1"/>
  <c r="C6" i="11"/>
  <c r="C7" i="11"/>
  <c r="B4" i="11"/>
  <c r="C4" i="11"/>
  <c r="D5" i="11"/>
  <c r="B5" i="11"/>
  <c r="D6" i="11"/>
  <c r="B6" i="11"/>
  <c r="D7" i="11"/>
  <c r="B7" i="11"/>
  <c r="D4" i="11"/>
  <c r="D8" i="11" s="1"/>
  <c r="J2" i="1"/>
  <c r="C5" i="11"/>
  <c r="J17" i="1"/>
  <c r="H357" i="1"/>
  <c r="H349" i="1"/>
  <c r="H341" i="1"/>
  <c r="H333" i="1"/>
  <c r="H325" i="1"/>
  <c r="H317" i="1"/>
  <c r="H309" i="1"/>
  <c r="H301" i="1"/>
  <c r="H285" i="1"/>
  <c r="H269" i="1"/>
  <c r="H261" i="1"/>
  <c r="H253" i="1"/>
  <c r="H245" i="1"/>
  <c r="H237" i="1"/>
  <c r="H229" i="1"/>
  <c r="H221" i="1"/>
  <c r="H213" i="1"/>
  <c r="H205" i="1"/>
  <c r="H197" i="1"/>
  <c r="H181" i="1"/>
  <c r="H173" i="1"/>
  <c r="H165" i="1"/>
  <c r="H157" i="1"/>
  <c r="H149" i="1"/>
  <c r="H141" i="1"/>
  <c r="H133" i="1"/>
  <c r="H125" i="1"/>
  <c r="H117" i="1"/>
  <c r="H109" i="1"/>
  <c r="H93" i="1"/>
  <c r="H85" i="1"/>
  <c r="H77" i="1"/>
  <c r="H69" i="1"/>
  <c r="H61" i="1"/>
  <c r="H53" i="1"/>
  <c r="H37" i="1"/>
  <c r="H29" i="1"/>
  <c r="H21" i="1"/>
  <c r="H13" i="1"/>
  <c r="H5" i="1"/>
  <c r="J293" i="1"/>
  <c r="J284" i="1"/>
  <c r="J277" i="1"/>
  <c r="J275" i="1"/>
  <c r="J258" i="1"/>
  <c r="J228" i="1"/>
  <c r="J214" i="1"/>
  <c r="J208" i="1"/>
  <c r="J206" i="1"/>
  <c r="J198" i="1"/>
  <c r="J192" i="1"/>
  <c r="J189" i="1"/>
  <c r="J186" i="1"/>
  <c r="J177" i="1"/>
  <c r="J158" i="1"/>
  <c r="J156" i="1"/>
  <c r="J153" i="1"/>
  <c r="J150" i="1"/>
  <c r="J134" i="1"/>
  <c r="J121" i="1"/>
  <c r="J101" i="1"/>
  <c r="J97" i="1"/>
  <c r="J87" i="1"/>
  <c r="J66" i="1"/>
  <c r="J62" i="1"/>
  <c r="J45" i="1"/>
  <c r="J20" i="1"/>
  <c r="J11" i="1"/>
  <c r="J8" i="1"/>
  <c r="J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" i="1"/>
  <c r="B8" i="11"/>
  <c r="I356" i="1"/>
  <c r="I343" i="1"/>
  <c r="I334" i="1"/>
  <c r="I306" i="1"/>
  <c r="I294" i="1"/>
  <c r="I248" i="1"/>
  <c r="I212" i="1"/>
  <c r="I209" i="1"/>
  <c r="I199" i="1"/>
  <c r="I154" i="1"/>
  <c r="I126" i="1"/>
  <c r="I39" i="1"/>
  <c r="I345" i="1"/>
  <c r="I312" i="1"/>
  <c r="I279" i="1"/>
  <c r="I218" i="1"/>
  <c r="I170" i="1"/>
  <c r="B11" i="12" s="1"/>
  <c r="E11" i="12" s="1"/>
  <c r="I41" i="1"/>
  <c r="I291" i="1"/>
  <c r="I257" i="1"/>
  <c r="I224" i="1"/>
  <c r="B42" i="12" s="1"/>
  <c r="E42" i="12" s="1"/>
  <c r="I163" i="1"/>
  <c r="I142" i="1"/>
  <c r="I78" i="1"/>
  <c r="B30" i="12" s="1"/>
  <c r="E30" i="12" s="1"/>
  <c r="I50" i="1"/>
  <c r="I6" i="1"/>
  <c r="B10" i="12" s="1"/>
  <c r="E10" i="12" s="1"/>
  <c r="I348" i="1"/>
  <c r="I316" i="1"/>
  <c r="I283" i="1"/>
  <c r="I246" i="1"/>
  <c r="I227" i="1"/>
  <c r="I205" i="1"/>
  <c r="I172" i="1"/>
  <c r="I152" i="1"/>
  <c r="I114" i="1"/>
  <c r="I89" i="1"/>
  <c r="I58" i="1"/>
  <c r="I10" i="1"/>
  <c r="I311" i="1"/>
  <c r="I290" i="1"/>
  <c r="I256" i="1"/>
  <c r="I220" i="1"/>
  <c r="I180" i="1"/>
  <c r="I151" i="1"/>
  <c r="I113" i="1"/>
  <c r="I49" i="1"/>
  <c r="I296" i="1"/>
  <c r="I241" i="1"/>
  <c r="I221" i="1"/>
  <c r="I197" i="1"/>
  <c r="I61" i="1"/>
  <c r="B33" i="12" s="1"/>
  <c r="E33" i="12" s="1"/>
  <c r="I24" i="1"/>
  <c r="I13" i="1"/>
  <c r="B4" i="12" s="1"/>
  <c r="E4" i="12" s="1"/>
  <c r="I102" i="1"/>
  <c r="I88" i="1"/>
  <c r="I60" i="1"/>
  <c r="I23" i="1"/>
  <c r="I323" i="1"/>
  <c r="I288" i="1"/>
  <c r="I252" i="1"/>
  <c r="I233" i="1"/>
  <c r="I185" i="1"/>
  <c r="I166" i="1"/>
  <c r="I240" i="1"/>
  <c r="I217" i="1"/>
  <c r="I196" i="1"/>
  <c r="I169" i="1"/>
  <c r="B41" i="12" s="1"/>
  <c r="E41" i="12" s="1"/>
  <c r="I91" i="1"/>
  <c r="B24" i="12" s="1"/>
  <c r="E24" i="12" s="1"/>
  <c r="I77" i="1"/>
  <c r="I9" i="1"/>
  <c r="B28" i="12" s="1"/>
  <c r="E28" i="12" s="1"/>
  <c r="I304" i="1"/>
  <c r="I297" i="1"/>
  <c r="I260" i="1"/>
  <c r="I244" i="1"/>
  <c r="I234" i="1"/>
  <c r="I231" i="1"/>
  <c r="I143" i="1"/>
  <c r="I137" i="1"/>
  <c r="I128" i="1"/>
  <c r="I79" i="1"/>
  <c r="I55" i="1"/>
  <c r="I51" i="1"/>
  <c r="B62" i="12" s="1"/>
  <c r="E62" i="12" s="1"/>
  <c r="I37" i="1"/>
  <c r="B15" i="12" s="1"/>
  <c r="E15" i="12" s="1"/>
  <c r="I319" i="1"/>
  <c r="I302" i="1"/>
  <c r="I270" i="1"/>
  <c r="I148" i="1"/>
  <c r="I122" i="1"/>
  <c r="I324" i="1"/>
  <c r="I281" i="1"/>
  <c r="I267" i="1"/>
  <c r="I251" i="1"/>
  <c r="I242" i="1"/>
  <c r="I162" i="1"/>
  <c r="I141" i="1"/>
  <c r="I94" i="1"/>
  <c r="I80" i="1"/>
  <c r="B25" i="12" s="1"/>
  <c r="E25" i="12" s="1"/>
  <c r="I56" i="1"/>
  <c r="I52" i="1"/>
  <c r="B46" i="12" s="1"/>
  <c r="E46" i="12" s="1"/>
  <c r="I42" i="1"/>
  <c r="I27" i="1"/>
  <c r="I17" i="1"/>
  <c r="I340" i="1"/>
  <c r="I264" i="1"/>
  <c r="I232" i="1"/>
  <c r="I223" i="1"/>
  <c r="I129" i="1"/>
  <c r="I84" i="1"/>
  <c r="I355" i="1"/>
  <c r="I346" i="1"/>
  <c r="I336" i="1"/>
  <c r="I328" i="1"/>
  <c r="I318" i="1"/>
  <c r="I313" i="1"/>
  <c r="I310" i="1"/>
  <c r="I308" i="1"/>
  <c r="I293" i="1"/>
  <c r="I284" i="1"/>
  <c r="I277" i="1"/>
  <c r="I275" i="1"/>
  <c r="I258" i="1"/>
  <c r="I228" i="1"/>
  <c r="I214" i="1"/>
  <c r="I208" i="1"/>
  <c r="I206" i="1"/>
  <c r="I198" i="1"/>
  <c r="I192" i="1"/>
  <c r="I189" i="1"/>
  <c r="B55" i="12" s="1"/>
  <c r="E55" i="12" s="1"/>
  <c r="I186" i="1"/>
  <c r="I177" i="1"/>
  <c r="I158" i="1"/>
  <c r="I156" i="1"/>
  <c r="I153" i="1"/>
  <c r="I150" i="1"/>
  <c r="I134" i="1"/>
  <c r="I121" i="1"/>
  <c r="I101" i="1"/>
  <c r="I97" i="1"/>
  <c r="I87" i="1"/>
  <c r="I66" i="1"/>
  <c r="B23" i="12" s="1"/>
  <c r="E23" i="12" s="1"/>
  <c r="I62" i="1"/>
  <c r="I45" i="1"/>
  <c r="B8" i="12" s="1"/>
  <c r="E8" i="12" s="1"/>
  <c r="I35" i="1"/>
  <c r="I20" i="1"/>
  <c r="I11" i="1"/>
  <c r="I8" i="1"/>
  <c r="I4" i="1"/>
  <c r="B13" i="12" s="1"/>
  <c r="E13" i="12" s="1"/>
  <c r="I332" i="1"/>
  <c r="I132" i="1"/>
  <c r="I33" i="1"/>
  <c r="B53" i="12" s="1"/>
  <c r="E53" i="12" s="1"/>
  <c r="I322" i="1"/>
  <c r="I272" i="1"/>
  <c r="I253" i="1"/>
  <c r="I226" i="1"/>
  <c r="I171" i="1"/>
  <c r="I107" i="1"/>
  <c r="I358" i="1"/>
  <c r="I351" i="1"/>
  <c r="I342" i="1"/>
  <c r="I331" i="1"/>
  <c r="I289" i="1"/>
  <c r="I286" i="1"/>
  <c r="I269" i="1"/>
  <c r="I211" i="1"/>
  <c r="I195" i="1"/>
  <c r="I131" i="1"/>
  <c r="I117" i="1"/>
  <c r="I112" i="1"/>
  <c r="I90" i="1"/>
  <c r="I70" i="1"/>
  <c r="I68" i="1"/>
  <c r="I48" i="1"/>
  <c r="I32" i="1"/>
  <c r="I29" i="1"/>
  <c r="I22" i="1"/>
  <c r="I14" i="1"/>
  <c r="B2" i="9"/>
  <c r="I175" i="1"/>
  <c r="I124" i="1"/>
  <c r="B61" i="12" s="1"/>
  <c r="E61" i="12" s="1"/>
  <c r="I118" i="1"/>
  <c r="I75" i="1"/>
  <c r="I261" i="1"/>
  <c r="I245" i="1"/>
  <c r="I164" i="1"/>
  <c r="I138" i="1"/>
  <c r="B29" i="12" s="1"/>
  <c r="E29" i="12" s="1"/>
  <c r="I115" i="1"/>
  <c r="I349" i="1"/>
  <c r="I301" i="1"/>
  <c r="I361" i="1"/>
  <c r="I339" i="1"/>
  <c r="I333" i="1"/>
  <c r="I320" i="1"/>
  <c r="I271" i="1"/>
  <c r="I266" i="1"/>
  <c r="I263" i="1"/>
  <c r="I255" i="1"/>
  <c r="I250" i="1"/>
  <c r="I239" i="1"/>
  <c r="I216" i="1"/>
  <c r="I182" i="1"/>
  <c r="I179" i="1"/>
  <c r="I176" i="1"/>
  <c r="I149" i="1"/>
  <c r="I147" i="1"/>
  <c r="I140" i="1"/>
  <c r="I133" i="1"/>
  <c r="I125" i="1"/>
  <c r="I123" i="1"/>
  <c r="I109" i="1"/>
  <c r="B35" i="12" s="1"/>
  <c r="E35" i="12" s="1"/>
  <c r="I100" i="1"/>
  <c r="I96" i="1"/>
  <c r="I93" i="1"/>
  <c r="B6" i="12" s="1"/>
  <c r="E6" i="12" s="1"/>
  <c r="I86" i="1"/>
  <c r="I76" i="1"/>
  <c r="B54" i="12" s="1"/>
  <c r="E54" i="12" s="1"/>
  <c r="I73" i="1"/>
  <c r="B58" i="12" s="1"/>
  <c r="E58" i="12" s="1"/>
  <c r="I34" i="1"/>
  <c r="I19" i="1"/>
  <c r="I16" i="1"/>
  <c r="I3" i="1"/>
  <c r="B27" i="12" s="1"/>
  <c r="E27" i="12" s="1"/>
  <c r="I357" i="1"/>
  <c r="I335" i="1"/>
  <c r="I330" i="1"/>
  <c r="I309" i="1"/>
  <c r="I307" i="1"/>
  <c r="I285" i="1"/>
  <c r="I276" i="1"/>
  <c r="I273" i="1"/>
  <c r="I254" i="1"/>
  <c r="I249" i="1"/>
  <c r="B40" i="12" s="1"/>
  <c r="E40" i="12" s="1"/>
  <c r="I213" i="1"/>
  <c r="I210" i="1"/>
  <c r="I207" i="1"/>
  <c r="I200" i="1"/>
  <c r="I190" i="1"/>
  <c r="I188" i="1"/>
  <c r="I157" i="1"/>
  <c r="I155" i="1"/>
  <c r="I136" i="1"/>
  <c r="I130" i="1"/>
  <c r="I127" i="1"/>
  <c r="I108" i="1"/>
  <c r="I99" i="1"/>
  <c r="B20" i="12" s="1"/>
  <c r="E20" i="12" s="1"/>
  <c r="I72" i="1"/>
  <c r="I63" i="1"/>
  <c r="I53" i="1"/>
  <c r="I31" i="1"/>
  <c r="B3" i="9"/>
  <c r="I359" i="1"/>
  <c r="I353" i="1"/>
  <c r="I350" i="1"/>
  <c r="I347" i="1"/>
  <c r="I341" i="1"/>
  <c r="I337" i="1"/>
  <c r="I325" i="1"/>
  <c r="I300" i="1"/>
  <c r="I287" i="1"/>
  <c r="I278" i="1"/>
  <c r="I268" i="1"/>
  <c r="I265" i="1"/>
  <c r="I262" i="1"/>
  <c r="I259" i="1"/>
  <c r="I243" i="1"/>
  <c r="I237" i="1"/>
  <c r="I230" i="1"/>
  <c r="I215" i="1"/>
  <c r="I204" i="1"/>
  <c r="I194" i="1"/>
  <c r="I184" i="1"/>
  <c r="I178" i="1"/>
  <c r="I165" i="1"/>
  <c r="I159" i="1"/>
  <c r="I146" i="1"/>
  <c r="I116" i="1"/>
  <c r="I111" i="1"/>
  <c r="B36" i="12" s="1"/>
  <c r="E36" i="12" s="1"/>
  <c r="I95" i="1"/>
  <c r="B7" i="12" s="1"/>
  <c r="E7" i="12" s="1"/>
  <c r="I85" i="1"/>
  <c r="I81" i="1"/>
  <c r="I69" i="1"/>
  <c r="I67" i="1"/>
  <c r="I57" i="1"/>
  <c r="I46" i="1"/>
  <c r="I43" i="1"/>
  <c r="I36" i="1"/>
  <c r="B57" i="12" s="1"/>
  <c r="E57" i="12" s="1"/>
  <c r="I28" i="1"/>
  <c r="I21" i="1"/>
  <c r="I15" i="1"/>
  <c r="B7" i="9"/>
  <c r="I5" i="1"/>
  <c r="I2" i="1"/>
  <c r="B47" i="14" l="1"/>
  <c r="C40" i="14"/>
  <c r="C48" i="14"/>
  <c r="B40" i="14"/>
  <c r="B48" i="14"/>
  <c r="B52" i="14"/>
  <c r="C41" i="14"/>
  <c r="C49" i="14"/>
  <c r="B41" i="14"/>
  <c r="B49" i="14"/>
  <c r="C42" i="14"/>
  <c r="C50" i="14"/>
  <c r="B42" i="14"/>
  <c r="B50" i="14"/>
  <c r="B44" i="14"/>
  <c r="C43" i="14"/>
  <c r="C51" i="14"/>
  <c r="B43" i="14"/>
  <c r="B51" i="14"/>
  <c r="C52" i="14"/>
  <c r="C44" i="14"/>
  <c r="C45" i="14"/>
  <c r="C53" i="14"/>
  <c r="B45" i="14"/>
  <c r="B53" i="14"/>
  <c r="C46" i="14"/>
  <c r="C39" i="14"/>
  <c r="B46" i="14"/>
  <c r="B39" i="14"/>
  <c r="C47" i="14"/>
  <c r="D30" i="11"/>
  <c r="E30" i="11" s="1"/>
  <c r="B44" i="12"/>
  <c r="E44" i="12" s="1"/>
  <c r="B45" i="12"/>
  <c r="E45" i="12" s="1"/>
  <c r="B43" i="12"/>
  <c r="E43" i="12" s="1"/>
  <c r="B26" i="12"/>
  <c r="E26" i="12" s="1"/>
  <c r="B59" i="12"/>
  <c r="E59" i="12" s="1"/>
  <c r="B60" i="12"/>
  <c r="E60" i="12" s="1"/>
  <c r="B14" i="12"/>
  <c r="E14" i="12" s="1"/>
  <c r="B51" i="12"/>
  <c r="E51" i="12" s="1"/>
  <c r="B50" i="12"/>
  <c r="E50" i="12" s="1"/>
  <c r="B34" i="12"/>
  <c r="E34" i="12" s="1"/>
  <c r="B16" i="12"/>
  <c r="E16" i="12" s="1"/>
  <c r="B32" i="12"/>
  <c r="E32" i="12" s="1"/>
  <c r="B10" i="9"/>
  <c r="B21" i="12"/>
  <c r="E21" i="12" s="1"/>
  <c r="B19" i="12"/>
  <c r="E19" i="12" s="1"/>
  <c r="B52" i="12"/>
  <c r="E52" i="12" s="1"/>
  <c r="B18" i="12"/>
  <c r="E18" i="12" s="1"/>
  <c r="B5" i="12"/>
  <c r="E5" i="12" s="1"/>
  <c r="B63" i="12"/>
  <c r="E63" i="12" s="1"/>
  <c r="B9" i="12"/>
  <c r="E9" i="12" s="1"/>
  <c r="B17" i="12"/>
  <c r="E17" i="12" s="1"/>
  <c r="B38" i="12"/>
  <c r="E38" i="12" s="1"/>
  <c r="B22" i="12"/>
  <c r="E22" i="12" s="1"/>
  <c r="B39" i="12"/>
  <c r="E39" i="12" s="1"/>
  <c r="B12" i="12"/>
  <c r="E12" i="12" s="1"/>
  <c r="B47" i="12"/>
  <c r="E47" i="12" s="1"/>
  <c r="B37" i="12"/>
  <c r="E37" i="12" s="1"/>
  <c r="B49" i="12"/>
  <c r="E49" i="12" s="1"/>
  <c r="B56" i="12"/>
  <c r="E56" i="12" s="1"/>
  <c r="B31" i="12"/>
  <c r="E31" i="12" s="1"/>
  <c r="B48" i="12"/>
  <c r="E48" i="12" s="1"/>
  <c r="D31" i="11"/>
  <c r="E31" i="11" s="1"/>
  <c r="C17" i="11"/>
  <c r="D22" i="11"/>
  <c r="D18" i="11"/>
  <c r="C18" i="11"/>
  <c r="D19" i="11"/>
  <c r="C19" i="11"/>
  <c r="C23" i="11"/>
  <c r="D23" i="11"/>
  <c r="C14" i="11"/>
  <c r="D14" i="11"/>
  <c r="D20" i="11"/>
  <c r="C20" i="11"/>
  <c r="D21" i="11"/>
  <c r="C21" i="11"/>
  <c r="C15" i="11"/>
  <c r="D15" i="11"/>
  <c r="C8" i="11"/>
  <c r="E6" i="11"/>
  <c r="F6" i="11" s="1"/>
  <c r="E5" i="11"/>
  <c r="G5" i="11" s="1"/>
  <c r="H5" i="11"/>
  <c r="G4" i="11"/>
  <c r="B4" i="9"/>
  <c r="E4" i="11"/>
  <c r="E7" i="11"/>
  <c r="H7" i="11" s="1"/>
  <c r="B13" i="9"/>
  <c r="B15" i="9"/>
  <c r="B14" i="9"/>
  <c r="F5" i="11" l="1"/>
  <c r="G6" i="11"/>
  <c r="G7" i="11"/>
  <c r="F7" i="11"/>
  <c r="H6" i="11"/>
  <c r="H4" i="11"/>
  <c r="F4" i="11"/>
  <c r="E8" i="11"/>
</calcChain>
</file>

<file path=xl/sharedStrings.xml><?xml version="1.0" encoding="utf-8"?>
<sst xmlns="http://schemas.openxmlformats.org/spreadsheetml/2006/main" count="4704" uniqueCount="612">
  <si>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</si>
  <si>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</si>
  <si>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</si>
  <si>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</si>
  <si>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</si>
  <si>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</si>
  <si>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</si>
  <si>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</si>
  <si>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</si>
  <si>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</si>
  <si>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</si>
  <si>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</si>
  <si>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</si>
  <si>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</si>
  <si>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</si>
  <si>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</si>
  <si>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</si>
  <si>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</si>
  <si>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</si>
  <si>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</si>
  <si>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</si>
  <si>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</si>
  <si>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</si>
  <si>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</si>
  <si>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</si>
  <si>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</si>
  <si>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</si>
  <si>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</si>
  <si>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</si>
  <si>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</si>
  <si>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</si>
  <si>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</si>
  <si>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</si>
  <si>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</si>
  <si>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</si>
  <si>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</si>
  <si>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</si>
  <si>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</si>
  <si>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</si>
  <si>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</si>
  <si>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</si>
  <si>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</si>
  <si>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</si>
  <si>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</si>
  <si>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</si>
  <si>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</si>
  <si>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</si>
  <si>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</si>
  <si>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</si>
  <si>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</si>
  <si>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</si>
  <si>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</si>
  <si>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</si>
  <si>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</si>
  <si>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</si>
  <si>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</si>
  <si>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</si>
  <si>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</si>
  <si>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</si>
  <si>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</si>
  <si>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</si>
  <si>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</si>
  <si>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</si>
  <si>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</si>
  <si>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</si>
  <si>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</si>
  <si>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</si>
  <si>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</si>
  <si>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</si>
  <si>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</si>
  <si>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</si>
  <si>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</si>
  <si>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</si>
  <si>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</si>
  <si>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</si>
  <si>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</si>
  <si>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</si>
  <si>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</si>
  <si>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</si>
  <si>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</si>
  <si>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</si>
  <si>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</si>
  <si>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</si>
  <si>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</si>
  <si>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</si>
  <si>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</si>
  <si>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</si>
  <si>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</si>
  <si>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</si>
  <si>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</si>
  <si>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</si>
  <si>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</si>
  <si>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</si>
  <si>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</si>
  <si>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</si>
  <si>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</si>
  <si>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</si>
  <si>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</si>
  <si>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</si>
  <si>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</si>
  <si>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</si>
  <si>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</si>
  <si>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</si>
  <si>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</si>
  <si>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</si>
  <si>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</si>
  <si>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</si>
  <si>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</si>
  <si>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</si>
  <si>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</si>
  <si>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</si>
  <si>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</si>
  <si>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</si>
  <si>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</si>
  <si>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</si>
  <si>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</si>
  <si>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</si>
  <si>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</si>
  <si>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</si>
  <si>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</si>
  <si>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</si>
  <si>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</si>
  <si>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</si>
  <si>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</si>
  <si>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</si>
  <si>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</si>
  <si>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</si>
  <si>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</si>
  <si>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</si>
  <si>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</si>
  <si>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</si>
  <si>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</si>
  <si>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</si>
  <si>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</si>
  <si>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</si>
  <si>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</si>
  <si>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</si>
  <si>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</si>
  <si>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</si>
  <si>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</si>
  <si>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</si>
  <si>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</si>
  <si>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</si>
  <si>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</si>
  <si>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</si>
  <si>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</si>
  <si>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</si>
  <si>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</si>
  <si>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</si>
  <si>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</si>
  <si>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</si>
  <si>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</si>
  <si>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</si>
  <si>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</si>
  <si>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</si>
  <si>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</si>
  <si>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</si>
  <si>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</si>
  <si>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</si>
  <si>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</si>
  <si>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</si>
  <si>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</si>
  <si>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</si>
  <si>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</si>
  <si>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</si>
  <si>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</si>
  <si>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</si>
  <si>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</si>
  <si>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</si>
  <si>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</si>
  <si>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</si>
  <si>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</si>
  <si>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</si>
  <si>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</si>
  <si>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</si>
  <si>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</si>
  <si>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</si>
  <si>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</si>
  <si>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</si>
  <si>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</si>
  <si>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</si>
  <si>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</si>
  <si>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</si>
  <si>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</si>
  <si>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</si>
  <si>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</si>
  <si>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</si>
  <si>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</si>
  <si>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</si>
  <si>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</si>
  <si>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</si>
  <si>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</si>
  <si>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</si>
  <si>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</si>
  <si>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</si>
  <si>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</si>
  <si>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</si>
  <si>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</si>
  <si>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</si>
  <si>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</si>
  <si>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</si>
  <si>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</si>
  <si>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</si>
  <si>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</si>
  <si>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</si>
  <si>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</si>
  <si>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</si>
  <si>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</si>
  <si>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</si>
  <si>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</si>
  <si>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</si>
  <si>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</si>
  <si>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</si>
  <si>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</si>
  <si>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</si>
  <si>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</si>
  <si>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</si>
  <si>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</si>
  <si>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</si>
  <si>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</si>
  <si>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</si>
  <si>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</si>
  <si>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</si>
  <si>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</si>
  <si>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</si>
  <si>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</si>
  <si>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</si>
  <si>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</si>
  <si>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</si>
  <si>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</si>
  <si>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</si>
  <si>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</si>
  <si>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</si>
  <si>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</si>
  <si>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</si>
  <si>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</si>
  <si>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</si>
  <si>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</si>
  <si>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</si>
  <si>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</si>
  <si>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</si>
  <si>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</si>
  <si>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</si>
  <si>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</si>
  <si>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</si>
  <si>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</si>
  <si>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</si>
  <si>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</si>
  <si>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</si>
  <si>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</si>
  <si>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</si>
  <si>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</si>
  <si>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</si>
  <si>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</si>
  <si>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</si>
  <si>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</si>
  <si>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</si>
  <si>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</si>
  <si>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</si>
  <si>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</si>
  <si>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</si>
  <si>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</si>
  <si>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</si>
  <si>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</si>
  <si>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</si>
  <si>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</si>
  <si>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</si>
  <si>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</si>
  <si>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</si>
  <si>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</si>
  <si>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</si>
  <si>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</si>
  <si>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</si>
  <si>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</si>
  <si>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</si>
  <si>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</si>
  <si>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</si>
  <si>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</si>
  <si>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</si>
  <si>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</si>
  <si>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</si>
  <si>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</si>
  <si>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</si>
  <si>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</si>
  <si>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</si>
  <si>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</si>
  <si>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</si>
  <si>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</si>
  <si>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</si>
  <si>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</si>
  <si>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</si>
  <si>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</si>
  <si>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</si>
  <si>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</si>
  <si>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</si>
  <si>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</si>
  <si>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</si>
  <si>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</si>
  <si>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</si>
  <si>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</si>
  <si>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</si>
  <si>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</si>
  <si>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</si>
  <si>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</si>
  <si>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</si>
  <si>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</si>
  <si>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</si>
  <si>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</si>
  <si>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</si>
  <si>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</si>
  <si>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</si>
  <si>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</si>
  <si>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</si>
  <si>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</si>
  <si>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</si>
  <si>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</si>
  <si>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</si>
  <si>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</si>
  <si>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</si>
  <si>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</si>
  <si>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</si>
  <si>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</si>
  <si>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</si>
  <si>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</si>
  <si>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</si>
  <si>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</si>
  <si>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</si>
  <si>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</si>
  <si>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</si>
  <si>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</si>
  <si>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</si>
  <si>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</si>
  <si>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</si>
  <si>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</si>
  <si>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</si>
  <si>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</si>
  <si>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</si>
  <si>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</si>
  <si>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</si>
  <si>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</si>
  <si>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</si>
  <si>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</si>
  <si>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</si>
  <si>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</si>
  <si>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</si>
  <si>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</si>
  <si>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</si>
  <si>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</si>
  <si>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</si>
  <si>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</si>
  <si>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</si>
  <si>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</si>
  <si>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</si>
  <si>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</si>
  <si>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</si>
  <si>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</si>
  <si>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</si>
  <si>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</si>
  <si>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</si>
  <si>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</si>
  <si>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</si>
  <si>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</si>
  <si>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</si>
  <si>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</si>
  <si>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</si>
  <si>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</si>
  <si>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</si>
  <si>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</si>
  <si>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</si>
  <si>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</si>
  <si>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</si>
  <si>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</si>
  <si>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</si>
  <si>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</si>
  <si>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</si>
  <si>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</si>
  <si>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</si>
  <si>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</si>
  <si>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</si>
  <si>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</si>
  <si>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</si>
  <si>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</si>
  <si>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</si>
  <si>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</si>
  <si>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</si>
  <si>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</si>
  <si>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</si>
  <si>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</si>
  <si>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</si>
  <si>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</si>
  <si>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</si>
  <si>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</si>
  <si>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</si>
  <si>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</si>
  <si>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</si>
  <si>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</si>
  <si>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</si>
  <si>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</si>
  <si>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</si>
  <si>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</si>
  <si>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</si>
  <si>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</si>
  <si>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</si>
  <si>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</si>
  <si>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</si>
  <si>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</si>
  <si>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</si>
  <si>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</si>
  <si>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</si>
  <si>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</si>
  <si>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</si>
  <si>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</si>
  <si>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</si>
  <si>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</si>
  <si>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</si>
  <si>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</si>
  <si>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</si>
  <si>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</si>
  <si>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</si>
  <si>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</si>
  <si>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</si>
  <si>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</si>
  <si>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</si>
  <si>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</si>
  <si>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</si>
  <si>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</si>
  <si>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</si>
  <si>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</si>
  <si>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</si>
  <si>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</si>
  <si>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</si>
  <si>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</si>
  <si>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</si>
  <si>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</si>
  <si>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</si>
  <si>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</si>
  <si>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</si>
  <si>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</si>
  <si>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</si>
  <si>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</si>
  <si>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</si>
  <si>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</si>
  <si>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</si>
  <si>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</si>
  <si>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</si>
  <si>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</si>
  <si>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</si>
  <si>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</si>
  <si>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</si>
  <si>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</si>
  <si>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</si>
  <si>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</si>
  <si>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</si>
  <si>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</si>
  <si>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</si>
  <si>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</si>
  <si>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</si>
  <si>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</si>
  <si>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</si>
  <si>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</si>
  <si>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</si>
  <si>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</si>
  <si>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</si>
  <si>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</si>
  <si>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</si>
  <si>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</si>
  <si>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</si>
  <si>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</si>
  <si>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</si>
  <si>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</si>
  <si>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</si>
  <si>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</si>
  <si>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</si>
  <si>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</si>
  <si>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</si>
  <si>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</si>
  <si>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</si>
  <si>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</si>
  <si>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</si>
  <si>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</si>
  <si>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</si>
  <si>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</si>
  <si>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</si>
  <si>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</si>
  <si>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</si>
  <si>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</si>
  <si>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</si>
  <si>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</si>
  <si>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</si>
  <si>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</si>
  <si>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</si>
  <si>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</si>
  <si>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</si>
  <si>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</si>
  <si>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</si>
  <si>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</si>
  <si>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</si>
  <si>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</si>
  <si>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</si>
  <si>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</si>
  <si>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</si>
  <si>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</si>
  <si>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</si>
  <si>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</si>
  <si>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</si>
  <si>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</si>
  <si>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</si>
  <si>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</si>
  <si>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</si>
  <si>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</si>
  <si>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</si>
  <si>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</si>
  <si>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</si>
  <si>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</si>
  <si>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</si>
  <si>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</si>
  <si>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</si>
  <si>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</si>
  <si>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</si>
  <si>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</si>
  <si>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</si>
  <si>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</si>
  <si>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</si>
  <si>
    <t>LineNetAmount</t>
  </si>
  <si>
    <t>HasBeverageLine</t>
  </si>
  <si>
    <t>OrderTotalRevenue</t>
  </si>
  <si>
    <t>2) Monthly Revenue &amp; Month-on-Month Change</t>
  </si>
  <si>
    <t>July revenue:</t>
  </si>
  <si>
    <t>Value</t>
  </si>
  <si>
    <t>August revenue:</t>
  </si>
  <si>
    <t>MOM:</t>
  </si>
  <si>
    <t>3) Lunch shift Revenue in August 2025 for Head Office Café</t>
  </si>
  <si>
    <t>Lunch Revenue:</t>
  </si>
  <si>
    <t>Beverage + UPI count:</t>
  </si>
  <si>
    <t>4) Orders with any Beverage item and paid via UPI</t>
  </si>
  <si>
    <t>5) Average ticket size by Shift for July and August combined</t>
  </si>
  <si>
    <t>ComboFlag</t>
  </si>
  <si>
    <t>DiscountFlag</t>
  </si>
  <si>
    <t>Total Revenue</t>
  </si>
  <si>
    <t>Head Office Café % Contribution</t>
  </si>
  <si>
    <t>Plant 1 Canteen % Contribution</t>
  </si>
  <si>
    <t>Plant 2 Canteen % Contribution</t>
  </si>
  <si>
    <t>Grand Total</t>
  </si>
  <si>
    <t>1) Revenue by Category and Branch for July plus August</t>
  </si>
  <si>
    <t>2) Top 10 SKUs by Revenue in August only</t>
  </si>
  <si>
    <t>Rank</t>
  </si>
  <si>
    <t>Qty Sold</t>
  </si>
  <si>
    <t>Revenue</t>
  </si>
  <si>
    <t>Helper: SKU</t>
  </si>
  <si>
    <t>Helper: Aug Revenue</t>
  </si>
  <si>
    <t>3) Gross Margin% by Branch</t>
  </si>
  <si>
    <t>Food Cost</t>
  </si>
  <si>
    <t>Gross Margin</t>
  </si>
  <si>
    <t>Gross Margin%</t>
  </si>
  <si>
    <t>Daily Performance</t>
  </si>
  <si>
    <t>Avg Feedback Rating</t>
  </si>
  <si>
    <t>Avg Waste Cost</t>
  </si>
  <si>
    <t>Risk</t>
  </si>
  <si>
    <t>Dynamic Value Retrieval</t>
  </si>
  <si>
    <t>Result</t>
  </si>
  <si>
    <t>Unit Price or Unit Cost.</t>
  </si>
  <si>
    <t xml:space="preserve"> Interactive Combo Performance Dashboard</t>
  </si>
  <si>
    <t>Filters</t>
  </si>
  <si>
    <t>LineCost</t>
  </si>
  <si>
    <t>Branch:</t>
  </si>
  <si>
    <t>All</t>
  </si>
  <si>
    <t>Shift:</t>
  </si>
  <si>
    <t>1 — Combo Performance Summary</t>
  </si>
  <si>
    <t>Metric</t>
  </si>
  <si>
    <r>
      <t>Total Combo Orders</t>
    </r>
    <r>
      <rPr>
        <sz val="11"/>
        <color theme="1"/>
        <rFont val="Calibri"/>
        <family val="2"/>
        <scheme val="minor"/>
      </rPr>
      <t>:</t>
    </r>
  </si>
  <si>
    <r>
      <t>Combo % of All Orders</t>
    </r>
    <r>
      <rPr>
        <sz val="11"/>
        <color theme="1"/>
        <rFont val="Calibri"/>
        <family val="2"/>
        <scheme val="minor"/>
      </rPr>
      <t>:</t>
    </r>
  </si>
  <si>
    <r>
      <t>Avg Ticket Size (Combo)</t>
    </r>
    <r>
      <rPr>
        <sz val="11"/>
        <color theme="1"/>
        <rFont val="Calibri"/>
        <family val="2"/>
        <scheme val="minor"/>
      </rPr>
      <t>:</t>
    </r>
  </si>
  <si>
    <r>
      <t>Avg Gross Profit per Combo Order</t>
    </r>
    <r>
      <rPr>
        <sz val="11"/>
        <color theme="1"/>
        <rFont val="Calibri"/>
        <family val="2"/>
        <scheme val="minor"/>
      </rPr>
      <t>:</t>
    </r>
  </si>
  <si>
    <t>OrderTotalCost</t>
  </si>
  <si>
    <t>GrossProfit</t>
  </si>
  <si>
    <t>GrossMarginPct</t>
  </si>
  <si>
    <t>ComboKey</t>
  </si>
  <si>
    <t>Count (filtered)</t>
  </si>
  <si>
    <t>Beverage + Dessert</t>
  </si>
  <si>
    <t>Beverage + Hot Meal</t>
  </si>
  <si>
    <t>Beverage + Snack</t>
  </si>
  <si>
    <t>Dessert + Hot Meal</t>
  </si>
  <si>
    <t>Dessert + Snack</t>
  </si>
  <si>
    <t>Hot Meal + Snack</t>
  </si>
  <si>
    <t>Beverage + Dessert + Hot Meal</t>
  </si>
  <si>
    <t>Beverage + Dessert + Snack</t>
  </si>
  <si>
    <t>Beverage + Hot Meal + Snack</t>
  </si>
  <si>
    <t>Dessert + Hot Meal + Snack</t>
  </si>
  <si>
    <t>Beverage + Dessert + Hot Meal + Snack</t>
  </si>
  <si>
    <t>2 — Combo vs Single comparison</t>
  </si>
  <si>
    <t>Average Ticket Size</t>
  </si>
  <si>
    <t>Average Total Cost</t>
  </si>
  <si>
    <t>Average Gross Profit</t>
  </si>
  <si>
    <t>Gross Margin %</t>
  </si>
  <si>
    <t>Combo Orders</t>
  </si>
  <si>
    <t>Single Orders</t>
  </si>
  <si>
    <t>Gap (Combo − Single)</t>
  </si>
  <si>
    <t>Total Orders</t>
  </si>
  <si>
    <t>Combo %</t>
  </si>
  <si>
    <t>3 — Combo Adoption by Branch  (reflects Shift filter only)</t>
  </si>
  <si>
    <t>4 — Combo Adoption by Shift  (reflects Branch filter only)</t>
  </si>
  <si>
    <t>5 — Category Combinations Ranked by Order Frequency  (reflects Branch &amp; Shift filters)</t>
  </si>
  <si>
    <t>Category Combination</t>
  </si>
  <si>
    <t>Order Count</t>
  </si>
  <si>
    <t>6 — Interactive Profitability Simulator</t>
  </si>
  <si>
    <t>Select Hot Meal:</t>
  </si>
  <si>
    <t>Select Beverage:</t>
  </si>
  <si>
    <t>Assumed Discount %:</t>
  </si>
  <si>
    <t>Net Selling Price</t>
  </si>
  <si>
    <t>Food Cost (Hot Meal + Beverage)</t>
  </si>
  <si>
    <t>Gross Profit</t>
  </si>
  <si>
    <t>Current Beverage Stock 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</si>
</sst>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yyyy\-mm\-dd\ hh:mm"/>
    <numFmt numFmtId="165" formatCode="yyyy\-mm\-dd"/>
    <numFmt numFmtId="166" formatCode="0.0%"/>
    <numFmt numFmtId="167" formatCode="&quot;₹&quot;\ #,##0.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color theme="1"/>
      <name val="Arial Unicode MS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2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33333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rgb="FF008080"/>
      </patternFill>
    </fill>
    <fill>
      <patternFill patternType="solid">
        <fgColor theme="0"/>
        <bgColor rgb="FF00808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9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166" fontId="0" fillId="0" borderId="0" xfId="0" applyNumberFormat="1"/>
    <xf numFmtId="0" fontId="6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8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67" fontId="12" fillId="0" borderId="0" xfId="0" applyNumberFormat="1" applyFont="1"/>
    <xf numFmtId="167" fontId="0" fillId="0" borderId="0" xfId="0" applyNumberFormat="1"/>
    <xf numFmtId="44" fontId="0" fillId="0" borderId="0" xfId="0" applyNumberFormat="1"/>
    <xf numFmtId="0" fontId="7" fillId="0" borderId="0" xfId="0" applyFont="1"/>
    <xf numFmtId="0" fontId="14" fillId="0" borderId="6" xfId="0" applyFont="1" applyBorder="1" applyAlignment="1">
      <alignment horizontal="left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5" borderId="1" xfId="0" applyFill="1" applyBorder="1"/>
    <xf numFmtId="9" fontId="0" fillId="5" borderId="1" xfId="0" applyNumberFormat="1" applyFill="1" applyBorder="1"/>
    <xf numFmtId="0" fontId="11" fillId="0" borderId="1" xfId="0" applyFont="1" applyBorder="1" applyAlignment="1">
      <alignment horizontal="left" vertical="center"/>
    </xf>
    <xf numFmtId="0" fontId="0" fillId="0" borderId="1" xfId="0" applyBorder="1"/>
    <xf numFmtId="10" fontId="0" fillId="0" borderId="1" xfId="0" applyNumberFormat="1" applyBorder="1"/>
    <xf numFmtId="0" fontId="14" fillId="0" borderId="6" xfId="0" applyFont="1" applyBorder="1" applyAlignment="1">
      <alignment horizontal="center" vertical="center"/>
    </xf>
    <xf numFmtId="44" fontId="0" fillId="0" borderId="1" xfId="0" applyNumberFormat="1" applyBorder="1"/>
    <xf numFmtId="0" fontId="0" fillId="3" borderId="1" xfId="0" applyFill="1" applyBorder="1"/>
    <xf numFmtId="0" fontId="9" fillId="0" borderId="0" xfId="0" applyFont="1" applyAlignment="1">
      <alignment horizontal="center"/>
    </xf>
    <xf numFmtId="0" fontId="10" fillId="6" borderId="0" xfId="0" applyFont="1" applyFill="1" applyAlignment="1">
      <alignment vertical="center"/>
    </xf>
    <xf numFmtId="0" fontId="9" fillId="0" borderId="0" xfId="0" applyFont="1" applyAlignment="1"/>
    <xf numFmtId="0" fontId="10" fillId="7" borderId="1" xfId="0" applyFont="1" applyFill="1" applyBorder="1" applyAlignment="1">
      <alignment vertical="center"/>
    </xf>
  </cellXfs>
  <cellStyles count="1">
    <cellStyle name="Normal" xfId="0" builtinId="0"/>
  </cellStyles>
  <dxfs count="96"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%"/>
    </dxf>
    <dxf>
      <numFmt numFmtId="2" formatCode="0.00"/>
    </dxf>
    <dxf>
      <numFmt numFmtId="2" formatCode="0.00"/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666699"/>
          <bgColor rgb="FF30549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7" formatCode="&quot;₹&quot;\ #,##0.00"/>
    </dxf>
    <dxf>
      <numFmt numFmtId="167" formatCode="&quot;₹&quot;\ #,##0.00"/>
    </dxf>
    <dxf>
      <numFmt numFmtId="167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numFmt numFmtId="164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6D2C2-660C-42BD-A8A1-696DD2388F3D}" name="Orders" displayName="Orders" ref="A1:K361" totalsRowShown="0" headerRowDxfId="95">
  <autoFilter ref="A1:K361" xr:uid="{5DF6D2C2-660C-42BD-A8A1-696DD2388F3D}"/>
  <tableColumns count="11">
    <tableColumn id="1" xr3:uid="{54914CCC-FBA3-4A73-9B16-0059EFEC5FAA}" name="OrderID"/>
    <tableColumn id="2" xr3:uid="{53D79FBB-311D-49C1-A686-59D068823D39}" name="OrderDateTime" dataDxfId="94"/>
    <tableColumn id="3" xr3:uid="{788D45B2-13DD-44A8-BC29-0F07F13AD84B}" name="Branch"/>
    <tableColumn id="4" xr3:uid="{E6A38A5A-CC50-466A-9E2E-2DFCE3665832}" name="CustomerType"/>
    <tableColumn id="5" xr3:uid="{3A930481-6829-4130-906E-B2CC8F1DEAAB}" name="PaymentType"/>
    <tableColumn id="6" xr3:uid="{0AAB3160-0C43-4FCF-8199-3A23B0FF23D8}" name="Shift"/>
    <tableColumn id="7" xr3:uid="{E6E7B865-F1BC-4E55-AC37-9C8A34FB2F38}" name="DiscountPct" dataDxfId="93"/>
    <tableColumn id="8" xr3:uid="{74B2EADB-CC74-4E81-A721-F6D1F02ED1E4}" name="HasBeverageLine">
      <calculatedColumnFormula>(COUNTIFS(OrderLines!$A:$A,A2,OrderLines!$F:$F,"Beverage")&gt;0)</calculatedColumnFormula>
    </tableColumn>
    <tableColumn id="9" xr3:uid="{C23FC87F-1975-42DC-97BD-AE9385A77CC2}" name="OrderTotalRevenue">
      <calculatedColumnFormula>SUMIFS(OrderLines!$I:$I,OrderLines!$A:$A,A2)</calculatedColumnFormula>
    </tableColumn>
    <tableColumn id="10" xr3:uid="{81313EDC-4A73-40B4-9D03-A34374FA87ED}" name="ComboFlag" dataDxfId="92">
      <calculatedColumnFormula>IF(AND(COUNTIFS(OrderLines!$A$2:$A$925,A2,OrderLines!$F$2:$F$925,"Hot Meal")&gt;0,COUNTIFS(OrderLines!$A$2:$A$925,A2,OrderLines!$F$2:$F$925,"Beverage")&gt;0),"Combo","Single")</calculatedColumnFormula>
    </tableColumn>
    <tableColumn id="11" xr3:uid="{34903D7E-3F81-4856-AD9A-3A8D521BDB49}" name="DiscountFlag" dataDxfId="91">
      <calculatedColumnFormula>IF(SUMPRODUCT((OrderLines!$A$2:$A$925=A2)*OrderLines!$C$2:$C$925*OrderLines!$D$2:$D$925)*G2&gt;40,"HighDisc","OK")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OrderLines" displayName="OrderLines" ref="A1:L925" totalsRowShown="0" headerRowDxfId="90">
  <autoFilter ref="A1:L925" xr:uid="{C854F855-4FAB-46BE-900C-BD07B30BF31B}"/>
  <tableColumns count="12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89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  <tableColumn id="9" xr3:uid="{0A89C9E9-FD34-43B2-B00C-7BD3B1366CCD}" name="LineNetAmount" dataDxfId="88">
      <calculatedColumnFormula>C2*D2*(1-VLOOKUP(A2,Orders!$A:$G,7,0))</calculatedColumnFormula>
    </tableColumn>
    <tableColumn id="10" xr3:uid="{A68780A0-3256-4B5C-B7D9-720336F009B0}" name="Shift" dataDxfId="87">
      <calculatedColumnFormula>VLOOKUP(A2,Orders!$A:$G,6,0)</calculatedColumnFormula>
    </tableColumn>
    <tableColumn id="11" xr3:uid="{5993DBD7-0C25-4BB7-9A14-137DB31D4C0F}" name="PaymentType" dataDxfId="86">
      <calculatedColumnFormula>VLOOKUP(A2,Orders!$A:$G,5,0)</calculatedColumnFormula>
    </tableColumn>
    <tableColumn id="12" xr3:uid="{A3BBD94C-2433-42F5-B441-45F381CE3061}" name="LineCost" dataDxfId="85">
      <calculatedColumnFormula>C2*E2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613724-6EC5-47B5-9409-E4D82300A49B}" name="Table20" displayName="Table20" ref="A1:I362" totalsRowShown="0" headerRowDxfId="84">
  <autoFilter ref="A1:I362" xr:uid="{B6613724-6EC5-47B5-9409-E4D82300A49B}"/>
  <tableColumns count="9">
    <tableColumn id="1" xr3:uid="{51C0E6F2-E1DA-4DB4-A71F-1973ADF5B003}" name="OrderID"/>
    <tableColumn id="2" xr3:uid="{8C4EF607-BD1A-49AF-8759-C10031171687}" name="Branch"/>
    <tableColumn id="3" xr3:uid="{52070D31-818B-4F16-9035-9BA2D7C9C2D2}" name="Shift"/>
    <tableColumn id="4" xr3:uid="{4D24E4EE-EF75-4E14-A31F-E1C56236078A}" name="ComboFlag"/>
    <tableColumn id="5" xr3:uid="{BB13126F-0122-4F8C-8147-3FF0DBAF6CA0}" name="OrderTotalRevenue" dataDxfId="83"/>
    <tableColumn id="6" xr3:uid="{2E08F3D6-38F3-4FB3-9269-66803F8561AC}" name="OrderTotalCost" dataDxfId="82"/>
    <tableColumn id="7" xr3:uid="{5F0DB616-26E4-45D1-94EB-3E74285BB24B}" name="GrossProfit" dataDxfId="81"/>
    <tableColumn id="8" xr3:uid="{A1F7BB5B-7D81-47C2-AFE8-23C0DF29D7AE}" name="GrossMarginPct" dataDxfId="80"/>
    <tableColumn id="9" xr3:uid="{9DD50C86-B992-42E5-8582-A4774CD58BF2}" name="ComboKey">
      <calculatedColumnFormula>_xlfn.TEXTJOIN(" + ",TRUE,IF(COUNTIFS(OrderLines!$A$2:$A$925,A2,OrderLines!$F$2:$F$925,"Beverage")&gt;0,"Beverage",""),IF(COUNTIFS(OrderLines!$A$2:$A$925,A2,OrderLines!$F$2:$F$925,"Dessert")&gt;0,"Dessert",""),IF(COUNTIFS(OrderLines!$A$2:$A$925,A2,OrderLines!$F$2:$F$925,"Hot Meal")&gt;0,"Hot Meal",""),IF(COUNTIFS(OrderLines!$A$2:$A$925,A2,OrderLines!$F$2:$F$925,"Snack")&gt;0,"Snack",""))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301AC66-AADF-4B18-BE41-57E19F7D061B}" name="Table21" displayName="Table21" ref="K1:M16" totalsRowShown="0" headerRowDxfId="79">
  <autoFilter ref="K1:M16" xr:uid="{E301AC66-AADF-4B18-BE41-57E19F7D061B}"/>
  <tableColumns count="3">
    <tableColumn id="1" xr3:uid="{37D2FCD1-5C40-47B0-921E-EB8085C7B885}" name="ComboKey"/>
    <tableColumn id="2" xr3:uid="{15FC0845-8FC8-43A7-B8B3-30D2DD7B8A25}" name="Count (filtered)">
      <calculatedColumnFormula>COUNTIFS($I$2:$I$361,K2,$B$2:$B$361,IF('Dashboard '!$B$4="All","*",'Dashboard '!$B$4),$C$2:$C$361,IF('Dashboard '!$E$4="All","*",'Dashboard '!$E$4))</calculatedColumnFormula>
    </tableColumn>
    <tableColumn id="3" xr3:uid="{691046FD-7BDD-4CE0-BD8C-7B4828B91AC6}" name="Rank">
      <calculatedColumnFormula>RANK(L2,$L$2:$L$16)+COUNTIF($L$2:L2,L2)-1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26C331-509D-4963-955A-656DD8591B27}" name="Menu" displayName="Menu" ref="A1:F20" totalsRowShown="0" headerRowDxfId="78" headerRowBorderDxfId="77" tableBorderDxfId="76">
  <autoFilter ref="A1:F20" xr:uid="{F926C331-509D-4963-955A-656DD8591B27}"/>
  <tableColumns count="6">
    <tableColumn id="1" xr3:uid="{D780DFC1-68DF-4FA5-97C2-A037E9147983}" name="SKU"/>
    <tableColumn id="2" xr3:uid="{D04EA1E8-5CE5-4F92-B739-43FA58DE3D52}" name="ItemName"/>
    <tableColumn id="3" xr3:uid="{7947109D-30CD-4E77-A35A-001E2F91107F}" name="Category"/>
    <tableColumn id="4" xr3:uid="{CA16F9AC-73C5-4E5F-A705-91159EE09936}" name="SupplierID"/>
    <tableColumn id="5" xr3:uid="{5FB79B79-10AB-43DC-AFD4-6B7349C58E92}" name="UnitCost"/>
    <tableColumn id="6" xr3:uid="{0E3EE9C6-C294-4B51-8F71-13C1E2338BCF}" name="UnitPri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3BC24F-27C9-4D78-807D-456139C87C28}" name="Staff" displayName="Staff" ref="A1:E19" totalsRowShown="0" headerRowDxfId="75" headerRowBorderDxfId="74" tableBorderDxfId="73">
  <autoFilter ref="A1:E19" xr:uid="{343BC24F-27C9-4D78-807D-456139C87C28}"/>
  <tableColumns count="5">
    <tableColumn id="1" xr3:uid="{BD793074-5551-4E03-9844-753D44C77925}" name="StaffID"/>
    <tableColumn id="2" xr3:uid="{EB7E2CAC-88E6-442D-B650-54D481F92FA4}" name="StaffName"/>
    <tableColumn id="3" xr3:uid="{0E02B712-A8FB-4EE1-A905-127C39F07E7F}" name="Role"/>
    <tableColumn id="4" xr3:uid="{6A5A6F0B-C6CB-4B82-AC4D-FDB8CFEB6D02}" name="Branch"/>
    <tableColumn id="5" xr3:uid="{67B51818-0773-4268-B94F-201D4060541B}" name="HourlyRateIN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D273B0-0318-45D3-9276-0F2C42D609B4}" name="Inventory" displayName="Inventory" ref="A1:E20" totalsRowShown="0" headerRowDxfId="72" headerRowBorderDxfId="71" tableBorderDxfId="70">
  <autoFilter ref="A1:E20" xr:uid="{B5D273B0-0318-45D3-9276-0F2C42D609B4}"/>
  <tableColumns count="5">
    <tableColumn id="1" xr3:uid="{F117D740-7EF0-47A3-8CB8-2F489FCF241C}" name="SKU"/>
    <tableColumn id="2" xr3:uid="{CC446797-EA27-4029-A889-D0B11502739E}" name="OnHandQty"/>
    <tableColumn id="3" xr3:uid="{269036BB-2014-4E6B-A83F-3BD0C4485E5C}" name="ReorderPoint"/>
    <tableColumn id="4" xr3:uid="{7FBF6045-68B1-4D30-9543-02D5477CFA55}" name="LeadTimeDays"/>
    <tableColumn id="5" xr3:uid="{D337AA9E-E73A-4768-A89D-42FB620E5696}" name="LastRestockDate" dataDxfId="6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1F2D66-4746-442D-B67B-E70739CCB413}" name="Suppliers" displayName="Suppliers" ref="A1:D11" totalsRowShown="0" headerRowDxfId="68" headerRowBorderDxfId="67" tableBorderDxfId="66">
  <autoFilter ref="A1:D11" xr:uid="{4C1F2D66-4746-442D-B67B-E70739CCB413}"/>
  <tableColumns count="4">
    <tableColumn id="1" xr3:uid="{B7E72CD5-0F7B-4A62-B1D5-1B492D15233F}" name="SupplierID"/>
    <tableColumn id="2" xr3:uid="{545D9BBA-FA6F-421C-BC0E-17529EB00375}" name="SupplierName"/>
    <tableColumn id="3" xr3:uid="{80CCD278-6450-43F3-87E6-B5024568CA12}" name="City"/>
    <tableColumn id="4" xr3:uid="{AAAC5777-956F-4B7B-8EA0-39CEC560A380}" name="Ph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8DB4ED-80F0-4AA9-BF85-0B91DDC10111}" name="WasteLog" displayName="WasteLog" ref="A1:D121" totalsRowShown="0" headerRowDxfId="65" headerRowBorderDxfId="64" tableBorderDxfId="63">
  <autoFilter ref="A1:D121" xr:uid="{FC8DB4ED-80F0-4AA9-BF85-0B91DDC10111}"/>
  <tableColumns count="4">
    <tableColumn id="1" xr3:uid="{E4DA2855-C271-4AFA-9FEC-87DCAAEAC198}" name="Date" dataDxfId="62"/>
    <tableColumn id="2" xr3:uid="{7922B2D7-2DA4-4E33-A538-1236BF57A9BC}" name="SKU"/>
    <tableColumn id="3" xr3:uid="{D24A2B54-5BE8-4D33-89CD-647E1EE74930}" name="Qty"/>
    <tableColumn id="4" xr3:uid="{2085EA10-49FE-4DBB-B67E-BB14869ECEC1}" name="Reas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3EF1F1-5E21-4153-9EF4-B056A8149E67}" name="Feedback" displayName="Feedback" ref="A1:D221" totalsRowShown="0" headerRowDxfId="61" headerRowBorderDxfId="60" tableBorderDxfId="59">
  <autoFilter ref="A1:D221" xr:uid="{093EF1F1-5E21-4153-9EF4-B056A8149E67}"/>
  <tableColumns count="4">
    <tableColumn id="1" xr3:uid="{63077A33-AA04-4997-9613-7E48F015B937}" name="Date" dataDxfId="58"/>
    <tableColumn id="2" xr3:uid="{5C7B7923-55F3-478C-8246-2F37920A4CFB}" name="Branch"/>
    <tableColumn id="3" xr3:uid="{75E95FD0-D3A0-41D1-B9D2-9DB3BDAFD294}" name="Rating"/>
    <tableColumn id="4" xr3:uid="{E0BD9E3E-0A14-4979-8710-6476A5F4C548}" name="Comm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09DA42-9CAF-43B2-A78B-036C792EFFB3}" name="Table3" displayName="Table3" ref="A1:B4" totalsRowShown="0">
  <autoFilter ref="A1:B4" xr:uid="{4E09DA42-9CAF-43B2-A78B-036C792EFFB3}"/>
  <tableColumns count="2">
    <tableColumn id="1" xr3:uid="{3E4B53E5-B201-4DBF-9457-9760A447E6A9}" name="2) Monthly Revenue &amp; Month-on-Month Change" dataDxfId="57"/>
    <tableColumn id="2" xr3:uid="{232676A2-69E2-4500-A3A0-26156946C57E}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678DDC-2F70-41FE-A45C-11C7B52280CF}" name="Table4" displayName="Table4" ref="A6:B7" totalsRowShown="0" headerRowDxfId="56">
  <autoFilter ref="A6:B7" xr:uid="{14678DDC-2F70-41FE-A45C-11C7B52280CF}"/>
  <tableColumns count="2">
    <tableColumn id="1" xr3:uid="{5A9E61E9-97AD-47A7-9BE7-8CF5A764565B}" name="3) Lunch shift Revenue in August 2025 for Head Office Café" dataDxfId="55"/>
    <tableColumn id="2" xr3:uid="{4FEE7D45-8470-4806-AC31-7C9DEE16B344}" name="Value" dataDxfId="54">
      <calculatedColumnFormula>SUMIFS(OrderLines!I:I, OrderLines!G:G,"&gt;="&amp;DATE(2025,8,1), OrderLines!G:G,"&lt;"&amp;DATE(2025,9,1), OrderLines!H:H,"Head Office Café", OrderLines!J:J,"Lunch")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D7302-BB1E-4689-92D5-62060FD3B975}" name="Table5" displayName="Table5" ref="A9:B10" totalsRowShown="0" headerRowDxfId="53">
  <autoFilter ref="A9:B10" xr:uid="{8CCD7302-BB1E-4689-92D5-62060FD3B975}"/>
  <tableColumns count="2">
    <tableColumn id="1" xr3:uid="{D2F15CC9-ABA8-4B4A-8984-4DA0F3F841F4}" name="4) Orders with any Beverage item and paid via UPI" dataDxfId="52"/>
    <tableColumn id="2" xr3:uid="{4FC19055-C03C-49E6-9BBB-FBDEDCC2D8E3}" name="Value">
      <calculatedColumnFormula>COUNTIFS(Orders!H:H,TRUE,Orders!E:E,"UPI")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E333F-C3DE-4D02-A08D-27F0BDF4D220}" name="Table6" displayName="Table6" ref="A12:B15" totalsRowShown="0" headerRowDxfId="51">
  <autoFilter ref="A12:B15" xr:uid="{634E333F-C3DE-4D02-A08D-27F0BDF4D220}"/>
  <tableColumns count="2">
    <tableColumn id="1" xr3:uid="{21036FDC-371C-48A6-904D-75D5410214A0}" name="5) Average ticket size by Shift for July and August combined" dataDxfId="50"/>
    <tableColumn id="2" xr3:uid="{4C18D9F4-8838-46CA-91F5-B1A31A2B458C}" name="Value" dataDxfId="4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AF456C-27B2-42C2-9FE9-647513ED7A41}" name="Table8" displayName="Table8" ref="A3:H8" totalsRowShown="0" headerRowDxfId="48">
  <autoFilter ref="A3:H8" xr:uid="{70AF456C-27B2-42C2-9FE9-647513ED7A41}"/>
  <tableColumns count="8">
    <tableColumn id="1" xr3:uid="{8E8839A6-B8AE-49C3-A921-341F31712327}" name="Category" dataDxfId="47"/>
    <tableColumn id="2" xr3:uid="{8905FAB8-46EB-4C4D-9534-B0CA969FC188}" name="Head Office Café" dataDxfId="46"/>
    <tableColumn id="3" xr3:uid="{F0BF6C14-34B8-4C14-8B88-1206D74EDF97}" name="Plant 1 Canteen" dataDxfId="45"/>
    <tableColumn id="4" xr3:uid="{6CD486D1-2D6D-4FA7-A195-8B5D1312AE51}" name="Plant 2 Canteen" dataDxfId="44"/>
    <tableColumn id="5" xr3:uid="{D14FAEBF-529B-46CD-86AF-A015B92349A7}" name="Total Revenue" dataDxfId="43"/>
    <tableColumn id="6" xr3:uid="{718ACBC4-40BE-4C30-9821-5D6DE4080365}" name="Head Office Café % Contribution" dataDxfId="42"/>
    <tableColumn id="7" xr3:uid="{B6A353DF-6B59-4A91-B0EF-09825E1D0CF1}" name="Plant 1 Canteen % Contribution" dataDxfId="41"/>
    <tableColumn id="8" xr3:uid="{FFC0E668-8DFF-4F5F-803F-D4545FB51DE8}" name="Plant 2 Canteen % Contribution" dataDxfId="4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10E15D-3030-42E8-9F5B-98E6157E1A9B}" name="Table9" displayName="Table9" ref="A13:E23" totalsRowShown="0" headerRowDxfId="39">
  <autoFilter ref="A13:E23" xr:uid="{C410E15D-3030-42E8-9F5B-98E6157E1A9B}"/>
  <tableColumns count="5">
    <tableColumn id="1" xr3:uid="{6538F5CF-6D4A-4A43-AE3F-2C52A038E6C5}" name="Rank"/>
    <tableColumn id="2" xr3:uid="{D0A003BE-2616-40DD-9731-5BA417B884DA}" name="SKU">
      <calculatedColumnFormula>INDEX($J$14:$J$32,MATCH($E14,$K$14:$K$32,0))</calculatedColumnFormula>
    </tableColumn>
    <tableColumn id="3" xr3:uid="{D584BDD0-7707-49DC-BE61-99C7714AD940}" name="ItemName">
      <calculatedColumnFormula>VLOOKUP(B14,Menu!$A:$B,2,FALSE())</calculatedColumnFormula>
    </tableColumn>
    <tableColumn id="4" xr3:uid="{0ECF6173-CC5C-43C3-9263-3C6C4AA5A4B5}" name="Qty Sold">
      <calculatedColumnFormula>SUMIFS(OrderLines!$C:$C, OrderLines!$B:$B, B14, OrderLines!$G:$G, "&gt;="&amp;DATE(2025,8,1), OrderLines!$G:$G, "&lt;"&amp;DATE(2025,9,1))</calculatedColumnFormula>
    </tableColumn>
    <tableColumn id="5" xr3:uid="{92603F6D-631C-40A1-A54E-FA626C485B1F}" name="Revenue" dataDxfId="38">
      <calculatedColumnFormula>LARGE($K$14:$K$32,$A14)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E67E7-0E49-4E1B-AF7E-2A65FE981AB6}" name="Table10" displayName="Table10" ref="A28:E31" totalsRowShown="0" headerRowDxfId="37" headerRowBorderDxfId="36" tableBorderDxfId="35">
  <autoFilter ref="A28:E31" xr:uid="{B6DE67E7-0E49-4E1B-AF7E-2A65FE981AB6}"/>
  <tableColumns count="5">
    <tableColumn id="1" xr3:uid="{8DAFB5B3-ED4F-42E6-AAC4-769728EA7ECE}" name="Branch"/>
    <tableColumn id="2" xr3:uid="{C5C3DB81-0335-4AC9-90F5-533E06AB6854}" name="Revenue" dataDxfId="34">
      <calculatedColumnFormula>SUMIFS(OrderLines!$I:$I, OrderLines!$H:$H, $A29)</calculatedColumnFormula>
    </tableColumn>
    <tableColumn id="3" xr3:uid="{5B511D80-F766-46B8-ADC1-0DB3160F7E5B}" name="Food Cost">
      <calculatedColumnFormula>SUMPRODUCT((OrderLines!$H$2:$H$925=$A29)*OrderLines!$C$2:$C$925*OrderLines!$E$2:$E$925)</calculatedColumnFormula>
    </tableColumn>
    <tableColumn id="4" xr3:uid="{85675E4C-59E5-40A0-B0C7-0A3EDA8E79FB}" name="Gross Margin" dataDxfId="33">
      <calculatedColumnFormula>B29-C29</calculatedColumnFormula>
    </tableColumn>
    <tableColumn id="5" xr3:uid="{A3999E50-9986-42C9-A3CB-7A573DF265D7}" name="Gross Margin%" dataDxfId="32">
      <calculatedColumnFormula>IFERROR(D29/B29,0)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D483F30-D7EC-45B9-8C46-3721525CE7B2}" name="Table11" displayName="Table11" ref="A3:E63" totalsRowShown="0" headerRowDxfId="31">
  <autoFilter ref="A3:E63" xr:uid="{CD483F30-D7EC-45B9-8C46-3721525CE7B2}"/>
  <tableColumns count="5">
    <tableColumn id="1" xr3:uid="{9395382E-1DA0-479B-AAC3-94A1382675B0}" name="Date" dataDxfId="30">
      <calculatedColumnFormula>A3+1</calculatedColumnFormula>
    </tableColumn>
    <tableColumn id="2" xr3:uid="{57EB5771-4E56-4960-BFC3-15FD1BC774AD}" name="Revenue" dataDxfId="29">
      <calculatedColumnFormula>SUMIFS(Orders!$I:$I, Orders!$B:$B, "&gt;="&amp;$A4, Orders!$B:$B, "&lt;"&amp;($A4+1))</calculatedColumnFormula>
    </tableColumn>
    <tableColumn id="3" xr3:uid="{1848D21E-D4DA-4254-B232-D9590D1C50C9}" name="Avg Feedback Rating" dataDxfId="28">
      <calculatedColumnFormula>IFERROR(AVERAGEIFS(Feedback!$C:$C, Feedback!$A:$A, $A4),"")</calculatedColumnFormula>
    </tableColumn>
    <tableColumn id="4" xr3:uid="{6E9032E6-F595-4193-AB8B-31659DBCF5D0}" name="Avg Waste Cost" dataDxfId="27">
      <calculatedColumnFormula>IFERROR(SUMPRODUCT((WasteLog!$A$2:$A$121=$A4)*WasteLog!$C$2:$C$121*IFERROR(VLOOKUP(WasteLog!$B$2:$B$121,Menu!$A:$E,5,FALSE()),0))/COUNTIFS(WasteLog!$A$2:$A$121,$A4),0)</calculatedColumnFormula>
    </tableColumn>
    <tableColumn id="5" xr3:uid="{AC584992-A27E-426B-9617-0902CB829FCC}" name="Risk">
      <calculatedColumnFormula>IF(OR($B4&lt;1500, AND($C4&lt;&gt;"",$C4&lt;3.2), IF($B4&gt;0, $D4&gt;0.04*$B4, $D4&gt;0)), "At Risk", "OK")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1B4AA1-C36B-4178-A947-823EBF94C44A}" name="Table12" displayName="Table12" ref="A3:C4" totalsRowShown="0" headerRowDxfId="26">
  <autoFilter ref="A3:C4" xr:uid="{571B4AA1-C36B-4178-A947-823EBF94C44A}"/>
  <tableColumns count="3">
    <tableColumn id="1" xr3:uid="{0FC0E879-4AD7-4CBF-8F99-0801EF567578}" name="SKU"/>
    <tableColumn id="2" xr3:uid="{4E4A2352-2D31-4485-85CA-6E60C049F0E1}" name="Unit Price or Unit Cost."/>
    <tableColumn id="3" xr3:uid="{76AFC767-F8DA-4925-847A-B2E935F8BEC5}" name="Result">
      <calculatedColumnFormula>INDEX(Menu!A:F, MATCH(A4, Menu!A:A, 0), MATCH(B4, Menu!A1:F1, 0))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CDD5FA0-2E23-48F8-950B-39A0672E631B}" name="Table19" displayName="Table19" ref="A8:B12" totalsRowShown="0" headerRowDxfId="25">
  <autoFilter ref="A8:B12" xr:uid="{0CDD5FA0-2E23-48F8-950B-39A0672E631B}"/>
  <tableColumns count="2">
    <tableColumn id="1" xr3:uid="{6B3097DD-0BF3-42AE-BC61-BBECCE3B5313}" name="Metric" dataDxfId="24"/>
    <tableColumn id="2" xr3:uid="{D5F2AC46-2E84-403B-A7EF-5667B715D51E}" name="Value" dataDxfId="23">
      <calculatedColumnFormula>COUNTIFS(OrdersCalc!$D$2:$D$361,"Combo",OrdersCalc!$B$2:$B$361,IF($B$4="All","*",$B$4),OrdersCalc!$C$2:$C$361,IF($E$4="All","*",$E$4))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8C83C09-A0BD-48FA-98D4-450083E7086B}" name="Table18" displayName="Table18" ref="A16:D20" totalsRowShown="0" headerRowDxfId="22" headerRowBorderDxfId="21" tableBorderDxfId="20">
  <autoFilter ref="A16:D20" xr:uid="{78C83C09-A0BD-48FA-98D4-450083E7086B}"/>
  <tableColumns count="4">
    <tableColumn id="1" xr3:uid="{0918B564-4A27-4724-8589-02F8718ADE03}" name="Metric" dataDxfId="19"/>
    <tableColumn id="2" xr3:uid="{1673B0AB-FF63-472B-8791-C7D86D85BFDF}" name="Combo Orders" dataDxfId="18">
      <calculatedColumnFormula>IFERROR(AVERAGEIFS(OrdersCalc!$E$2:$E$361,OrdersCalc!$D$2:$D$361,"Combo",OrdersCalc!$B$2:$B$361,IF($B$4="All","*",$B$4),OrdersCalc!$C$2:$C$361,IF($E$4="All","*",$E$4)),0)</calculatedColumnFormula>
    </tableColumn>
    <tableColumn id="3" xr3:uid="{B98AF5EB-A949-4B44-ACF0-95FF90FFA16C}" name="Single Orders" dataDxfId="17">
      <calculatedColumnFormula>IFERROR(AVERAGEIFS(OrdersCalc!$E$2:$E$361,OrdersCalc!$D$2:$D$361,"Single",OrdersCalc!$B$2:$B$361,IF($B$4="All","*",$B$4),OrdersCalc!$C$2:$C$361,IF($E$4="All","*",$E$4)),0)</calculatedColumnFormula>
    </tableColumn>
    <tableColumn id="4" xr3:uid="{F85D40CD-1C80-4145-B67B-300E1C101D4B}" name="Gap (Combo − Single)" dataDxfId="16">
      <calculatedColumnFormula>Table18[[#This Row],[Combo Orders]]-Table18[[#This Row],[Single Orders]]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E4821E-1EE3-45EE-8417-8A6B2F829339}" name="Table22" displayName="Table22" ref="A38:C53" totalsRowShown="0" headerRowDxfId="15" headerRowBorderDxfId="14" tableBorderDxfId="13">
  <autoFilter ref="A38:C53" xr:uid="{15E4821E-1EE3-45EE-8417-8A6B2F829339}"/>
  <tableColumns count="3">
    <tableColumn id="1" xr3:uid="{B9A691BC-0A7B-44C3-8D93-25A83E02E46A}" name="Rank" dataDxfId="12"/>
    <tableColumn id="2" xr3:uid="{79F4C7F0-358B-47B3-B64D-3D69A3CB9702}" name="Category Combination">
      <calculatedColumnFormula>INDEX(OrdersCalc!$K$2:$K$16,MATCH(A39,OrdersCalc!$M$2:$M$16,0))</calculatedColumnFormula>
    </tableColumn>
    <tableColumn id="3" xr3:uid="{8FD46F17-C926-444A-87A5-2ACE5B931CFC}" name="Order Count">
      <calculatedColumnFormula>INDEX(OrdersCalc!$L$2:$L$16,MATCH(A39,OrdersCalc!$M$2:$M$16,0))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3C1F654-107C-44FA-89B7-A71227D13DE8}" name="Table23" displayName="Table23" ref="A31:D34" totalsRowShown="0" headerRowDxfId="11" headerRowBorderDxfId="10" tableBorderDxfId="9">
  <autoFilter ref="A31:D34" xr:uid="{B3C1F654-107C-44FA-89B7-A71227D13DE8}"/>
  <tableColumns count="4">
    <tableColumn id="1" xr3:uid="{2794ED06-8C87-469F-85A7-287BECCDB262}" name="Shift" dataDxfId="8"/>
    <tableColumn id="2" xr3:uid="{FF210A4F-7CA7-4C92-9B8E-9FEF14992F26}" name="Total Orders">
      <calculatedColumnFormula>COUNTIFS(OrdersCalc!$C$2:$C$361,A32,OrdersCalc!$B$2:$B$361,IF($B$4="All","*",$B$4))</calculatedColumnFormula>
    </tableColumn>
    <tableColumn id="3" xr3:uid="{E2F2902D-FB36-4FD2-A5EE-136B10A66B02}" name="Combo Orders">
      <calculatedColumnFormula>COUNTIFS(OrdersCalc!$C$2:$C$361,A32,OrdersCalc!$D$2:$D$361,"Combo",OrdersCalc!$B$2:$B$361,IF($B$4="All","*",$B$4))</calculatedColumnFormula>
    </tableColumn>
    <tableColumn id="4" xr3:uid="{C931DD45-05FB-4ED4-8FFC-660DF3BC35F5}" name="Combo %" dataDxfId="7">
      <calculatedColumnFormula>IFERROR(C32/B32,0)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66F5274-DE7D-4671-A3B1-06748D9D1469}" name="Table24" displayName="Table24" ref="A24:D27" totalsRowShown="0" headerRowDxfId="6" headerRowBorderDxfId="5" tableBorderDxfId="4">
  <autoFilter ref="A24:D27" xr:uid="{B66F5274-DE7D-4671-A3B1-06748D9D1469}"/>
  <tableColumns count="4">
    <tableColumn id="1" xr3:uid="{3838B729-48C1-4537-9713-41D57815073E}" name="Branch" dataDxfId="3"/>
    <tableColumn id="2" xr3:uid="{609B3D87-01D5-4E54-A772-5D387BE870E7}" name="Total Orders">
      <calculatedColumnFormula>COUNTIFS(OrdersCalc!$B$2:$B$361,A25,OrdersCalc!$C$2:$C$361,IF($E$4="All","*",$E$4))</calculatedColumnFormula>
    </tableColumn>
    <tableColumn id="3" xr3:uid="{E8946F95-1CF9-461D-939C-FD32D52356BA}" name="Combo Orders">
      <calculatedColumnFormula>COUNTIFS(OrdersCalc!$B$2:$B$361,A25,OrdersCalc!$D$2:$D$361,"Combo",OrdersCalc!$C$2:$C$361,IF($E$4="All","*",$E$4))</calculatedColumnFormula>
    </tableColumn>
    <tableColumn id="4" xr3:uid="{89448E4E-A398-4EC7-8373-97DCE0245200}" name="Combo %" dataDxfId="2">
      <calculatedColumnFormula>IFERROR(C25/B25,0)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K361"/>
  <sheetViews>
    <sheetView topLeftCell="A2" workbookViewId="0">
      <selection activeCell="I24" sqref="I24"/>
    </sheetView>
  </sheetViews>
  <sheetFormatPr defaultRowHeight="14.4"/>
  <cols>
    <col min="1" max="1" width="12" bestFit="1" customWidth="1"/>
    <col min="2" max="2" width="18.33203125" bestFit="1" customWidth="1"/>
    <col min="3" max="3" width="15" bestFit="1" customWidth="1"/>
    <col min="4" max="4" width="17.77734375" bestFit="1" customWidth="1"/>
    <col min="5" max="5" width="17.109375" bestFit="1" customWidth="1"/>
    <col min="6" max="6" width="9.33203125" bestFit="1" customWidth="1"/>
    <col min="7" max="7" width="15.44140625" bestFit="1" customWidth="1"/>
    <col min="8" max="8" width="17.5546875" bestFit="1" customWidth="1"/>
    <col min="9" max="9" width="19.77734375" bestFit="1" customWidth="1"/>
    <col min="10" max="10" width="14.88671875" bestFit="1" customWidth="1"/>
    <col min="11" max="11" width="16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4" t="s">
        <v>524</v>
      </c>
      <c r="I1" s="4" t="s">
        <v>525</v>
      </c>
      <c r="J1" s="10" t="s">
        <v>536</v>
      </c>
      <c r="K1" s="10" t="s">
        <v>537</v>
      </c>
    </row>
    <row r="2" spans="1:11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 s="11">
        <v>0.06</v>
      </c>
      <c r="H2" t="b">
        <f>(COUNTIFS(OrderLines!$A:$A,A2,OrderLines!$F:$F,"Beverage")&gt;0)</f>
        <v>0</v>
      </c>
      <c r="I2">
        <f>SUMIFS(OrderLines!$I:$I,OrderLines!$A:$A,A2)</f>
        <v>147.90900000000002</v>
      </c>
      <c r="J2" t="str">
        <f>IF(AND(COUNTIFS(OrderLines!$A$2:$A$925,A2,OrderLines!$F$2:$F$925,"Hot Meal")&gt;0,COUNTIFS(OrderLines!$A$2:$A$925,A2,OrderLines!$F$2:$F$925,"Beverage")&gt;0),"Combo","Single")</f>
        <v>Single</v>
      </c>
      <c r="K2" t="str">
        <f>IF(SUMPRODUCT((OrderLines!$A$2:$A$925=A2)*OrderLines!$C$2:$C$925*OrderLines!$D$2:$D$925)*G2&gt;40,"HighDisc","OK")</f>
        <v>OK</v>
      </c>
    </row>
    <row r="3" spans="1:11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 s="11">
        <v>0.05</v>
      </c>
      <c r="H3" t="b">
        <f>(COUNTIFS(OrderLines!$A:$A,A3,OrderLines!$F:$F,"Beverage")&gt;0)</f>
        <v>1</v>
      </c>
      <c r="I3">
        <f>SUMIFS(OrderLines!$I:$I,OrderLines!$A:$A,A3)</f>
        <v>101.54549999999999</v>
      </c>
      <c r="J3" t="str">
        <f>IF(AND(COUNTIFS(OrderLines!$A$2:$A$925,A3,OrderLines!$F$2:$F$925,"Hot Meal")&gt;0,COUNTIFS(OrderLines!$A$2:$A$925,A3,OrderLines!$F$2:$F$925,"Beverage")&gt;0),"Combo","Single")</f>
        <v>Single</v>
      </c>
      <c r="K3" t="str">
        <f>IF(SUMPRODUCT((OrderLines!$A$2:$A$925=A3)*OrderLines!$C$2:$C$925*OrderLines!$D$2:$D$925)*G3&gt;40,"HighDisc","OK")</f>
        <v>OK</v>
      </c>
    </row>
    <row r="4" spans="1:11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 s="11">
        <v>0</v>
      </c>
      <c r="H4" t="b">
        <f>(COUNTIFS(OrderLines!$A:$A,A4,OrderLines!$F:$F,"Beverage")&gt;0)</f>
        <v>1</v>
      </c>
      <c r="I4">
        <f>SUMIFS(OrderLines!$I:$I,OrderLines!$A:$A,A4)</f>
        <v>668.96</v>
      </c>
      <c r="J4" t="str">
        <f>IF(AND(COUNTIFS(OrderLines!$A$2:$A$925,A4,OrderLines!$F$2:$F$925,"Hot Meal")&gt;0,COUNTIFS(OrderLines!$A$2:$A$925,A4,OrderLines!$F$2:$F$925,"Beverage")&gt;0),"Combo","Single")</f>
        <v>Combo</v>
      </c>
      <c r="K4" t="str">
        <f>IF(SUMPRODUCT((OrderLines!$A$2:$A$925=A4)*OrderLines!$C$2:$C$925*OrderLines!$D$2:$D$925)*G4&gt;40,"HighDisc","OK")</f>
        <v>OK</v>
      </c>
    </row>
    <row r="5" spans="1:11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 s="11">
        <v>0.03</v>
      </c>
      <c r="H5" t="b">
        <f>(COUNTIFS(OrderLines!$A:$A,A5,OrderLines!$F:$F,"Beverage")&gt;0)</f>
        <v>0</v>
      </c>
      <c r="I5">
        <f>SUMIFS(OrderLines!$I:$I,OrderLines!$A:$A,A5)</f>
        <v>477.41460000000001</v>
      </c>
      <c r="J5" t="str">
        <f>IF(AND(COUNTIFS(OrderLines!$A$2:$A$925,A5,OrderLines!$F$2:$F$925,"Hot Meal")&gt;0,COUNTIFS(OrderLines!$A$2:$A$925,A5,OrderLines!$F$2:$F$925,"Beverage")&gt;0),"Combo","Single")</f>
        <v>Single</v>
      </c>
      <c r="K5" t="str">
        <f>IF(SUMPRODUCT((OrderLines!$A$2:$A$925=A5)*OrderLines!$C$2:$C$925*OrderLines!$D$2:$D$925)*G5&gt;40,"HighDisc","OK")</f>
        <v>OK</v>
      </c>
    </row>
    <row r="6" spans="1:11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 s="11">
        <v>0.04</v>
      </c>
      <c r="H6" t="b">
        <f>(COUNTIFS(OrderLines!$A:$A,A6,OrderLines!$F:$F,"Beverage")&gt;0)</f>
        <v>1</v>
      </c>
      <c r="I6">
        <f>SUMIFS(OrderLines!$I:$I,OrderLines!$A:$A,A6)</f>
        <v>95.011200000000002</v>
      </c>
      <c r="J6" t="str">
        <f>IF(AND(COUNTIFS(OrderLines!$A$2:$A$925,A6,OrderLines!$F$2:$F$925,"Hot Meal")&gt;0,COUNTIFS(OrderLines!$A$2:$A$925,A6,OrderLines!$F$2:$F$925,"Beverage")&gt;0),"Combo","Single")</f>
        <v>Single</v>
      </c>
      <c r="K6" t="str">
        <f>IF(SUMPRODUCT((OrderLines!$A$2:$A$925=A6)*OrderLines!$C$2:$C$925*OrderLines!$D$2:$D$925)*G6&gt;40,"HighDisc","OK")</f>
        <v>OK</v>
      </c>
    </row>
    <row r="7" spans="1:11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 s="11">
        <v>0.1</v>
      </c>
      <c r="H7" t="b">
        <f>(COUNTIFS(OrderLines!$A:$A,A7,OrderLines!$F:$F,"Beverage")&gt;0)</f>
        <v>1</v>
      </c>
      <c r="I7">
        <f>SUMIFS(OrderLines!$I:$I,OrderLines!$A:$A,A7)</f>
        <v>54.296999999999997</v>
      </c>
      <c r="J7" t="str">
        <f>IF(AND(COUNTIFS(OrderLines!$A$2:$A$925,A7,OrderLines!$F$2:$F$925,"Hot Meal")&gt;0,COUNTIFS(OrderLines!$A$2:$A$925,A7,OrderLines!$F$2:$F$925,"Beverage")&gt;0),"Combo","Single")</f>
        <v>Single</v>
      </c>
      <c r="K7" t="str">
        <f>IF(SUMPRODUCT((OrderLines!$A$2:$A$925=A7)*OrderLines!$C$2:$C$925*OrderLines!$D$2:$D$925)*G7&gt;40,"HighDisc","OK")</f>
        <v>OK</v>
      </c>
    </row>
    <row r="8" spans="1:11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 s="11">
        <v>7.0000000000000007E-2</v>
      </c>
      <c r="H8" t="b">
        <f>(COUNTIFS(OrderLines!$A:$A,A8,OrderLines!$F:$F,"Beverage")&gt;0)</f>
        <v>1</v>
      </c>
      <c r="I8">
        <f>SUMIFS(OrderLines!$I:$I,OrderLines!$A:$A,A8)</f>
        <v>348.41520000000003</v>
      </c>
      <c r="J8" t="str">
        <f>IF(AND(COUNTIFS(OrderLines!$A$2:$A$925,A8,OrderLines!$F$2:$F$925,"Hot Meal")&gt;0,COUNTIFS(OrderLines!$A$2:$A$925,A8,OrderLines!$F$2:$F$925,"Beverage")&gt;0),"Combo","Single")</f>
        <v>Combo</v>
      </c>
      <c r="K8" t="str">
        <f>IF(SUMPRODUCT((OrderLines!$A$2:$A$925=A8)*OrderLines!$C$2:$C$925*OrderLines!$D$2:$D$925)*G8&gt;40,"HighDisc","OK")</f>
        <v>OK</v>
      </c>
    </row>
    <row r="9" spans="1:11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 s="11">
        <v>0</v>
      </c>
      <c r="H9" t="b">
        <f>(COUNTIFS(OrderLines!$A:$A,A9,OrderLines!$F:$F,"Beverage")&gt;0)</f>
        <v>1</v>
      </c>
      <c r="I9">
        <f>SUMIFS(OrderLines!$I:$I,OrderLines!$A:$A,A9)</f>
        <v>223.75</v>
      </c>
      <c r="J9" t="str">
        <f>IF(AND(COUNTIFS(OrderLines!$A$2:$A$925,A9,OrderLines!$F$2:$F$925,"Hot Meal")&gt;0,COUNTIFS(OrderLines!$A$2:$A$925,A9,OrderLines!$F$2:$F$925,"Beverage")&gt;0),"Combo","Single")</f>
        <v>Single</v>
      </c>
      <c r="K9" t="str">
        <f>IF(SUMPRODUCT((OrderLines!$A$2:$A$925=A9)*OrderLines!$C$2:$C$925*OrderLines!$D$2:$D$925)*G9&gt;40,"HighDisc","OK")</f>
        <v>OK</v>
      </c>
    </row>
    <row r="10" spans="1:11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 s="11">
        <v>7.0000000000000007E-2</v>
      </c>
      <c r="H10" t="b">
        <f>(COUNTIFS(OrderLines!$A:$A,A10,OrderLines!$F:$F,"Beverage")&gt;0)</f>
        <v>0</v>
      </c>
      <c r="I10">
        <f>SUMIFS(OrderLines!$I:$I,OrderLines!$A:$A,A10)</f>
        <v>459.28980000000001</v>
      </c>
      <c r="J10" t="str">
        <f>IF(AND(COUNTIFS(OrderLines!$A$2:$A$925,A10,OrderLines!$F$2:$F$925,"Hot Meal")&gt;0,COUNTIFS(OrderLines!$A$2:$A$925,A10,OrderLines!$F$2:$F$925,"Beverage")&gt;0),"Combo","Single")</f>
        <v>Single</v>
      </c>
      <c r="K10" t="str">
        <f>IF(SUMPRODUCT((OrderLines!$A$2:$A$925=A10)*OrderLines!$C$2:$C$925*OrderLines!$D$2:$D$925)*G10&gt;40,"HighDisc","OK")</f>
        <v>OK</v>
      </c>
    </row>
    <row r="11" spans="1:11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 s="11">
        <v>0.04</v>
      </c>
      <c r="H11" t="b">
        <f>(COUNTIFS(OrderLines!$A:$A,A11,OrderLines!$F:$F,"Beverage")&gt;0)</f>
        <v>1</v>
      </c>
      <c r="I11">
        <f>SUMIFS(OrderLines!$I:$I,OrderLines!$A:$A,A11)</f>
        <v>420.07679999999999</v>
      </c>
      <c r="J11" t="str">
        <f>IF(AND(COUNTIFS(OrderLines!$A$2:$A$925,A11,OrderLines!$F$2:$F$925,"Hot Meal")&gt;0,COUNTIFS(OrderLines!$A$2:$A$925,A11,OrderLines!$F$2:$F$925,"Beverage")&gt;0),"Combo","Single")</f>
        <v>Combo</v>
      </c>
      <c r="K11" t="str">
        <f>IF(SUMPRODUCT((OrderLines!$A$2:$A$925=A11)*OrderLines!$C$2:$C$925*OrderLines!$D$2:$D$925)*G11&gt;40,"HighDisc","OK")</f>
        <v>OK</v>
      </c>
    </row>
    <row r="12" spans="1:11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 s="11">
        <v>0.03</v>
      </c>
      <c r="H12" t="b">
        <f>(COUNTIFS(OrderLines!$A:$A,A12,OrderLines!$F:$F,"Beverage")&gt;0)</f>
        <v>1</v>
      </c>
      <c r="I12">
        <f>SUMIFS(OrderLines!$I:$I,OrderLines!$A:$A,A12)</f>
        <v>27.577099999999998</v>
      </c>
      <c r="J12" t="str">
        <f>IF(AND(COUNTIFS(OrderLines!$A$2:$A$925,A12,OrderLines!$F$2:$F$925,"Hot Meal")&gt;0,COUNTIFS(OrderLines!$A$2:$A$925,A12,OrderLines!$F$2:$F$925,"Beverage")&gt;0),"Combo","Single")</f>
        <v>Single</v>
      </c>
      <c r="K12" t="str">
        <f>IF(SUMPRODUCT((OrderLines!$A$2:$A$925=A12)*OrderLines!$C$2:$C$925*OrderLines!$D$2:$D$925)*G12&gt;40,"HighDisc","OK")</f>
        <v>OK</v>
      </c>
    </row>
    <row r="13" spans="1:11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 s="11">
        <v>0.08</v>
      </c>
      <c r="H13" t="b">
        <f>(COUNTIFS(OrderLines!$A:$A,A13,OrderLines!$F:$F,"Beverage")&gt;0)</f>
        <v>0</v>
      </c>
      <c r="I13">
        <f>SUMIFS(OrderLines!$I:$I,OrderLines!$A:$A,A13)</f>
        <v>98.118000000000009</v>
      </c>
      <c r="J13" t="str">
        <f>IF(AND(COUNTIFS(OrderLines!$A$2:$A$925,A13,OrderLines!$F$2:$F$925,"Hot Meal")&gt;0,COUNTIFS(OrderLines!$A$2:$A$925,A13,OrderLines!$F$2:$F$925,"Beverage")&gt;0),"Combo","Single")</f>
        <v>Single</v>
      </c>
      <c r="K13" t="str">
        <f>IF(SUMPRODUCT((OrderLines!$A$2:$A$925=A13)*OrderLines!$C$2:$C$925*OrderLines!$D$2:$D$925)*G13&gt;40,"HighDisc","OK")</f>
        <v>OK</v>
      </c>
    </row>
    <row r="14" spans="1:11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 s="11">
        <v>0.1</v>
      </c>
      <c r="H14" t="b">
        <f>(COUNTIFS(OrderLines!$A:$A,A14,OrderLines!$F:$F,"Beverage")&gt;0)</f>
        <v>1</v>
      </c>
      <c r="I14">
        <f>SUMIFS(OrderLines!$I:$I,OrderLines!$A:$A,A14)</f>
        <v>807.87599999999998</v>
      </c>
      <c r="J14" t="str">
        <f>IF(AND(COUNTIFS(OrderLines!$A$2:$A$925,A14,OrderLines!$F$2:$F$925,"Hot Meal")&gt;0,COUNTIFS(OrderLines!$A$2:$A$925,A14,OrderLines!$F$2:$F$925,"Beverage")&gt;0),"Combo","Single")</f>
        <v>Combo</v>
      </c>
      <c r="K14" t="str">
        <f>IF(SUMPRODUCT((OrderLines!$A$2:$A$925=A14)*OrderLines!$C$2:$C$925*OrderLines!$D$2:$D$925)*G14&gt;40,"HighDisc","OK")</f>
        <v>HighDisc</v>
      </c>
    </row>
    <row r="15" spans="1:11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 s="11">
        <v>0.1</v>
      </c>
      <c r="H15" t="b">
        <f>(COUNTIFS(OrderLines!$A:$A,A15,OrderLines!$F:$F,"Beverage")&gt;0)</f>
        <v>1</v>
      </c>
      <c r="I15">
        <f>SUMIFS(OrderLines!$I:$I,OrderLines!$A:$A,A15)</f>
        <v>181.47599999999997</v>
      </c>
      <c r="J15" t="str">
        <f>IF(AND(COUNTIFS(OrderLines!$A$2:$A$925,A15,OrderLines!$F$2:$F$925,"Hot Meal")&gt;0,COUNTIFS(OrderLines!$A$2:$A$925,A15,OrderLines!$F$2:$F$925,"Beverage")&gt;0),"Combo","Single")</f>
        <v>Single</v>
      </c>
      <c r="K15" t="str">
        <f>IF(SUMPRODUCT((OrderLines!$A$2:$A$925=A15)*OrderLines!$C$2:$C$925*OrderLines!$D$2:$D$925)*G15&gt;40,"HighDisc","OK")</f>
        <v>OK</v>
      </c>
    </row>
    <row r="16" spans="1:11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 s="11">
        <v>0.03</v>
      </c>
      <c r="H16" t="b">
        <f>(COUNTIFS(OrderLines!$A:$A,A16,OrderLines!$F:$F,"Beverage")&gt;0)</f>
        <v>1</v>
      </c>
      <c r="I16">
        <f>SUMIFS(OrderLines!$I:$I,OrderLines!$A:$A,A16)</f>
        <v>410.18389999999999</v>
      </c>
      <c r="J16" t="str">
        <f>IF(AND(COUNTIFS(OrderLines!$A$2:$A$925,A16,OrderLines!$F$2:$F$925,"Hot Meal")&gt;0,COUNTIFS(OrderLines!$A$2:$A$925,A16,OrderLines!$F$2:$F$925,"Beverage")&gt;0),"Combo","Single")</f>
        <v>Combo</v>
      </c>
      <c r="K16" t="str">
        <f>IF(SUMPRODUCT((OrderLines!$A$2:$A$925=A16)*OrderLines!$C$2:$C$925*OrderLines!$D$2:$D$925)*G16&gt;40,"HighDisc","OK")</f>
        <v>OK</v>
      </c>
    </row>
    <row r="17" spans="1:11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 s="11">
        <v>0.05</v>
      </c>
      <c r="H17" t="b">
        <f>(COUNTIFS(OrderLines!$A:$A,A17,OrderLines!$F:$F,"Beverage")&gt;0)</f>
        <v>0</v>
      </c>
      <c r="I17">
        <f>SUMIFS(OrderLines!$I:$I,OrderLines!$A:$A,A17)</f>
        <v>486.94150000000002</v>
      </c>
      <c r="J17" t="str">
        <f>IF(AND(COUNTIFS(OrderLines!$A$2:$A$925,A17,OrderLines!$F$2:$F$925,"Hot Meal")&gt;0,COUNTIFS(OrderLines!$A$2:$A$925,A17,OrderLines!$F$2:$F$925,"Beverage")&gt;0),"Combo","Single")</f>
        <v>Single</v>
      </c>
      <c r="K17" t="str">
        <f>IF(SUMPRODUCT((OrderLines!$A$2:$A$925=A17)*OrderLines!$C$2:$C$925*OrderLines!$D$2:$D$925)*G17&gt;40,"HighDisc","OK")</f>
        <v>OK</v>
      </c>
    </row>
    <row r="18" spans="1:11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 s="11">
        <v>7.0000000000000007E-2</v>
      </c>
      <c r="H18" t="b">
        <f>(COUNTIFS(OrderLines!$A:$A,A18,OrderLines!$F:$F,"Beverage")&gt;0)</f>
        <v>1</v>
      </c>
      <c r="I18">
        <f>SUMIFS(OrderLines!$I:$I,OrderLines!$A:$A,A18)</f>
        <v>30.671399999999995</v>
      </c>
      <c r="J18" t="str">
        <f>IF(AND(COUNTIFS(OrderLines!$A$2:$A$925,A18,OrderLines!$F$2:$F$925,"Hot Meal")&gt;0,COUNTIFS(OrderLines!$A$2:$A$925,A18,OrderLines!$F$2:$F$925,"Beverage")&gt;0),"Combo","Single")</f>
        <v>Single</v>
      </c>
      <c r="K18" t="str">
        <f>IF(SUMPRODUCT((OrderLines!$A$2:$A$925=A18)*OrderLines!$C$2:$C$925*OrderLines!$D$2:$D$925)*G18&gt;40,"HighDisc","OK")</f>
        <v>OK</v>
      </c>
    </row>
    <row r="19" spans="1:11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 s="11">
        <v>0.1</v>
      </c>
      <c r="H19" t="b">
        <f>(COUNTIFS(OrderLines!$A:$A,A19,OrderLines!$F:$F,"Beverage")&gt;0)</f>
        <v>1</v>
      </c>
      <c r="I19">
        <f>SUMIFS(OrderLines!$I:$I,OrderLines!$A:$A,A19)</f>
        <v>164.48400000000001</v>
      </c>
      <c r="J19" t="str">
        <f>IF(AND(COUNTIFS(OrderLines!$A$2:$A$925,A19,OrderLines!$F$2:$F$925,"Hot Meal")&gt;0,COUNTIFS(OrderLines!$A$2:$A$925,A19,OrderLines!$F$2:$F$925,"Beverage")&gt;0),"Combo","Single")</f>
        <v>Single</v>
      </c>
      <c r="K19" t="str">
        <f>IF(SUMPRODUCT((OrderLines!$A$2:$A$925=A19)*OrderLines!$C$2:$C$925*OrderLines!$D$2:$D$925)*G19&gt;40,"HighDisc","OK")</f>
        <v>OK</v>
      </c>
    </row>
    <row r="20" spans="1:11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 s="11">
        <v>0.04</v>
      </c>
      <c r="H20" t="b">
        <f>(COUNTIFS(OrderLines!$A:$A,A20,OrderLines!$F:$F,"Beverage")&gt;0)</f>
        <v>0</v>
      </c>
      <c r="I20">
        <f>SUMIFS(OrderLines!$I:$I,OrderLines!$A:$A,A20)</f>
        <v>701.52960000000007</v>
      </c>
      <c r="J20" t="str">
        <f>IF(AND(COUNTIFS(OrderLines!$A$2:$A$925,A20,OrderLines!$F$2:$F$925,"Hot Meal")&gt;0,COUNTIFS(OrderLines!$A$2:$A$925,A20,OrderLines!$F$2:$F$925,"Beverage")&gt;0),"Combo","Single")</f>
        <v>Single</v>
      </c>
      <c r="K20" t="str">
        <f>IF(SUMPRODUCT((OrderLines!$A$2:$A$925=A20)*OrderLines!$C$2:$C$925*OrderLines!$D$2:$D$925)*G20&gt;40,"HighDisc","OK")</f>
        <v>OK</v>
      </c>
    </row>
    <row r="21" spans="1:11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 s="11">
        <v>0.05</v>
      </c>
      <c r="H21" t="b">
        <f>(COUNTIFS(OrderLines!$A:$A,A21,OrderLines!$F:$F,"Beverage")&gt;0)</f>
        <v>1</v>
      </c>
      <c r="I21">
        <f>SUMIFS(OrderLines!$I:$I,OrderLines!$A:$A,A21)</f>
        <v>474.75300000000004</v>
      </c>
      <c r="J21" t="str">
        <f>IF(AND(COUNTIFS(OrderLines!$A$2:$A$925,A21,OrderLines!$F$2:$F$925,"Hot Meal")&gt;0,COUNTIFS(OrderLines!$A$2:$A$925,A21,OrderLines!$F$2:$F$925,"Beverage")&gt;0),"Combo","Single")</f>
        <v>Combo</v>
      </c>
      <c r="K21" t="str">
        <f>IF(SUMPRODUCT((OrderLines!$A$2:$A$925=A21)*OrderLines!$C$2:$C$925*OrderLines!$D$2:$D$925)*G21&gt;40,"HighDisc","OK")</f>
        <v>OK</v>
      </c>
    </row>
    <row r="22" spans="1:11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 s="11">
        <v>0.02</v>
      </c>
      <c r="H22" t="b">
        <f>(COUNTIFS(OrderLines!$A:$A,A22,OrderLines!$F:$F,"Beverage")&gt;0)</f>
        <v>0</v>
      </c>
      <c r="I22">
        <f>SUMIFS(OrderLines!$I:$I,OrderLines!$A:$A,A22)</f>
        <v>291.72640000000001</v>
      </c>
      <c r="J22" t="str">
        <f>IF(AND(COUNTIFS(OrderLines!$A$2:$A$925,A22,OrderLines!$F$2:$F$925,"Hot Meal")&gt;0,COUNTIFS(OrderLines!$A$2:$A$925,A22,OrderLines!$F$2:$F$925,"Beverage")&gt;0),"Combo","Single")</f>
        <v>Single</v>
      </c>
      <c r="K22" t="str">
        <f>IF(SUMPRODUCT((OrderLines!$A$2:$A$925=A22)*OrderLines!$C$2:$C$925*OrderLines!$D$2:$D$925)*G22&gt;40,"HighDisc","OK")</f>
        <v>OK</v>
      </c>
    </row>
    <row r="23" spans="1:11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 s="11">
        <v>0.01</v>
      </c>
      <c r="H23" t="b">
        <f>(COUNTIFS(OrderLines!$A:$A,A23,OrderLines!$F:$F,"Beverage")&gt;0)</f>
        <v>1</v>
      </c>
      <c r="I23">
        <f>SUMIFS(OrderLines!$I:$I,OrderLines!$A:$A,A23)</f>
        <v>364.2903</v>
      </c>
      <c r="J23" t="str">
        <f>IF(AND(COUNTIFS(OrderLines!$A$2:$A$925,A23,OrderLines!$F$2:$F$925,"Hot Meal")&gt;0,COUNTIFS(OrderLines!$A$2:$A$925,A23,OrderLines!$F$2:$F$925,"Beverage")&gt;0),"Combo","Single")</f>
        <v>Combo</v>
      </c>
      <c r="K23" t="str">
        <f>IF(SUMPRODUCT((OrderLines!$A$2:$A$925=A23)*OrderLines!$C$2:$C$925*OrderLines!$D$2:$D$925)*G23&gt;40,"HighDisc","OK")</f>
        <v>OK</v>
      </c>
    </row>
    <row r="24" spans="1:11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 s="11">
        <v>0.09</v>
      </c>
      <c r="H24" t="b">
        <f>(COUNTIFS(OrderLines!$A:$A,A24,OrderLines!$F:$F,"Beverage")&gt;0)</f>
        <v>1</v>
      </c>
      <c r="I24">
        <f>SUMIFS(OrderLines!$I:$I,OrderLines!$A:$A,A24)</f>
        <v>242.24200000000002</v>
      </c>
      <c r="J24" t="str">
        <f>IF(AND(COUNTIFS(OrderLines!$A$2:$A$925,A24,OrderLines!$F$2:$F$925,"Hot Meal")&gt;0,COUNTIFS(OrderLines!$A$2:$A$925,A24,OrderLines!$F$2:$F$925,"Beverage")&gt;0),"Combo","Single")</f>
        <v>Combo</v>
      </c>
      <c r="K24" t="str">
        <f>IF(SUMPRODUCT((OrderLines!$A$2:$A$925=A24)*OrderLines!$C$2:$C$925*OrderLines!$D$2:$D$925)*G24&gt;40,"HighDisc","OK")</f>
        <v>OK</v>
      </c>
    </row>
    <row r="25" spans="1:11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 s="11">
        <v>0.11</v>
      </c>
      <c r="H25" t="b">
        <f>(COUNTIFS(OrderLines!$A:$A,A25,OrderLines!$F:$F,"Beverage")&gt;0)</f>
        <v>0</v>
      </c>
      <c r="I25">
        <f>SUMIFS(OrderLines!$I:$I,OrderLines!$A:$A,A25)</f>
        <v>390.88800000000003</v>
      </c>
      <c r="J25" t="str">
        <f>IF(AND(COUNTIFS(OrderLines!$A$2:$A$925,A25,OrderLines!$F$2:$F$925,"Hot Meal")&gt;0,COUNTIFS(OrderLines!$A$2:$A$925,A25,OrderLines!$F$2:$F$925,"Beverage")&gt;0),"Combo","Single")</f>
        <v>Single</v>
      </c>
      <c r="K25" t="str">
        <f>IF(SUMPRODUCT((OrderLines!$A$2:$A$925=A25)*OrderLines!$C$2:$C$925*OrderLines!$D$2:$D$925)*G25&gt;40,"HighDisc","OK")</f>
        <v>HighDisc</v>
      </c>
    </row>
    <row r="26" spans="1:11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 s="11">
        <v>0.06</v>
      </c>
      <c r="H26" t="b">
        <f>(COUNTIFS(OrderLines!$A:$A,A26,OrderLines!$F:$F,"Beverage")&gt;0)</f>
        <v>0</v>
      </c>
      <c r="I26">
        <f>SUMIFS(OrderLines!$I:$I,OrderLines!$A:$A,A26)</f>
        <v>47.178599999999996</v>
      </c>
      <c r="J26" t="str">
        <f>IF(AND(COUNTIFS(OrderLines!$A$2:$A$925,A26,OrderLines!$F$2:$F$925,"Hot Meal")&gt;0,COUNTIFS(OrderLines!$A$2:$A$925,A26,OrderLines!$F$2:$F$925,"Beverage")&gt;0),"Combo","Single")</f>
        <v>Single</v>
      </c>
      <c r="K26" t="str">
        <f>IF(SUMPRODUCT((OrderLines!$A$2:$A$925=A26)*OrderLines!$C$2:$C$925*OrderLines!$D$2:$D$925)*G26&gt;40,"HighDisc","OK")</f>
        <v>OK</v>
      </c>
    </row>
    <row r="27" spans="1:11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 s="11">
        <v>0.1</v>
      </c>
      <c r="H27" t="b">
        <f>(COUNTIFS(OrderLines!$A:$A,A27,OrderLines!$F:$F,"Beverage")&gt;0)</f>
        <v>0</v>
      </c>
      <c r="I27">
        <f>SUMIFS(OrderLines!$I:$I,OrderLines!$A:$A,A27)</f>
        <v>81.459000000000003</v>
      </c>
      <c r="J27" t="str">
        <f>IF(AND(COUNTIFS(OrderLines!$A$2:$A$925,A27,OrderLines!$F$2:$F$925,"Hot Meal")&gt;0,COUNTIFS(OrderLines!$A$2:$A$925,A27,OrderLines!$F$2:$F$925,"Beverage")&gt;0),"Combo","Single")</f>
        <v>Single</v>
      </c>
      <c r="K27" t="str">
        <f>IF(SUMPRODUCT((OrderLines!$A$2:$A$925=A27)*OrderLines!$C$2:$C$925*OrderLines!$D$2:$D$925)*G27&gt;40,"HighDisc","OK")</f>
        <v>OK</v>
      </c>
    </row>
    <row r="28" spans="1:11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 s="11">
        <v>7.0000000000000007E-2</v>
      </c>
      <c r="H28" t="b">
        <f>(COUNTIFS(OrderLines!$A:$A,A28,OrderLines!$F:$F,"Beverage")&gt;0)</f>
        <v>1</v>
      </c>
      <c r="I28">
        <f>SUMIFS(OrderLines!$I:$I,OrderLines!$A:$A,A28)</f>
        <v>839.84580000000005</v>
      </c>
      <c r="J28" t="str">
        <f>IF(AND(COUNTIFS(OrderLines!$A$2:$A$925,A28,OrderLines!$F$2:$F$925,"Hot Meal")&gt;0,COUNTIFS(OrderLines!$A$2:$A$925,A28,OrderLines!$F$2:$F$925,"Beverage")&gt;0),"Combo","Single")</f>
        <v>Combo</v>
      </c>
      <c r="K28" t="str">
        <f>IF(SUMPRODUCT((OrderLines!$A$2:$A$925=A28)*OrderLines!$C$2:$C$925*OrderLines!$D$2:$D$925)*G28&gt;40,"HighDisc","OK")</f>
        <v>HighDisc</v>
      </c>
    </row>
    <row r="29" spans="1:11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 s="11">
        <v>0.03</v>
      </c>
      <c r="H29" t="b">
        <f>(COUNTIFS(OrderLines!$A:$A,A29,OrderLines!$F:$F,"Beverage")&gt;0)</f>
        <v>1</v>
      </c>
      <c r="I29">
        <f>SUMIFS(OrderLines!$I:$I,OrderLines!$A:$A,A29)</f>
        <v>382.71350000000001</v>
      </c>
      <c r="J29" t="str">
        <f>IF(AND(COUNTIFS(OrderLines!$A$2:$A$925,A29,OrderLines!$F$2:$F$925,"Hot Meal")&gt;0,COUNTIFS(OrderLines!$A$2:$A$925,A29,OrderLines!$F$2:$F$925,"Beverage")&gt;0),"Combo","Single")</f>
        <v>Single</v>
      </c>
      <c r="K29" t="str">
        <f>IF(SUMPRODUCT((OrderLines!$A$2:$A$925=A29)*OrderLines!$C$2:$C$925*OrderLines!$D$2:$D$925)*G29&gt;40,"HighDisc","OK")</f>
        <v>OK</v>
      </c>
    </row>
    <row r="30" spans="1:11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 s="11">
        <v>7.0000000000000007E-2</v>
      </c>
      <c r="H30" t="b">
        <f>(COUNTIFS(OrderLines!$A:$A,A30,OrderLines!$F:$F,"Beverage")&gt;0)</f>
        <v>0</v>
      </c>
      <c r="I30">
        <f>SUMIFS(OrderLines!$I:$I,OrderLines!$A:$A,A30)</f>
        <v>140.03009999999998</v>
      </c>
      <c r="J30" t="str">
        <f>IF(AND(COUNTIFS(OrderLines!$A$2:$A$925,A30,OrderLines!$F$2:$F$925,"Hot Meal")&gt;0,COUNTIFS(OrderLines!$A$2:$A$925,A30,OrderLines!$F$2:$F$925,"Beverage")&gt;0),"Combo","Single")</f>
        <v>Single</v>
      </c>
      <c r="K30" t="str">
        <f>IF(SUMPRODUCT((OrderLines!$A$2:$A$925=A30)*OrderLines!$C$2:$C$925*OrderLines!$D$2:$D$925)*G30&gt;40,"HighDisc","OK")</f>
        <v>OK</v>
      </c>
    </row>
    <row r="31" spans="1:11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 s="11">
        <v>0.12</v>
      </c>
      <c r="H31" t="b">
        <f>(COUNTIFS(OrderLines!$A:$A,A31,OrderLines!$F:$F,"Beverage")&gt;0)</f>
        <v>1</v>
      </c>
      <c r="I31">
        <f>SUMIFS(OrderLines!$I:$I,OrderLines!$A:$A,A31)</f>
        <v>365.72800000000001</v>
      </c>
      <c r="J31" t="str">
        <f>IF(AND(COUNTIFS(OrderLines!$A$2:$A$925,A31,OrderLines!$F$2:$F$925,"Hot Meal")&gt;0,COUNTIFS(OrderLines!$A$2:$A$925,A31,OrderLines!$F$2:$F$925,"Beverage")&gt;0),"Combo","Single")</f>
        <v>Combo</v>
      </c>
      <c r="K31" t="str">
        <f>IF(SUMPRODUCT((OrderLines!$A$2:$A$925=A31)*OrderLines!$C$2:$C$925*OrderLines!$D$2:$D$925)*G31&gt;40,"HighDisc","OK")</f>
        <v>HighDisc</v>
      </c>
    </row>
    <row r="32" spans="1:11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 s="11">
        <v>0.06</v>
      </c>
      <c r="H32" t="b">
        <f>(COUNTIFS(OrderLines!$A:$A,A32,OrderLines!$F:$F,"Beverage")&gt;0)</f>
        <v>0</v>
      </c>
      <c r="I32">
        <f>SUMIFS(OrderLines!$I:$I,OrderLines!$A:$A,A32)</f>
        <v>435.97199999999992</v>
      </c>
      <c r="J32" t="str">
        <f>IF(AND(COUNTIFS(OrderLines!$A$2:$A$925,A32,OrderLines!$F$2:$F$925,"Hot Meal")&gt;0,COUNTIFS(OrderLines!$A$2:$A$925,A32,OrderLines!$F$2:$F$925,"Beverage")&gt;0),"Combo","Single")</f>
        <v>Single</v>
      </c>
      <c r="K32" t="str">
        <f>IF(SUMPRODUCT((OrderLines!$A$2:$A$925=A32)*OrderLines!$C$2:$C$925*OrderLines!$D$2:$D$925)*G32&gt;40,"HighDisc","OK")</f>
        <v>OK</v>
      </c>
    </row>
    <row r="33" spans="1:11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 s="11">
        <v>0.12</v>
      </c>
      <c r="H33" t="b">
        <f>(COUNTIFS(OrderLines!$A:$A,A33,OrderLines!$F:$F,"Beverage")&gt;0)</f>
        <v>1</v>
      </c>
      <c r="I33">
        <f>SUMIFS(OrderLines!$I:$I,OrderLines!$A:$A,A33)</f>
        <v>466.18879999999996</v>
      </c>
      <c r="J33" t="str">
        <f>IF(AND(COUNTIFS(OrderLines!$A$2:$A$925,A33,OrderLines!$F$2:$F$925,"Hot Meal")&gt;0,COUNTIFS(OrderLines!$A$2:$A$925,A33,OrderLines!$F$2:$F$925,"Beverage")&gt;0),"Combo","Single")</f>
        <v>Combo</v>
      </c>
      <c r="K33" t="str">
        <f>IF(SUMPRODUCT((OrderLines!$A$2:$A$925=A33)*OrderLines!$C$2:$C$925*OrderLines!$D$2:$D$925)*G33&gt;40,"HighDisc","OK")</f>
        <v>HighDisc</v>
      </c>
    </row>
    <row r="34" spans="1:11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 s="11">
        <v>0</v>
      </c>
      <c r="H34" t="b">
        <f>(COUNTIFS(OrderLines!$A:$A,A34,OrderLines!$F:$F,"Beverage")&gt;0)</f>
        <v>0</v>
      </c>
      <c r="I34">
        <f>SUMIFS(OrderLines!$I:$I,OrderLines!$A:$A,A34)</f>
        <v>390.34999999999997</v>
      </c>
      <c r="J34" t="str">
        <f>IF(AND(COUNTIFS(OrderLines!$A$2:$A$925,A34,OrderLines!$F$2:$F$925,"Hot Meal")&gt;0,COUNTIFS(OrderLines!$A$2:$A$925,A34,OrderLines!$F$2:$F$925,"Beverage")&gt;0),"Combo","Single")</f>
        <v>Single</v>
      </c>
      <c r="K34" t="str">
        <f>IF(SUMPRODUCT((OrderLines!$A$2:$A$925=A34)*OrderLines!$C$2:$C$925*OrderLines!$D$2:$D$925)*G34&gt;40,"HighDisc","OK")</f>
        <v>OK</v>
      </c>
    </row>
    <row r="35" spans="1:11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 s="11">
        <v>0.09</v>
      </c>
      <c r="H35" t="b">
        <f>(COUNTIFS(OrderLines!$A:$A,A35,OrderLines!$F:$F,"Beverage")&gt;0)</f>
        <v>1</v>
      </c>
      <c r="I35">
        <f>SUMIFS(OrderLines!$I:$I,OrderLines!$A:$A,A35)</f>
        <v>86.568299999999994</v>
      </c>
      <c r="J35" t="str">
        <f>IF(AND(COUNTIFS(OrderLines!$A$2:$A$925,A35,OrderLines!$F$2:$F$925,"Hot Meal")&gt;0,COUNTIFS(OrderLines!$A$2:$A$925,A35,OrderLines!$F$2:$F$925,"Beverage")&gt;0),"Combo","Single")</f>
        <v>Single</v>
      </c>
      <c r="K35" t="str">
        <f>IF(SUMPRODUCT((OrderLines!$A$2:$A$925=A35)*OrderLines!$C$2:$C$925*OrderLines!$D$2:$D$925)*G35&gt;40,"HighDisc","OK")</f>
        <v>OK</v>
      </c>
    </row>
    <row r="36" spans="1:11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 s="11">
        <v>0.06</v>
      </c>
      <c r="H36" t="b">
        <f>(COUNTIFS(OrderLines!$A:$A,A36,OrderLines!$F:$F,"Beverage")&gt;0)</f>
        <v>1</v>
      </c>
      <c r="I36">
        <f>SUMIFS(OrderLines!$I:$I,OrderLines!$A:$A,A36)</f>
        <v>636.38</v>
      </c>
      <c r="J36" t="str">
        <f>IF(AND(COUNTIFS(OrderLines!$A$2:$A$925,A36,OrderLines!$F$2:$F$925,"Hot Meal")&gt;0,COUNTIFS(OrderLines!$A$2:$A$925,A36,OrderLines!$F$2:$F$925,"Beverage")&gt;0),"Combo","Single")</f>
        <v>Combo</v>
      </c>
      <c r="K36" t="str">
        <f>IF(SUMPRODUCT((OrderLines!$A$2:$A$925=A36)*OrderLines!$C$2:$C$925*OrderLines!$D$2:$D$925)*G36&gt;40,"HighDisc","OK")</f>
        <v>HighDisc</v>
      </c>
    </row>
    <row r="37" spans="1:11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 s="11">
        <v>0.05</v>
      </c>
      <c r="H37" t="b">
        <f>(COUNTIFS(OrderLines!$A:$A,A37,OrderLines!$F:$F,"Beverage")&gt;0)</f>
        <v>0</v>
      </c>
      <c r="I37">
        <f>SUMIFS(OrderLines!$I:$I,OrderLines!$A:$A,A37)</f>
        <v>209.96899999999999</v>
      </c>
      <c r="J37" t="str">
        <f>IF(AND(COUNTIFS(OrderLines!$A$2:$A$925,A37,OrderLines!$F$2:$F$925,"Hot Meal")&gt;0,COUNTIFS(OrderLines!$A$2:$A$925,A37,OrderLines!$F$2:$F$925,"Beverage")&gt;0),"Combo","Single")</f>
        <v>Single</v>
      </c>
      <c r="K37" t="str">
        <f>IF(SUMPRODUCT((OrderLines!$A$2:$A$925=A37)*OrderLines!$C$2:$C$925*OrderLines!$D$2:$D$925)*G37&gt;40,"HighDisc","OK")</f>
        <v>OK</v>
      </c>
    </row>
    <row r="38" spans="1:11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 s="11">
        <v>0.06</v>
      </c>
      <c r="H38" t="b">
        <f>(COUNTIFS(OrderLines!$A:$A,A38,OrderLines!$F:$F,"Beverage")&gt;0)</f>
        <v>0</v>
      </c>
      <c r="I38">
        <f>SUMIFS(OrderLines!$I:$I,OrderLines!$A:$A,A38)</f>
        <v>321.16039999999998</v>
      </c>
      <c r="J38" t="str">
        <f>IF(AND(COUNTIFS(OrderLines!$A$2:$A$925,A38,OrderLines!$F$2:$F$925,"Hot Meal")&gt;0,COUNTIFS(OrderLines!$A$2:$A$925,A38,OrderLines!$F$2:$F$925,"Beverage")&gt;0),"Combo","Single")</f>
        <v>Single</v>
      </c>
      <c r="K38" t="str">
        <f>IF(SUMPRODUCT((OrderLines!$A$2:$A$925=A38)*OrderLines!$C$2:$C$925*OrderLines!$D$2:$D$925)*G38&gt;40,"HighDisc","OK")</f>
        <v>OK</v>
      </c>
    </row>
    <row r="39" spans="1:11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 s="11">
        <v>0</v>
      </c>
      <c r="H39" t="b">
        <f>(COUNTIFS(OrderLines!$A:$A,A39,OrderLines!$F:$F,"Beverage")&gt;0)</f>
        <v>1</v>
      </c>
      <c r="I39">
        <f>SUMIFS(OrderLines!$I:$I,OrderLines!$A:$A,A39)</f>
        <v>88.16</v>
      </c>
      <c r="J39" t="str">
        <f>IF(AND(COUNTIFS(OrderLines!$A$2:$A$925,A39,OrderLines!$F$2:$F$925,"Hot Meal")&gt;0,COUNTIFS(OrderLines!$A$2:$A$925,A39,OrderLines!$F$2:$F$925,"Beverage")&gt;0),"Combo","Single")</f>
        <v>Single</v>
      </c>
      <c r="K39" t="str">
        <f>IF(SUMPRODUCT((OrderLines!$A$2:$A$925=A39)*OrderLines!$C$2:$C$925*OrderLines!$D$2:$D$925)*G39&gt;40,"HighDisc","OK")</f>
        <v>OK</v>
      </c>
    </row>
    <row r="40" spans="1:11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 s="11">
        <v>0.05</v>
      </c>
      <c r="H40" t="b">
        <f>(COUNTIFS(OrderLines!$A:$A,A40,OrderLines!$F:$F,"Beverage")&gt;0)</f>
        <v>0</v>
      </c>
      <c r="I40">
        <f>SUMIFS(OrderLines!$I:$I,OrderLines!$A:$A,A40)</f>
        <v>486.8655</v>
      </c>
      <c r="J40" t="str">
        <f>IF(AND(COUNTIFS(OrderLines!$A$2:$A$925,A40,OrderLines!$F$2:$F$925,"Hot Meal")&gt;0,COUNTIFS(OrderLines!$A$2:$A$925,A40,OrderLines!$F$2:$F$925,"Beverage")&gt;0),"Combo","Single")</f>
        <v>Single</v>
      </c>
      <c r="K40" t="str">
        <f>IF(SUMPRODUCT((OrderLines!$A$2:$A$925=A40)*OrderLines!$C$2:$C$925*OrderLines!$D$2:$D$925)*G40&gt;40,"HighDisc","OK")</f>
        <v>OK</v>
      </c>
    </row>
    <row r="41" spans="1:11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 s="11">
        <v>7.0000000000000007E-2</v>
      </c>
      <c r="H41" t="b">
        <f>(COUNTIFS(OrderLines!$A:$A,A41,OrderLines!$F:$F,"Beverage")&gt;0)</f>
        <v>1</v>
      </c>
      <c r="I41">
        <f>SUMIFS(OrderLines!$I:$I,OrderLines!$A:$A,A41)</f>
        <v>624.52289999999994</v>
      </c>
      <c r="J41" t="str">
        <f>IF(AND(COUNTIFS(OrderLines!$A$2:$A$925,A41,OrderLines!$F$2:$F$925,"Hot Meal")&gt;0,COUNTIFS(OrderLines!$A$2:$A$925,A41,OrderLines!$F$2:$F$925,"Beverage")&gt;0),"Combo","Single")</f>
        <v>Combo</v>
      </c>
      <c r="K41" t="str">
        <f>IF(SUMPRODUCT((OrderLines!$A$2:$A$925=A41)*OrderLines!$C$2:$C$925*OrderLines!$D$2:$D$925)*G41&gt;40,"HighDisc","OK")</f>
        <v>HighDisc</v>
      </c>
    </row>
    <row r="42" spans="1:11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 s="11">
        <v>0.12</v>
      </c>
      <c r="H42" t="b">
        <f>(COUNTIFS(OrderLines!$A:$A,A42,OrderLines!$F:$F,"Beverage")&gt;0)</f>
        <v>1</v>
      </c>
      <c r="I42">
        <f>SUMIFS(OrderLines!$I:$I,OrderLines!$A:$A,A42)</f>
        <v>149.14240000000001</v>
      </c>
      <c r="J42" t="str">
        <f>IF(AND(COUNTIFS(OrderLines!$A$2:$A$925,A42,OrderLines!$F$2:$F$925,"Hot Meal")&gt;0,COUNTIFS(OrderLines!$A$2:$A$925,A42,OrderLines!$F$2:$F$925,"Beverage")&gt;0),"Combo","Single")</f>
        <v>Single</v>
      </c>
      <c r="K42" t="str">
        <f>IF(SUMPRODUCT((OrderLines!$A$2:$A$925=A42)*OrderLines!$C$2:$C$925*OrderLines!$D$2:$D$925)*G42&gt;40,"HighDisc","OK")</f>
        <v>OK</v>
      </c>
    </row>
    <row r="43" spans="1:11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 s="11">
        <v>0.04</v>
      </c>
      <c r="H43" t="b">
        <f>(COUNTIFS(OrderLines!$A:$A,A43,OrderLines!$F:$F,"Beverage")&gt;0)</f>
        <v>1</v>
      </c>
      <c r="I43">
        <f>SUMIFS(OrderLines!$I:$I,OrderLines!$A:$A,A43)</f>
        <v>346.63679999999999</v>
      </c>
      <c r="J43" t="str">
        <f>IF(AND(COUNTIFS(OrderLines!$A$2:$A$925,A43,OrderLines!$F$2:$F$925,"Hot Meal")&gt;0,COUNTIFS(OrderLines!$A$2:$A$925,A43,OrderLines!$F$2:$F$925,"Beverage")&gt;0),"Combo","Single")</f>
        <v>Combo</v>
      </c>
      <c r="K43" t="str">
        <f>IF(SUMPRODUCT((OrderLines!$A$2:$A$925=A43)*OrderLines!$C$2:$C$925*OrderLines!$D$2:$D$925)*G43&gt;40,"HighDisc","OK")</f>
        <v>OK</v>
      </c>
    </row>
    <row r="44" spans="1:11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 s="11">
        <v>0.03</v>
      </c>
      <c r="H44" t="b">
        <f>(COUNTIFS(OrderLines!$A:$A,A44,OrderLines!$F:$F,"Beverage")&gt;0)</f>
        <v>1</v>
      </c>
      <c r="I44">
        <f>SUMIFS(OrderLines!$I:$I,OrderLines!$A:$A,A44)</f>
        <v>21.533999999999999</v>
      </c>
      <c r="J44" t="str">
        <f>IF(AND(COUNTIFS(OrderLines!$A$2:$A$925,A44,OrderLines!$F$2:$F$925,"Hot Meal")&gt;0,COUNTIFS(OrderLines!$A$2:$A$925,A44,OrderLines!$F$2:$F$925,"Beverage")&gt;0),"Combo","Single")</f>
        <v>Single</v>
      </c>
      <c r="K44" t="str">
        <f>IF(SUMPRODUCT((OrderLines!$A$2:$A$925=A44)*OrderLines!$C$2:$C$925*OrderLines!$D$2:$D$925)*G44&gt;40,"HighDisc","OK")</f>
        <v>OK</v>
      </c>
    </row>
    <row r="45" spans="1:11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 s="11">
        <v>0.04</v>
      </c>
      <c r="H45" t="b">
        <f>(COUNTIFS(OrderLines!$A:$A,A45,OrderLines!$F:$F,"Beverage")&gt;0)</f>
        <v>1</v>
      </c>
      <c r="I45">
        <f>SUMIFS(OrderLines!$I:$I,OrderLines!$A:$A,A45)</f>
        <v>139.38240000000002</v>
      </c>
      <c r="J45" t="str">
        <f>IF(AND(COUNTIFS(OrderLines!$A$2:$A$925,A45,OrderLines!$F$2:$F$925,"Hot Meal")&gt;0,COUNTIFS(OrderLines!$A$2:$A$925,A45,OrderLines!$F$2:$F$925,"Beverage")&gt;0),"Combo","Single")</f>
        <v>Single</v>
      </c>
      <c r="K45" t="str">
        <f>IF(SUMPRODUCT((OrderLines!$A$2:$A$925=A45)*OrderLines!$C$2:$C$925*OrderLines!$D$2:$D$925)*G45&gt;40,"HighDisc","OK")</f>
        <v>OK</v>
      </c>
    </row>
    <row r="46" spans="1:11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 s="11">
        <v>0.1</v>
      </c>
      <c r="H46" t="b">
        <f>(COUNTIFS(OrderLines!$A:$A,A46,OrderLines!$F:$F,"Beverage")&gt;0)</f>
        <v>1</v>
      </c>
      <c r="I46">
        <f>SUMIFS(OrderLines!$I:$I,OrderLines!$A:$A,A46)</f>
        <v>323.90100000000001</v>
      </c>
      <c r="J46" t="str">
        <f>IF(AND(COUNTIFS(OrderLines!$A$2:$A$925,A46,OrderLines!$F$2:$F$925,"Hot Meal")&gt;0,COUNTIFS(OrderLines!$A$2:$A$925,A46,OrderLines!$F$2:$F$925,"Beverage")&gt;0),"Combo","Single")</f>
        <v>Single</v>
      </c>
      <c r="K46" t="str">
        <f>IF(SUMPRODUCT((OrderLines!$A$2:$A$925=A46)*OrderLines!$C$2:$C$925*OrderLines!$D$2:$D$925)*G46&gt;40,"HighDisc","OK")</f>
        <v>OK</v>
      </c>
    </row>
    <row r="47" spans="1:11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 s="11">
        <v>7.0000000000000007E-2</v>
      </c>
      <c r="H47" t="b">
        <f>(COUNTIFS(OrderLines!$A:$A,A47,OrderLines!$F:$F,"Beverage")&gt;0)</f>
        <v>0</v>
      </c>
      <c r="I47">
        <f>SUMIFS(OrderLines!$I:$I,OrderLines!$A:$A,A47)</f>
        <v>37.153500000000001</v>
      </c>
      <c r="J47" t="str">
        <f>IF(AND(COUNTIFS(OrderLines!$A$2:$A$925,A47,OrderLines!$F$2:$F$925,"Hot Meal")&gt;0,COUNTIFS(OrderLines!$A$2:$A$925,A47,OrderLines!$F$2:$F$925,"Beverage")&gt;0),"Combo","Single")</f>
        <v>Single</v>
      </c>
      <c r="K47" t="str">
        <f>IF(SUMPRODUCT((OrderLines!$A$2:$A$925=A47)*OrderLines!$C$2:$C$925*OrderLines!$D$2:$D$925)*G47&gt;40,"HighDisc","OK")</f>
        <v>OK</v>
      </c>
    </row>
    <row r="48" spans="1:11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 s="11">
        <v>0.04</v>
      </c>
      <c r="H48" t="b">
        <f>(COUNTIFS(OrderLines!$A:$A,A48,OrderLines!$F:$F,"Beverage")&gt;0)</f>
        <v>0</v>
      </c>
      <c r="I48">
        <f>SUMIFS(OrderLines!$I:$I,OrderLines!$A:$A,A48)</f>
        <v>595.65120000000002</v>
      </c>
      <c r="J48" t="str">
        <f>IF(AND(COUNTIFS(OrderLines!$A$2:$A$925,A48,OrderLines!$F$2:$F$925,"Hot Meal")&gt;0,COUNTIFS(OrderLines!$A$2:$A$925,A48,OrderLines!$F$2:$F$925,"Beverage")&gt;0),"Combo","Single")</f>
        <v>Single</v>
      </c>
      <c r="K48" t="str">
        <f>IF(SUMPRODUCT((OrderLines!$A$2:$A$925=A48)*OrderLines!$C$2:$C$925*OrderLines!$D$2:$D$925)*G48&gt;40,"HighDisc","OK")</f>
        <v>OK</v>
      </c>
    </row>
    <row r="49" spans="1:11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 s="11">
        <v>0.08</v>
      </c>
      <c r="H49" t="b">
        <f>(COUNTIFS(OrderLines!$A:$A,A49,OrderLines!$F:$F,"Beverage")&gt;0)</f>
        <v>1</v>
      </c>
      <c r="I49">
        <f>SUMIFS(OrderLines!$I:$I,OrderLines!$A:$A,A49)</f>
        <v>179.67599999999999</v>
      </c>
      <c r="J49" t="str">
        <f>IF(AND(COUNTIFS(OrderLines!$A$2:$A$925,A49,OrderLines!$F$2:$F$925,"Hot Meal")&gt;0,COUNTIFS(OrderLines!$A$2:$A$925,A49,OrderLines!$F$2:$F$925,"Beverage")&gt;0),"Combo","Single")</f>
        <v>Single</v>
      </c>
      <c r="K49" t="str">
        <f>IF(SUMPRODUCT((OrderLines!$A$2:$A$925=A49)*OrderLines!$C$2:$C$925*OrderLines!$D$2:$D$925)*G49&gt;40,"HighDisc","OK")</f>
        <v>OK</v>
      </c>
    </row>
    <row r="50" spans="1:11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 s="11">
        <v>0.06</v>
      </c>
      <c r="H50" t="b">
        <f>(COUNTIFS(OrderLines!$A:$A,A50,OrderLines!$F:$F,"Beverage")&gt;0)</f>
        <v>1</v>
      </c>
      <c r="I50">
        <f>SUMIFS(OrderLines!$I:$I,OrderLines!$A:$A,A50)</f>
        <v>275.95579999999995</v>
      </c>
      <c r="J50" t="str">
        <f>IF(AND(COUNTIFS(OrderLines!$A$2:$A$925,A50,OrderLines!$F$2:$F$925,"Hot Meal")&gt;0,COUNTIFS(OrderLines!$A$2:$A$925,A50,OrderLines!$F$2:$F$925,"Beverage")&gt;0),"Combo","Single")</f>
        <v>Combo</v>
      </c>
      <c r="K50" t="str">
        <f>IF(SUMPRODUCT((OrderLines!$A$2:$A$925=A50)*OrderLines!$C$2:$C$925*OrderLines!$D$2:$D$925)*G50&gt;40,"HighDisc","OK")</f>
        <v>OK</v>
      </c>
    </row>
    <row r="51" spans="1:11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 s="11">
        <v>0.1</v>
      </c>
      <c r="H51" t="b">
        <f>(COUNTIFS(OrderLines!$A:$A,A51,OrderLines!$F:$F,"Beverage")&gt;0)</f>
        <v>1</v>
      </c>
      <c r="I51">
        <f>SUMIFS(OrderLines!$I:$I,OrderLines!$A:$A,A51)</f>
        <v>98.576999999999998</v>
      </c>
      <c r="J51" t="str">
        <f>IF(AND(COUNTIFS(OrderLines!$A$2:$A$925,A51,OrderLines!$F$2:$F$925,"Hot Meal")&gt;0,COUNTIFS(OrderLines!$A$2:$A$925,A51,OrderLines!$F$2:$F$925,"Beverage")&gt;0),"Combo","Single")</f>
        <v>Single</v>
      </c>
      <c r="K51" t="str">
        <f>IF(SUMPRODUCT((OrderLines!$A$2:$A$925=A51)*OrderLines!$C$2:$C$925*OrderLines!$D$2:$D$925)*G51&gt;40,"HighDisc","OK")</f>
        <v>OK</v>
      </c>
    </row>
    <row r="52" spans="1:11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 s="11">
        <v>0.03</v>
      </c>
      <c r="H52" t="b">
        <f>(COUNTIFS(OrderLines!$A:$A,A52,OrderLines!$F:$F,"Beverage")&gt;0)</f>
        <v>0</v>
      </c>
      <c r="I52">
        <f>SUMIFS(OrderLines!$I:$I,OrderLines!$A:$A,A52)</f>
        <v>574.76379999999995</v>
      </c>
      <c r="J52" t="str">
        <f>IF(AND(COUNTIFS(OrderLines!$A$2:$A$925,A52,OrderLines!$F$2:$F$925,"Hot Meal")&gt;0,COUNTIFS(OrderLines!$A$2:$A$925,A52,OrderLines!$F$2:$F$925,"Beverage")&gt;0),"Combo","Single")</f>
        <v>Single</v>
      </c>
      <c r="K52" t="str">
        <f>IF(SUMPRODUCT((OrderLines!$A$2:$A$925=A52)*OrderLines!$C$2:$C$925*OrderLines!$D$2:$D$925)*G52&gt;40,"HighDisc","OK")</f>
        <v>OK</v>
      </c>
    </row>
    <row r="53" spans="1:11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 s="11">
        <v>0.05</v>
      </c>
      <c r="H53" t="b">
        <f>(COUNTIFS(OrderLines!$A:$A,A53,OrderLines!$F:$F,"Beverage")&gt;0)</f>
        <v>0</v>
      </c>
      <c r="I53">
        <f>SUMIFS(OrderLines!$I:$I,OrderLines!$A:$A,A53)</f>
        <v>183.8535</v>
      </c>
      <c r="J53" t="str">
        <f>IF(AND(COUNTIFS(OrderLines!$A$2:$A$925,A53,OrderLines!$F$2:$F$925,"Hot Meal")&gt;0,COUNTIFS(OrderLines!$A$2:$A$925,A53,OrderLines!$F$2:$F$925,"Beverage")&gt;0),"Combo","Single")</f>
        <v>Single</v>
      </c>
      <c r="K53" t="str">
        <f>IF(SUMPRODUCT((OrderLines!$A$2:$A$925=A53)*OrderLines!$C$2:$C$925*OrderLines!$D$2:$D$925)*G53&gt;40,"HighDisc","OK")</f>
        <v>OK</v>
      </c>
    </row>
    <row r="54" spans="1:11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 s="11">
        <v>0.04</v>
      </c>
      <c r="H54" t="b">
        <f>(COUNTIFS(OrderLines!$A:$A,A54,OrderLines!$F:$F,"Beverage")&gt;0)</f>
        <v>0</v>
      </c>
      <c r="I54">
        <f>SUMIFS(OrderLines!$I:$I,OrderLines!$A:$A,A54)</f>
        <v>100.70400000000001</v>
      </c>
      <c r="J54" t="str">
        <f>IF(AND(COUNTIFS(OrderLines!$A$2:$A$925,A54,OrderLines!$F$2:$F$925,"Hot Meal")&gt;0,COUNTIFS(OrderLines!$A$2:$A$925,A54,OrderLines!$F$2:$F$925,"Beverage")&gt;0),"Combo","Single")</f>
        <v>Single</v>
      </c>
      <c r="K54" t="str">
        <f>IF(SUMPRODUCT((OrderLines!$A$2:$A$925=A54)*OrderLines!$C$2:$C$925*OrderLines!$D$2:$D$925)*G54&gt;40,"HighDisc","OK")</f>
        <v>OK</v>
      </c>
    </row>
    <row r="55" spans="1:11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 s="11">
        <v>0</v>
      </c>
      <c r="H55" t="b">
        <f>(COUNTIFS(OrderLines!$A:$A,A55,OrderLines!$F:$F,"Beverage")&gt;0)</f>
        <v>0</v>
      </c>
      <c r="I55">
        <f>SUMIFS(OrderLines!$I:$I,OrderLines!$A:$A,A55)</f>
        <v>271.65999999999997</v>
      </c>
      <c r="J55" t="str">
        <f>IF(AND(COUNTIFS(OrderLines!$A$2:$A$925,A55,OrderLines!$F$2:$F$925,"Hot Meal")&gt;0,COUNTIFS(OrderLines!$A$2:$A$925,A55,OrderLines!$F$2:$F$925,"Beverage")&gt;0),"Combo","Single")</f>
        <v>Single</v>
      </c>
      <c r="K55" t="str">
        <f>IF(SUMPRODUCT((OrderLines!$A$2:$A$925=A55)*OrderLines!$C$2:$C$925*OrderLines!$D$2:$D$925)*G55&gt;40,"HighDisc","OK")</f>
        <v>OK</v>
      </c>
    </row>
    <row r="56" spans="1:11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 s="11">
        <v>7.0000000000000007E-2</v>
      </c>
      <c r="H56" t="b">
        <f>(COUNTIFS(OrderLines!$A:$A,A56,OrderLines!$F:$F,"Beverage")&gt;0)</f>
        <v>0</v>
      </c>
      <c r="I56">
        <f>SUMIFS(OrderLines!$I:$I,OrderLines!$A:$A,A56)</f>
        <v>706.71630000000005</v>
      </c>
      <c r="J56" t="str">
        <f>IF(AND(COUNTIFS(OrderLines!$A$2:$A$925,A56,OrderLines!$F$2:$F$925,"Hot Meal")&gt;0,COUNTIFS(OrderLines!$A$2:$A$925,A56,OrderLines!$F$2:$F$925,"Beverage")&gt;0),"Combo","Single")</f>
        <v>Single</v>
      </c>
      <c r="K56" t="str">
        <f>IF(SUMPRODUCT((OrderLines!$A$2:$A$925=A56)*OrderLines!$C$2:$C$925*OrderLines!$D$2:$D$925)*G56&gt;40,"HighDisc","OK")</f>
        <v>HighDisc</v>
      </c>
    </row>
    <row r="57" spans="1:11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 s="11">
        <v>7.0000000000000007E-2</v>
      </c>
      <c r="H57" t="b">
        <f>(COUNTIFS(OrderLines!$A:$A,A57,OrderLines!$F:$F,"Beverage")&gt;0)</f>
        <v>0</v>
      </c>
      <c r="I57">
        <f>SUMIFS(OrderLines!$I:$I,OrderLines!$A:$A,A57)</f>
        <v>462.02399999999994</v>
      </c>
      <c r="J57" t="str">
        <f>IF(AND(COUNTIFS(OrderLines!$A$2:$A$925,A57,OrderLines!$F$2:$F$925,"Hot Meal")&gt;0,COUNTIFS(OrderLines!$A$2:$A$925,A57,OrderLines!$F$2:$F$925,"Beverage")&gt;0),"Combo","Single")</f>
        <v>Single</v>
      </c>
      <c r="K57" t="str">
        <f>IF(SUMPRODUCT((OrderLines!$A$2:$A$925=A57)*OrderLines!$C$2:$C$925*OrderLines!$D$2:$D$925)*G57&gt;40,"HighDisc","OK")</f>
        <v>OK</v>
      </c>
    </row>
    <row r="58" spans="1:11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 s="11">
        <v>0.06</v>
      </c>
      <c r="H58" t="b">
        <f>(COUNTIFS(OrderLines!$A:$A,A58,OrderLines!$F:$F,"Beverage")&gt;0)</f>
        <v>1</v>
      </c>
      <c r="I58">
        <f>SUMIFS(OrderLines!$I:$I,OrderLines!$A:$A,A58)</f>
        <v>240.47079999999997</v>
      </c>
      <c r="J58" t="str">
        <f>IF(AND(COUNTIFS(OrderLines!$A$2:$A$925,A58,OrderLines!$F$2:$F$925,"Hot Meal")&gt;0,COUNTIFS(OrderLines!$A$2:$A$925,A58,OrderLines!$F$2:$F$925,"Beverage")&gt;0),"Combo","Single")</f>
        <v>Single</v>
      </c>
      <c r="K58" t="str">
        <f>IF(SUMPRODUCT((OrderLines!$A$2:$A$925=A58)*OrderLines!$C$2:$C$925*OrderLines!$D$2:$D$925)*G58&gt;40,"HighDisc","OK")</f>
        <v>OK</v>
      </c>
    </row>
    <row r="59" spans="1:11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 s="11">
        <v>0.05</v>
      </c>
      <c r="H59" t="b">
        <f>(COUNTIFS(OrderLines!$A:$A,A59,OrderLines!$F:$F,"Beverage")&gt;0)</f>
        <v>0</v>
      </c>
      <c r="I59">
        <f>SUMIFS(OrderLines!$I:$I,OrderLines!$A:$A,A59)</f>
        <v>233.78549999999998</v>
      </c>
      <c r="J59" t="str">
        <f>IF(AND(COUNTIFS(OrderLines!$A$2:$A$925,A59,OrderLines!$F$2:$F$925,"Hot Meal")&gt;0,COUNTIFS(OrderLines!$A$2:$A$925,A59,OrderLines!$F$2:$F$925,"Beverage")&gt;0),"Combo","Single")</f>
        <v>Single</v>
      </c>
      <c r="K59" t="str">
        <f>IF(SUMPRODUCT((OrderLines!$A$2:$A$925=A59)*OrderLines!$C$2:$C$925*OrderLines!$D$2:$D$925)*G59&gt;40,"HighDisc","OK")</f>
        <v>OK</v>
      </c>
    </row>
    <row r="60" spans="1:11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 s="11">
        <v>0</v>
      </c>
      <c r="H60" t="b">
        <f>(COUNTIFS(OrderLines!$A:$A,A60,OrderLines!$F:$F,"Beverage")&gt;0)</f>
        <v>0</v>
      </c>
      <c r="I60">
        <f>SUMIFS(OrderLines!$I:$I,OrderLines!$A:$A,A60)</f>
        <v>662.52</v>
      </c>
      <c r="J60" t="str">
        <f>IF(AND(COUNTIFS(OrderLines!$A$2:$A$925,A60,OrderLines!$F$2:$F$925,"Hot Meal")&gt;0,COUNTIFS(OrderLines!$A$2:$A$925,A60,OrderLines!$F$2:$F$925,"Beverage")&gt;0),"Combo","Single")</f>
        <v>Single</v>
      </c>
      <c r="K60" t="str">
        <f>IF(SUMPRODUCT((OrderLines!$A$2:$A$925=A60)*OrderLines!$C$2:$C$925*OrderLines!$D$2:$D$925)*G60&gt;40,"HighDisc","OK")</f>
        <v>OK</v>
      </c>
    </row>
    <row r="61" spans="1:11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 s="11">
        <v>0.04</v>
      </c>
      <c r="H61" t="b">
        <f>(COUNTIFS(OrderLines!$A:$A,A61,OrderLines!$F:$F,"Beverage")&gt;0)</f>
        <v>0</v>
      </c>
      <c r="I61">
        <f>SUMIFS(OrderLines!$I:$I,OrderLines!$A:$A,A61)</f>
        <v>710.06400000000008</v>
      </c>
      <c r="J61" t="str">
        <f>IF(AND(COUNTIFS(OrderLines!$A$2:$A$925,A61,OrderLines!$F$2:$F$925,"Hot Meal")&gt;0,COUNTIFS(OrderLines!$A$2:$A$925,A61,OrderLines!$F$2:$F$925,"Beverage")&gt;0),"Combo","Single")</f>
        <v>Single</v>
      </c>
      <c r="K61" t="str">
        <f>IF(SUMPRODUCT((OrderLines!$A$2:$A$925=A61)*OrderLines!$C$2:$C$925*OrderLines!$D$2:$D$925)*G61&gt;40,"HighDisc","OK")</f>
        <v>OK</v>
      </c>
    </row>
    <row r="62" spans="1:11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 s="11">
        <v>0.05</v>
      </c>
      <c r="H62" t="b">
        <f>(COUNTIFS(OrderLines!$A:$A,A62,OrderLines!$F:$F,"Beverage")&gt;0)</f>
        <v>1</v>
      </c>
      <c r="I62">
        <f>SUMIFS(OrderLines!$I:$I,OrderLines!$A:$A,A62)</f>
        <v>252.66200000000001</v>
      </c>
      <c r="J62" t="str">
        <f>IF(AND(COUNTIFS(OrderLines!$A$2:$A$925,A62,OrderLines!$F$2:$F$925,"Hot Meal")&gt;0,COUNTIFS(OrderLines!$A$2:$A$925,A62,OrderLines!$F$2:$F$925,"Beverage")&gt;0),"Combo","Single")</f>
        <v>Single</v>
      </c>
      <c r="K62" t="str">
        <f>IF(SUMPRODUCT((OrderLines!$A$2:$A$925=A62)*OrderLines!$C$2:$C$925*OrderLines!$D$2:$D$925)*G62&gt;40,"HighDisc","OK")</f>
        <v>OK</v>
      </c>
    </row>
    <row r="63" spans="1:11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 s="11">
        <v>0.03</v>
      </c>
      <c r="H63" t="b">
        <f>(COUNTIFS(OrderLines!$A:$A,A63,OrderLines!$F:$F,"Beverage")&gt;0)</f>
        <v>1</v>
      </c>
      <c r="I63">
        <f>SUMIFS(OrderLines!$I:$I,OrderLines!$A:$A,A63)</f>
        <v>285.45159999999998</v>
      </c>
      <c r="J63" t="str">
        <f>IF(AND(COUNTIFS(OrderLines!$A$2:$A$925,A63,OrderLines!$F$2:$F$925,"Hot Meal")&gt;0,COUNTIFS(OrderLines!$A$2:$A$925,A63,OrderLines!$F$2:$F$925,"Beverage")&gt;0),"Combo","Single")</f>
        <v>Single</v>
      </c>
      <c r="K63" t="str">
        <f>IF(SUMPRODUCT((OrderLines!$A$2:$A$925=A63)*OrderLines!$C$2:$C$925*OrderLines!$D$2:$D$925)*G63&gt;40,"HighDisc","OK")</f>
        <v>OK</v>
      </c>
    </row>
    <row r="64" spans="1:11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 s="11">
        <v>0.05</v>
      </c>
      <c r="H64" t="b">
        <f>(COUNTIFS(OrderLines!$A:$A,A64,OrderLines!$F:$F,"Beverage")&gt;0)</f>
        <v>0</v>
      </c>
      <c r="I64">
        <f>SUMIFS(OrderLines!$I:$I,OrderLines!$A:$A,A64)</f>
        <v>145.44499999999999</v>
      </c>
      <c r="J64" t="str">
        <f>IF(AND(COUNTIFS(OrderLines!$A$2:$A$925,A64,OrderLines!$F$2:$F$925,"Hot Meal")&gt;0,COUNTIFS(OrderLines!$A$2:$A$925,A64,OrderLines!$F$2:$F$925,"Beverage")&gt;0),"Combo","Single")</f>
        <v>Single</v>
      </c>
      <c r="K64" t="str">
        <f>IF(SUMPRODUCT((OrderLines!$A$2:$A$925=A64)*OrderLines!$C$2:$C$925*OrderLines!$D$2:$D$925)*G64&gt;40,"HighDisc","OK")</f>
        <v>OK</v>
      </c>
    </row>
    <row r="65" spans="1:11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 s="11">
        <v>0.08</v>
      </c>
      <c r="H65" t="b">
        <f>(COUNTIFS(OrderLines!$A:$A,A65,OrderLines!$F:$F,"Beverage")&gt;0)</f>
        <v>1</v>
      </c>
      <c r="I65">
        <f>SUMIFS(OrderLines!$I:$I,OrderLines!$A:$A,A65)</f>
        <v>18.501200000000001</v>
      </c>
      <c r="J65" t="str">
        <f>IF(AND(COUNTIFS(OrderLines!$A$2:$A$925,A65,OrderLines!$F$2:$F$925,"Hot Meal")&gt;0,COUNTIFS(OrderLines!$A$2:$A$925,A65,OrderLines!$F$2:$F$925,"Beverage")&gt;0),"Combo","Single")</f>
        <v>Single</v>
      </c>
      <c r="K65" t="str">
        <f>IF(SUMPRODUCT((OrderLines!$A$2:$A$925=A65)*OrderLines!$C$2:$C$925*OrderLines!$D$2:$D$925)*G65&gt;40,"HighDisc","OK")</f>
        <v>OK</v>
      </c>
    </row>
    <row r="66" spans="1:11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 s="11">
        <v>0.14000000000000001</v>
      </c>
      <c r="H66" t="b">
        <f>(COUNTIFS(OrderLines!$A:$A,A66,OrderLines!$F:$F,"Beverage")&gt;0)</f>
        <v>1</v>
      </c>
      <c r="I66">
        <f>SUMIFS(OrderLines!$I:$I,OrderLines!$A:$A,A66)</f>
        <v>587.66380000000004</v>
      </c>
      <c r="J66" t="str">
        <f>IF(AND(COUNTIFS(OrderLines!$A$2:$A$925,A66,OrderLines!$F$2:$F$925,"Hot Meal")&gt;0,COUNTIFS(OrderLines!$A$2:$A$925,A66,OrderLines!$F$2:$F$925,"Beverage")&gt;0),"Combo","Single")</f>
        <v>Combo</v>
      </c>
      <c r="K66" t="str">
        <f>IF(SUMPRODUCT((OrderLines!$A$2:$A$925=A66)*OrderLines!$C$2:$C$925*OrderLines!$D$2:$D$925)*G66&gt;40,"HighDisc","OK")</f>
        <v>HighDisc</v>
      </c>
    </row>
    <row r="67" spans="1:11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 s="11">
        <v>7.0000000000000007E-2</v>
      </c>
      <c r="H67" t="b">
        <f>(COUNTIFS(OrderLines!$A:$A,A67,OrderLines!$F:$F,"Beverage")&gt;0)</f>
        <v>0</v>
      </c>
      <c r="I67">
        <f>SUMIFS(OrderLines!$I:$I,OrderLines!$A:$A,A67)</f>
        <v>1009.5894</v>
      </c>
      <c r="J67" t="str">
        <f>IF(AND(COUNTIFS(OrderLines!$A$2:$A$925,A67,OrderLines!$F$2:$F$925,"Hot Meal")&gt;0,COUNTIFS(OrderLines!$A$2:$A$925,A67,OrderLines!$F$2:$F$925,"Beverage")&gt;0),"Combo","Single")</f>
        <v>Single</v>
      </c>
      <c r="K67" t="str">
        <f>IF(SUMPRODUCT((OrderLines!$A$2:$A$925=A67)*OrderLines!$C$2:$C$925*OrderLines!$D$2:$D$925)*G67&gt;40,"HighDisc","OK")</f>
        <v>HighDisc</v>
      </c>
    </row>
    <row r="68" spans="1:11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 s="11">
        <v>7.0000000000000007E-2</v>
      </c>
      <c r="H68" t="b">
        <f>(COUNTIFS(OrderLines!$A:$A,A68,OrderLines!$F:$F,"Beverage")&gt;0)</f>
        <v>1</v>
      </c>
      <c r="I68">
        <f>SUMIFS(OrderLines!$I:$I,OrderLines!$A:$A,A68)</f>
        <v>337.50630000000001</v>
      </c>
      <c r="J68" t="str">
        <f>IF(AND(COUNTIFS(OrderLines!$A$2:$A$925,A68,OrderLines!$F$2:$F$925,"Hot Meal")&gt;0,COUNTIFS(OrderLines!$A$2:$A$925,A68,OrderLines!$F$2:$F$925,"Beverage")&gt;0),"Combo","Single")</f>
        <v>Single</v>
      </c>
      <c r="K68" t="str">
        <f>IF(SUMPRODUCT((OrderLines!$A$2:$A$925=A68)*OrderLines!$C$2:$C$925*OrderLines!$D$2:$D$925)*G68&gt;40,"HighDisc","OK")</f>
        <v>OK</v>
      </c>
    </row>
    <row r="69" spans="1:11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 s="11">
        <v>0.06</v>
      </c>
      <c r="H69" t="b">
        <f>(COUNTIFS(OrderLines!$A:$A,A69,OrderLines!$F:$F,"Beverage")&gt;0)</f>
        <v>1</v>
      </c>
      <c r="I69">
        <f>SUMIFS(OrderLines!$I:$I,OrderLines!$A:$A,A69)</f>
        <v>373.89439999999996</v>
      </c>
      <c r="J69" t="str">
        <f>IF(AND(COUNTIFS(OrderLines!$A$2:$A$925,A69,OrderLines!$F$2:$F$925,"Hot Meal")&gt;0,COUNTIFS(OrderLines!$A$2:$A$925,A69,OrderLines!$F$2:$F$925,"Beverage")&gt;0),"Combo","Single")</f>
        <v>Combo</v>
      </c>
      <c r="K69" t="str">
        <f>IF(SUMPRODUCT((OrderLines!$A$2:$A$925=A69)*OrderLines!$C$2:$C$925*OrderLines!$D$2:$D$925)*G69&gt;40,"HighDisc","OK")</f>
        <v>OK</v>
      </c>
    </row>
    <row r="70" spans="1:11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 s="11">
        <v>0</v>
      </c>
      <c r="H70" t="b">
        <f>(COUNTIFS(OrderLines!$A:$A,A70,OrderLines!$F:$F,"Beverage")&gt;0)</f>
        <v>0</v>
      </c>
      <c r="I70">
        <f>SUMIFS(OrderLines!$I:$I,OrderLines!$A:$A,A70)</f>
        <v>1539.5700000000002</v>
      </c>
      <c r="J70" t="str">
        <f>IF(AND(COUNTIFS(OrderLines!$A$2:$A$925,A70,OrderLines!$F$2:$F$925,"Hot Meal")&gt;0,COUNTIFS(OrderLines!$A$2:$A$925,A70,OrderLines!$F$2:$F$925,"Beverage")&gt;0),"Combo","Single")</f>
        <v>Single</v>
      </c>
      <c r="K70" t="str">
        <f>IF(SUMPRODUCT((OrderLines!$A$2:$A$925=A70)*OrderLines!$C$2:$C$925*OrderLines!$D$2:$D$925)*G70&gt;40,"HighDisc","OK")</f>
        <v>OK</v>
      </c>
    </row>
    <row r="71" spans="1:11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 s="11">
        <v>0.06</v>
      </c>
      <c r="H71" t="b">
        <f>(COUNTIFS(OrderLines!$A:$A,A71,OrderLines!$F:$F,"Beverage")&gt;0)</f>
        <v>1</v>
      </c>
      <c r="I71">
        <f>SUMIFS(OrderLines!$I:$I,OrderLines!$A:$A,A71)</f>
        <v>56.710199999999993</v>
      </c>
      <c r="J71" t="str">
        <f>IF(AND(COUNTIFS(OrderLines!$A$2:$A$925,A71,OrderLines!$F$2:$F$925,"Hot Meal")&gt;0,COUNTIFS(OrderLines!$A$2:$A$925,A71,OrderLines!$F$2:$F$925,"Beverage")&gt;0),"Combo","Single")</f>
        <v>Single</v>
      </c>
      <c r="K71" t="str">
        <f>IF(SUMPRODUCT((OrderLines!$A$2:$A$925=A71)*OrderLines!$C$2:$C$925*OrderLines!$D$2:$D$925)*G71&gt;40,"HighDisc","OK")</f>
        <v>OK</v>
      </c>
    </row>
    <row r="72" spans="1:11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 s="11">
        <v>0.06</v>
      </c>
      <c r="H72" t="b">
        <f>(COUNTIFS(OrderLines!$A:$A,A72,OrderLines!$F:$F,"Beverage")&gt;0)</f>
        <v>0</v>
      </c>
      <c r="I72">
        <f>SUMIFS(OrderLines!$I:$I,OrderLines!$A:$A,A72)</f>
        <v>304.49419999999998</v>
      </c>
      <c r="J72" t="str">
        <f>IF(AND(COUNTIFS(OrderLines!$A$2:$A$925,A72,OrderLines!$F$2:$F$925,"Hot Meal")&gt;0,COUNTIFS(OrderLines!$A$2:$A$925,A72,OrderLines!$F$2:$F$925,"Beverage")&gt;0),"Combo","Single")</f>
        <v>Single</v>
      </c>
      <c r="K72" t="str">
        <f>IF(SUMPRODUCT((OrderLines!$A$2:$A$925=A72)*OrderLines!$C$2:$C$925*OrderLines!$D$2:$D$925)*G72&gt;40,"HighDisc","OK")</f>
        <v>OK</v>
      </c>
    </row>
    <row r="73" spans="1:11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 s="11">
        <v>0.16</v>
      </c>
      <c r="H73" t="b">
        <f>(COUNTIFS(OrderLines!$A:$A,A73,OrderLines!$F:$F,"Beverage")&gt;0)</f>
        <v>1</v>
      </c>
      <c r="I73">
        <f>SUMIFS(OrderLines!$I:$I,OrderLines!$A:$A,A73)</f>
        <v>336.36119999999994</v>
      </c>
      <c r="J73" t="str">
        <f>IF(AND(COUNTIFS(OrderLines!$A$2:$A$925,A73,OrderLines!$F$2:$F$925,"Hot Meal")&gt;0,COUNTIFS(OrderLines!$A$2:$A$925,A73,OrderLines!$F$2:$F$925,"Beverage")&gt;0),"Combo","Single")</f>
        <v>Combo</v>
      </c>
      <c r="K73" t="str">
        <f>IF(SUMPRODUCT((OrderLines!$A$2:$A$925=A73)*OrderLines!$C$2:$C$925*OrderLines!$D$2:$D$925)*G73&gt;40,"HighDisc","OK")</f>
        <v>HighDisc</v>
      </c>
    </row>
    <row r="74" spans="1:11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 s="11">
        <v>0.05</v>
      </c>
      <c r="H74" t="b">
        <f>(COUNTIFS(OrderLines!$A:$A,A74,OrderLines!$F:$F,"Beverage")&gt;0)</f>
        <v>0</v>
      </c>
      <c r="I74">
        <f>SUMIFS(OrderLines!$I:$I,OrderLines!$A:$A,A74)</f>
        <v>95.36099999999999</v>
      </c>
      <c r="J74" t="str">
        <f>IF(AND(COUNTIFS(OrderLines!$A$2:$A$925,A74,OrderLines!$F$2:$F$925,"Hot Meal")&gt;0,COUNTIFS(OrderLines!$A$2:$A$925,A74,OrderLines!$F$2:$F$925,"Beverage")&gt;0),"Combo","Single")</f>
        <v>Single</v>
      </c>
      <c r="K74" t="str">
        <f>IF(SUMPRODUCT((OrderLines!$A$2:$A$925=A74)*OrderLines!$C$2:$C$925*OrderLines!$D$2:$D$925)*G74&gt;40,"HighDisc","OK")</f>
        <v>OK</v>
      </c>
    </row>
    <row r="75" spans="1:11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 s="11">
        <v>7.0000000000000007E-2</v>
      </c>
      <c r="H75" t="b">
        <f>(COUNTIFS(OrderLines!$A:$A,A75,OrderLines!$F:$F,"Beverage")&gt;0)</f>
        <v>1</v>
      </c>
      <c r="I75">
        <f>SUMIFS(OrderLines!$I:$I,OrderLines!$A:$A,A75)</f>
        <v>835.66079999999988</v>
      </c>
      <c r="J75" t="str">
        <f>IF(AND(COUNTIFS(OrderLines!$A$2:$A$925,A75,OrderLines!$F$2:$F$925,"Hot Meal")&gt;0,COUNTIFS(OrderLines!$A$2:$A$925,A75,OrderLines!$F$2:$F$925,"Beverage")&gt;0),"Combo","Single")</f>
        <v>Combo</v>
      </c>
      <c r="K75" t="str">
        <f>IF(SUMPRODUCT((OrderLines!$A$2:$A$925=A75)*OrderLines!$C$2:$C$925*OrderLines!$D$2:$D$925)*G75&gt;40,"HighDisc","OK")</f>
        <v>HighDisc</v>
      </c>
    </row>
    <row r="76" spans="1:11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 s="11">
        <v>0.06</v>
      </c>
      <c r="H76" t="b">
        <f>(COUNTIFS(OrderLines!$A:$A,A76,OrderLines!$F:$F,"Beverage")&gt;0)</f>
        <v>1</v>
      </c>
      <c r="I76">
        <f>SUMIFS(OrderLines!$I:$I,OrderLines!$A:$A,A76)</f>
        <v>512.8922</v>
      </c>
      <c r="J76" t="str">
        <f>IF(AND(COUNTIFS(OrderLines!$A$2:$A$925,A76,OrderLines!$F$2:$F$925,"Hot Meal")&gt;0,COUNTIFS(OrderLines!$A$2:$A$925,A76,OrderLines!$F$2:$F$925,"Beverage")&gt;0),"Combo","Single")</f>
        <v>Combo</v>
      </c>
      <c r="K76" t="str">
        <f>IF(SUMPRODUCT((OrderLines!$A$2:$A$925=A76)*OrderLines!$C$2:$C$925*OrderLines!$D$2:$D$925)*G76&gt;40,"HighDisc","OK")</f>
        <v>OK</v>
      </c>
    </row>
    <row r="77" spans="1:11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 s="11">
        <v>0.01</v>
      </c>
      <c r="H77" t="b">
        <f>(COUNTIFS(OrderLines!$A:$A,A77,OrderLines!$F:$F,"Beverage")&gt;0)</f>
        <v>0</v>
      </c>
      <c r="I77">
        <f>SUMIFS(OrderLines!$I:$I,OrderLines!$A:$A,A77)</f>
        <v>393.21810000000005</v>
      </c>
      <c r="J77" t="str">
        <f>IF(AND(COUNTIFS(OrderLines!$A$2:$A$925,A77,OrderLines!$F$2:$F$925,"Hot Meal")&gt;0,COUNTIFS(OrderLines!$A$2:$A$925,A77,OrderLines!$F$2:$F$925,"Beverage")&gt;0),"Combo","Single")</f>
        <v>Single</v>
      </c>
      <c r="K77" t="str">
        <f>IF(SUMPRODUCT((OrderLines!$A$2:$A$925=A77)*OrderLines!$C$2:$C$925*OrderLines!$D$2:$D$925)*G77&gt;40,"HighDisc","OK")</f>
        <v>OK</v>
      </c>
    </row>
    <row r="78" spans="1:11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 s="11">
        <v>0.11</v>
      </c>
      <c r="H78" t="b">
        <f>(COUNTIFS(OrderLines!$A:$A,A78,OrderLines!$F:$F,"Beverage")&gt;0)</f>
        <v>1</v>
      </c>
      <c r="I78">
        <f>SUMIFS(OrderLines!$I:$I,OrderLines!$A:$A,A78)</f>
        <v>92.132800000000003</v>
      </c>
      <c r="J78" t="str">
        <f>IF(AND(COUNTIFS(OrderLines!$A$2:$A$925,A78,OrderLines!$F$2:$F$925,"Hot Meal")&gt;0,COUNTIFS(OrderLines!$A$2:$A$925,A78,OrderLines!$F$2:$F$925,"Beverage")&gt;0),"Combo","Single")</f>
        <v>Single</v>
      </c>
      <c r="K78" t="str">
        <f>IF(SUMPRODUCT((OrderLines!$A$2:$A$925=A78)*OrderLines!$C$2:$C$925*OrderLines!$D$2:$D$925)*G78&gt;40,"HighDisc","OK")</f>
        <v>OK</v>
      </c>
    </row>
    <row r="79" spans="1:11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 s="11">
        <v>0.09</v>
      </c>
      <c r="H79" t="b">
        <f>(COUNTIFS(OrderLines!$A:$A,A79,OrderLines!$F:$F,"Beverage")&gt;0)</f>
        <v>1</v>
      </c>
      <c r="I79">
        <f>SUMIFS(OrderLines!$I:$I,OrderLines!$A:$A,A79)</f>
        <v>135.70830000000001</v>
      </c>
      <c r="J79" t="str">
        <f>IF(AND(COUNTIFS(OrderLines!$A$2:$A$925,A79,OrderLines!$F$2:$F$925,"Hot Meal")&gt;0,COUNTIFS(OrderLines!$A$2:$A$925,A79,OrderLines!$F$2:$F$925,"Beverage")&gt;0),"Combo","Single")</f>
        <v>Single</v>
      </c>
      <c r="K79" t="str">
        <f>IF(SUMPRODUCT((OrderLines!$A$2:$A$925=A79)*OrderLines!$C$2:$C$925*OrderLines!$D$2:$D$925)*G79&gt;40,"HighDisc","OK")</f>
        <v>OK</v>
      </c>
    </row>
    <row r="80" spans="1:11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 s="11">
        <v>0.09</v>
      </c>
      <c r="H80" t="b">
        <f>(COUNTIFS(OrderLines!$A:$A,A80,OrderLines!$F:$F,"Beverage")&gt;0)</f>
        <v>1</v>
      </c>
      <c r="I80">
        <f>SUMIFS(OrderLines!$I:$I,OrderLines!$A:$A,A80)</f>
        <v>86.377200000000016</v>
      </c>
      <c r="J80" t="str">
        <f>IF(AND(COUNTIFS(OrderLines!$A$2:$A$925,A80,OrderLines!$F$2:$F$925,"Hot Meal")&gt;0,COUNTIFS(OrderLines!$A$2:$A$925,A80,OrderLines!$F$2:$F$925,"Beverage")&gt;0),"Combo","Single")</f>
        <v>Single</v>
      </c>
      <c r="K80" t="str">
        <f>IF(SUMPRODUCT((OrderLines!$A$2:$A$925=A80)*OrderLines!$C$2:$C$925*OrderLines!$D$2:$D$925)*G80&gt;40,"HighDisc","OK")</f>
        <v>OK</v>
      </c>
    </row>
    <row r="81" spans="1:11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 s="11">
        <v>0.02</v>
      </c>
      <c r="H81" t="b">
        <f>(COUNTIFS(OrderLines!$A:$A,A81,OrderLines!$F:$F,"Beverage")&gt;0)</f>
        <v>1</v>
      </c>
      <c r="I81">
        <f>SUMIFS(OrderLines!$I:$I,OrderLines!$A:$A,A81)</f>
        <v>419.39100000000002</v>
      </c>
      <c r="J81" t="str">
        <f>IF(AND(COUNTIFS(OrderLines!$A$2:$A$925,A81,OrderLines!$F$2:$F$925,"Hot Meal")&gt;0,COUNTIFS(OrderLines!$A$2:$A$925,A81,OrderLines!$F$2:$F$925,"Beverage")&gt;0),"Combo","Single")</f>
        <v>Combo</v>
      </c>
      <c r="K81" t="str">
        <f>IF(SUMPRODUCT((OrderLines!$A$2:$A$925=A81)*OrderLines!$C$2:$C$925*OrderLines!$D$2:$D$925)*G81&gt;40,"HighDisc","OK")</f>
        <v>OK</v>
      </c>
    </row>
    <row r="82" spans="1:11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 s="11">
        <v>0.12</v>
      </c>
      <c r="H82" t="b">
        <f>(COUNTIFS(OrderLines!$A:$A,A82,OrderLines!$F:$F,"Beverage")&gt;0)</f>
        <v>0</v>
      </c>
      <c r="I82">
        <f>SUMIFS(OrderLines!$I:$I,OrderLines!$A:$A,A82)</f>
        <v>44.167200000000001</v>
      </c>
      <c r="J82" t="str">
        <f>IF(AND(COUNTIFS(OrderLines!$A$2:$A$925,A82,OrderLines!$F$2:$F$925,"Hot Meal")&gt;0,COUNTIFS(OrderLines!$A$2:$A$925,A82,OrderLines!$F$2:$F$925,"Beverage")&gt;0),"Combo","Single")</f>
        <v>Single</v>
      </c>
      <c r="K82" t="str">
        <f>IF(SUMPRODUCT((OrderLines!$A$2:$A$925=A82)*OrderLines!$C$2:$C$925*OrderLines!$D$2:$D$925)*G82&gt;40,"HighDisc","OK")</f>
        <v>OK</v>
      </c>
    </row>
    <row r="83" spans="1:11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 s="11">
        <v>0</v>
      </c>
      <c r="H83" t="b">
        <f>(COUNTIFS(OrderLines!$A:$A,A83,OrderLines!$F:$F,"Beverage")&gt;0)</f>
        <v>0</v>
      </c>
      <c r="I83">
        <f>SUMIFS(OrderLines!$I:$I,OrderLines!$A:$A,A83)</f>
        <v>119.85000000000001</v>
      </c>
      <c r="J83" t="str">
        <f>IF(AND(COUNTIFS(OrderLines!$A$2:$A$925,A83,OrderLines!$F$2:$F$925,"Hot Meal")&gt;0,COUNTIFS(OrderLines!$A$2:$A$925,A83,OrderLines!$F$2:$F$925,"Beverage")&gt;0),"Combo","Single")</f>
        <v>Single</v>
      </c>
      <c r="K83" t="str">
        <f>IF(SUMPRODUCT((OrderLines!$A$2:$A$925=A83)*OrderLines!$C$2:$C$925*OrderLines!$D$2:$D$925)*G83&gt;40,"HighDisc","OK")</f>
        <v>OK</v>
      </c>
    </row>
    <row r="84" spans="1:11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 s="11">
        <v>0.08</v>
      </c>
      <c r="H84" t="b">
        <f>(COUNTIFS(OrderLines!$A:$A,A84,OrderLines!$F:$F,"Beverage")&gt;0)</f>
        <v>1</v>
      </c>
      <c r="I84">
        <f>SUMIFS(OrderLines!$I:$I,OrderLines!$A:$A,A84)</f>
        <v>297.28880000000004</v>
      </c>
      <c r="J84" t="str">
        <f>IF(AND(COUNTIFS(OrderLines!$A$2:$A$925,A84,OrderLines!$F$2:$F$925,"Hot Meal")&gt;0,COUNTIFS(OrderLines!$A$2:$A$925,A84,OrderLines!$F$2:$F$925,"Beverage")&gt;0),"Combo","Single")</f>
        <v>Combo</v>
      </c>
      <c r="K84" t="str">
        <f>IF(SUMPRODUCT((OrderLines!$A$2:$A$925=A84)*OrderLines!$C$2:$C$925*OrderLines!$D$2:$D$925)*G84&gt;40,"HighDisc","OK")</f>
        <v>OK</v>
      </c>
    </row>
    <row r="85" spans="1:11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 s="11">
        <v>0.15</v>
      </c>
      <c r="H85" t="b">
        <f>(COUNTIFS(OrderLines!$A:$A,A85,OrderLines!$F:$F,"Beverage")&gt;0)</f>
        <v>1</v>
      </c>
      <c r="I85">
        <f>SUMIFS(OrderLines!$I:$I,OrderLines!$A:$A,A85)</f>
        <v>200.50649999999999</v>
      </c>
      <c r="J85" t="str">
        <f>IF(AND(COUNTIFS(OrderLines!$A$2:$A$925,A85,OrderLines!$F$2:$F$925,"Hot Meal")&gt;0,COUNTIFS(OrderLines!$A$2:$A$925,A85,OrderLines!$F$2:$F$925,"Beverage")&gt;0),"Combo","Single")</f>
        <v>Single</v>
      </c>
      <c r="K85" t="str">
        <f>IF(SUMPRODUCT((OrderLines!$A$2:$A$925=A85)*OrderLines!$C$2:$C$925*OrderLines!$D$2:$D$925)*G85&gt;40,"HighDisc","OK")</f>
        <v>OK</v>
      </c>
    </row>
    <row r="86" spans="1:11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 s="11">
        <v>0.02</v>
      </c>
      <c r="H86" t="b">
        <f>(COUNTIFS(OrderLines!$A:$A,A86,OrderLines!$F:$F,"Beverage")&gt;0)</f>
        <v>0</v>
      </c>
      <c r="I86">
        <f>SUMIFS(OrderLines!$I:$I,OrderLines!$A:$A,A86)</f>
        <v>151.48840000000001</v>
      </c>
      <c r="J86" t="str">
        <f>IF(AND(COUNTIFS(OrderLines!$A$2:$A$925,A86,OrderLines!$F$2:$F$925,"Hot Meal")&gt;0,COUNTIFS(OrderLines!$A$2:$A$925,A86,OrderLines!$F$2:$F$925,"Beverage")&gt;0),"Combo","Single")</f>
        <v>Single</v>
      </c>
      <c r="K86" t="str">
        <f>IF(SUMPRODUCT((OrderLines!$A$2:$A$925=A86)*OrderLines!$C$2:$C$925*OrderLines!$D$2:$D$925)*G86&gt;40,"HighDisc","OK")</f>
        <v>OK</v>
      </c>
    </row>
    <row r="87" spans="1:11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 s="11">
        <v>0.04</v>
      </c>
      <c r="H87" t="b">
        <f>(COUNTIFS(OrderLines!$A:$A,A87,OrderLines!$F:$F,"Beverage")&gt;0)</f>
        <v>1</v>
      </c>
      <c r="I87">
        <f>SUMIFS(OrderLines!$I:$I,OrderLines!$A:$A,A87)</f>
        <v>178.63679999999999</v>
      </c>
      <c r="J87" t="str">
        <f>IF(AND(COUNTIFS(OrderLines!$A$2:$A$925,A87,OrderLines!$F$2:$F$925,"Hot Meal")&gt;0,COUNTIFS(OrderLines!$A$2:$A$925,A87,OrderLines!$F$2:$F$925,"Beverage")&gt;0),"Combo","Single")</f>
        <v>Single</v>
      </c>
      <c r="K87" t="str">
        <f>IF(SUMPRODUCT((OrderLines!$A$2:$A$925=A87)*OrderLines!$C$2:$C$925*OrderLines!$D$2:$D$925)*G87&gt;40,"HighDisc","OK")</f>
        <v>OK</v>
      </c>
    </row>
    <row r="88" spans="1:11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 s="11">
        <v>0.06</v>
      </c>
      <c r="H88" t="b">
        <f>(COUNTIFS(OrderLines!$A:$A,A88,OrderLines!$F:$F,"Beverage")&gt;0)</f>
        <v>1</v>
      </c>
      <c r="I88">
        <f>SUMIFS(OrderLines!$I:$I,OrderLines!$A:$A,A88)</f>
        <v>252.08920000000001</v>
      </c>
      <c r="J88" t="str">
        <f>IF(AND(COUNTIFS(OrderLines!$A$2:$A$925,A88,OrderLines!$F$2:$F$925,"Hot Meal")&gt;0,COUNTIFS(OrderLines!$A$2:$A$925,A88,OrderLines!$F$2:$F$925,"Beverage")&gt;0),"Combo","Single")</f>
        <v>Single</v>
      </c>
      <c r="K88" t="str">
        <f>IF(SUMPRODUCT((OrderLines!$A$2:$A$925=A88)*OrderLines!$C$2:$C$925*OrderLines!$D$2:$D$925)*G88&gt;40,"HighDisc","OK")</f>
        <v>OK</v>
      </c>
    </row>
    <row r="89" spans="1:11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 s="11">
        <v>0.04</v>
      </c>
      <c r="H89" t="b">
        <f>(COUNTIFS(OrderLines!$A:$A,A89,OrderLines!$F:$F,"Beverage")&gt;0)</f>
        <v>0</v>
      </c>
      <c r="I89">
        <f>SUMIFS(OrderLines!$I:$I,OrderLines!$A:$A,A89)</f>
        <v>291.99360000000001</v>
      </c>
      <c r="J89" t="str">
        <f>IF(AND(COUNTIFS(OrderLines!$A$2:$A$925,A89,OrderLines!$F$2:$F$925,"Hot Meal")&gt;0,COUNTIFS(OrderLines!$A$2:$A$925,A89,OrderLines!$F$2:$F$925,"Beverage")&gt;0),"Combo","Single")</f>
        <v>Single</v>
      </c>
      <c r="K89" t="str">
        <f>IF(SUMPRODUCT((OrderLines!$A$2:$A$925=A89)*OrderLines!$C$2:$C$925*OrderLines!$D$2:$D$925)*G89&gt;40,"HighDisc","OK")</f>
        <v>OK</v>
      </c>
    </row>
    <row r="90" spans="1:11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 s="11">
        <v>0</v>
      </c>
      <c r="H90" t="b">
        <f>(COUNTIFS(OrderLines!$A:$A,A90,OrderLines!$F:$F,"Beverage")&gt;0)</f>
        <v>0</v>
      </c>
      <c r="I90">
        <f>SUMIFS(OrderLines!$I:$I,OrderLines!$A:$A,A90)</f>
        <v>658.67000000000007</v>
      </c>
      <c r="J90" t="str">
        <f>IF(AND(COUNTIFS(OrderLines!$A$2:$A$925,A90,OrderLines!$F$2:$F$925,"Hot Meal")&gt;0,COUNTIFS(OrderLines!$A$2:$A$925,A90,OrderLines!$F$2:$F$925,"Beverage")&gt;0),"Combo","Single")</f>
        <v>Single</v>
      </c>
      <c r="K90" t="str">
        <f>IF(SUMPRODUCT((OrderLines!$A$2:$A$925=A90)*OrderLines!$C$2:$C$925*OrderLines!$D$2:$D$925)*G90&gt;40,"HighDisc","OK")</f>
        <v>OK</v>
      </c>
    </row>
    <row r="91" spans="1:11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 s="11">
        <v>0.06</v>
      </c>
      <c r="H91" t="b">
        <f>(COUNTIFS(OrderLines!$A:$A,A91,OrderLines!$F:$F,"Beverage")&gt;0)</f>
        <v>1</v>
      </c>
      <c r="I91">
        <f>SUMIFS(OrderLines!$I:$I,OrderLines!$A:$A,A91)</f>
        <v>714.59739999999999</v>
      </c>
      <c r="J91" t="str">
        <f>IF(AND(COUNTIFS(OrderLines!$A$2:$A$925,A91,OrderLines!$F$2:$F$925,"Hot Meal")&gt;0,COUNTIFS(OrderLines!$A$2:$A$925,A91,OrderLines!$F$2:$F$925,"Beverage")&gt;0),"Combo","Single")</f>
        <v>Combo</v>
      </c>
      <c r="K91" t="str">
        <f>IF(SUMPRODUCT((OrderLines!$A$2:$A$925=A91)*OrderLines!$C$2:$C$925*OrderLines!$D$2:$D$925)*G91&gt;40,"HighDisc","OK")</f>
        <v>HighDisc</v>
      </c>
    </row>
    <row r="92" spans="1:11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 s="11">
        <v>0.02</v>
      </c>
      <c r="H92" t="b">
        <f>(COUNTIFS(OrderLines!$A:$A,A92,OrderLines!$F:$F,"Beverage")&gt;0)</f>
        <v>0</v>
      </c>
      <c r="I92">
        <f>SUMIFS(OrderLines!$I:$I,OrderLines!$A:$A,A92)</f>
        <v>286.94400000000002</v>
      </c>
      <c r="J92" t="str">
        <f>IF(AND(COUNTIFS(OrderLines!$A$2:$A$925,A92,OrderLines!$F$2:$F$925,"Hot Meal")&gt;0,COUNTIFS(OrderLines!$A$2:$A$925,A92,OrderLines!$F$2:$F$925,"Beverage")&gt;0),"Combo","Single")</f>
        <v>Single</v>
      </c>
      <c r="K92" t="str">
        <f>IF(SUMPRODUCT((OrderLines!$A$2:$A$925=A92)*OrderLines!$C$2:$C$925*OrderLines!$D$2:$D$925)*G92&gt;40,"HighDisc","OK")</f>
        <v>OK</v>
      </c>
    </row>
    <row r="93" spans="1:11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 s="11">
        <v>0.08</v>
      </c>
      <c r="H93" t="b">
        <f>(COUNTIFS(OrderLines!$A:$A,A93,OrderLines!$F:$F,"Beverage")&gt;0)</f>
        <v>1</v>
      </c>
      <c r="I93">
        <f>SUMIFS(OrderLines!$I:$I,OrderLines!$A:$A,A93)</f>
        <v>686.02560000000005</v>
      </c>
      <c r="J93" t="str">
        <f>IF(AND(COUNTIFS(OrderLines!$A$2:$A$925,A93,OrderLines!$F$2:$F$925,"Hot Meal")&gt;0,COUNTIFS(OrderLines!$A$2:$A$925,A93,OrderLines!$F$2:$F$925,"Beverage")&gt;0),"Combo","Single")</f>
        <v>Combo</v>
      </c>
      <c r="K93" t="str">
        <f>IF(SUMPRODUCT((OrderLines!$A$2:$A$925=A93)*OrderLines!$C$2:$C$925*OrderLines!$D$2:$D$925)*G93&gt;40,"HighDisc","OK")</f>
        <v>HighDisc</v>
      </c>
    </row>
    <row r="94" spans="1:11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 s="11">
        <v>0.02</v>
      </c>
      <c r="H94" t="b">
        <f>(COUNTIFS(OrderLines!$A:$A,A94,OrderLines!$F:$F,"Beverage")&gt;0)</f>
        <v>0</v>
      </c>
      <c r="I94">
        <f>SUMIFS(OrderLines!$I:$I,OrderLines!$A:$A,A94)</f>
        <v>398.80119999999999</v>
      </c>
      <c r="J94" t="str">
        <f>IF(AND(COUNTIFS(OrderLines!$A$2:$A$925,A94,OrderLines!$F$2:$F$925,"Hot Meal")&gt;0,COUNTIFS(OrderLines!$A$2:$A$925,A94,OrderLines!$F$2:$F$925,"Beverage")&gt;0),"Combo","Single")</f>
        <v>Single</v>
      </c>
      <c r="K94" t="str">
        <f>IF(SUMPRODUCT((OrderLines!$A$2:$A$925=A94)*OrderLines!$C$2:$C$925*OrderLines!$D$2:$D$925)*G94&gt;40,"HighDisc","OK")</f>
        <v>OK</v>
      </c>
    </row>
    <row r="95" spans="1:11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 s="11">
        <v>0.12</v>
      </c>
      <c r="H95" t="b">
        <f>(COUNTIFS(OrderLines!$A:$A,A95,OrderLines!$F:$F,"Beverage")&gt;0)</f>
        <v>1</v>
      </c>
      <c r="I95">
        <f>SUMIFS(OrderLines!$I:$I,OrderLines!$A:$A,A95)</f>
        <v>171.96960000000001</v>
      </c>
      <c r="J95" t="str">
        <f>IF(AND(COUNTIFS(OrderLines!$A$2:$A$925,A95,OrderLines!$F$2:$F$925,"Hot Meal")&gt;0,COUNTIFS(OrderLines!$A$2:$A$925,A95,OrderLines!$F$2:$F$925,"Beverage")&gt;0),"Combo","Single")</f>
        <v>Single</v>
      </c>
      <c r="K95" t="str">
        <f>IF(SUMPRODUCT((OrderLines!$A$2:$A$925=A95)*OrderLines!$C$2:$C$925*OrderLines!$D$2:$D$925)*G95&gt;40,"HighDisc","OK")</f>
        <v>OK</v>
      </c>
    </row>
    <row r="96" spans="1:11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 s="11">
        <v>0.03</v>
      </c>
      <c r="H96" t="b">
        <f>(COUNTIFS(OrderLines!$A:$A,A96,OrderLines!$F:$F,"Beverage")&gt;0)</f>
        <v>0</v>
      </c>
      <c r="I96">
        <f>SUMIFS(OrderLines!$I:$I,OrderLines!$A:$A,A96)</f>
        <v>739.84810000000004</v>
      </c>
      <c r="J96" t="str">
        <f>IF(AND(COUNTIFS(OrderLines!$A$2:$A$925,A96,OrderLines!$F$2:$F$925,"Hot Meal")&gt;0,COUNTIFS(OrderLines!$A$2:$A$925,A96,OrderLines!$F$2:$F$925,"Beverage")&gt;0),"Combo","Single")</f>
        <v>Single</v>
      </c>
      <c r="K96" t="str">
        <f>IF(SUMPRODUCT((OrderLines!$A$2:$A$925=A96)*OrderLines!$C$2:$C$925*OrderLines!$D$2:$D$925)*G96&gt;40,"HighDisc","OK")</f>
        <v>OK</v>
      </c>
    </row>
    <row r="97" spans="1:11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 s="11">
        <v>0.05</v>
      </c>
      <c r="H97" t="b">
        <f>(COUNTIFS(OrderLines!$A:$A,A97,OrderLines!$F:$F,"Beverage")&gt;0)</f>
        <v>0</v>
      </c>
      <c r="I97">
        <f>SUMIFS(OrderLines!$I:$I,OrderLines!$A:$A,A97)</f>
        <v>825.56899999999996</v>
      </c>
      <c r="J97" t="str">
        <f>IF(AND(COUNTIFS(OrderLines!$A$2:$A$925,A97,OrderLines!$F$2:$F$925,"Hot Meal")&gt;0,COUNTIFS(OrderLines!$A$2:$A$925,A97,OrderLines!$F$2:$F$925,"Beverage")&gt;0),"Combo","Single")</f>
        <v>Single</v>
      </c>
      <c r="K97" t="str">
        <f>IF(SUMPRODUCT((OrderLines!$A$2:$A$925=A97)*OrderLines!$C$2:$C$925*OrderLines!$D$2:$D$925)*G97&gt;40,"HighDisc","OK")</f>
        <v>HighDisc</v>
      </c>
    </row>
    <row r="98" spans="1:11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 s="11">
        <v>0.09</v>
      </c>
      <c r="H98" t="b">
        <f>(COUNTIFS(OrderLines!$A:$A,A98,OrderLines!$F:$F,"Beverage")&gt;0)</f>
        <v>1</v>
      </c>
      <c r="I98">
        <f>SUMIFS(OrderLines!$I:$I,OrderLines!$A:$A,A98)</f>
        <v>51.742600000000003</v>
      </c>
      <c r="J98" t="str">
        <f>IF(AND(COUNTIFS(OrderLines!$A$2:$A$925,A98,OrderLines!$F$2:$F$925,"Hot Meal")&gt;0,COUNTIFS(OrderLines!$A$2:$A$925,A98,OrderLines!$F$2:$F$925,"Beverage")&gt;0),"Combo","Single")</f>
        <v>Single</v>
      </c>
      <c r="K98" t="str">
        <f>IF(SUMPRODUCT((OrderLines!$A$2:$A$925=A98)*OrderLines!$C$2:$C$925*OrderLines!$D$2:$D$925)*G98&gt;40,"HighDisc","OK")</f>
        <v>OK</v>
      </c>
    </row>
    <row r="99" spans="1:11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 s="11">
        <v>0.01</v>
      </c>
      <c r="H99" t="b">
        <f>(COUNTIFS(OrderLines!$A:$A,A99,OrderLines!$F:$F,"Beverage")&gt;0)</f>
        <v>1</v>
      </c>
      <c r="I99">
        <f>SUMIFS(OrderLines!$I:$I,OrderLines!$A:$A,A99)</f>
        <v>182.3877</v>
      </c>
      <c r="J99" t="str">
        <f>IF(AND(COUNTIFS(OrderLines!$A$2:$A$925,A99,OrderLines!$F$2:$F$925,"Hot Meal")&gt;0,COUNTIFS(OrderLines!$A$2:$A$925,A99,OrderLines!$F$2:$F$925,"Beverage")&gt;0),"Combo","Single")</f>
        <v>Single</v>
      </c>
      <c r="K99" t="str">
        <f>IF(SUMPRODUCT((OrderLines!$A$2:$A$925=A99)*OrderLines!$C$2:$C$925*OrderLines!$D$2:$D$925)*G99&gt;40,"HighDisc","OK")</f>
        <v>OK</v>
      </c>
    </row>
    <row r="100" spans="1:11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 s="11">
        <v>7.0000000000000007E-2</v>
      </c>
      <c r="H100" t="b">
        <f>(COUNTIFS(OrderLines!$A:$A,A100,OrderLines!$F:$F,"Beverage")&gt;0)</f>
        <v>0</v>
      </c>
      <c r="I100">
        <f>SUMIFS(OrderLines!$I:$I,OrderLines!$A:$A,A100)</f>
        <v>242.30219999999997</v>
      </c>
      <c r="J100" t="str">
        <f>IF(AND(COUNTIFS(OrderLines!$A$2:$A$925,A100,OrderLines!$F$2:$F$925,"Hot Meal")&gt;0,COUNTIFS(OrderLines!$A$2:$A$925,A100,OrderLines!$F$2:$F$925,"Beverage")&gt;0),"Combo","Single")</f>
        <v>Single</v>
      </c>
      <c r="K100" t="str">
        <f>IF(SUMPRODUCT((OrderLines!$A$2:$A$925=A100)*OrderLines!$C$2:$C$925*OrderLines!$D$2:$D$925)*G100&gt;40,"HighDisc","OK")</f>
        <v>OK</v>
      </c>
    </row>
    <row r="101" spans="1:11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 s="11">
        <v>0.11</v>
      </c>
      <c r="H101" t="b">
        <f>(COUNTIFS(OrderLines!$A:$A,A101,OrderLines!$F:$F,"Beverage")&gt;0)</f>
        <v>0</v>
      </c>
      <c r="I101">
        <f>SUMIFS(OrderLines!$I:$I,OrderLines!$A:$A,A101)</f>
        <v>317.98810000000003</v>
      </c>
      <c r="J101" t="str">
        <f>IF(AND(COUNTIFS(OrderLines!$A$2:$A$925,A101,OrderLines!$F$2:$F$925,"Hot Meal")&gt;0,COUNTIFS(OrderLines!$A$2:$A$925,A101,OrderLines!$F$2:$F$925,"Beverage")&gt;0),"Combo","Single")</f>
        <v>Single</v>
      </c>
      <c r="K101" t="str">
        <f>IF(SUMPRODUCT((OrderLines!$A$2:$A$925=A101)*OrderLines!$C$2:$C$925*OrderLines!$D$2:$D$925)*G101&gt;40,"HighDisc","OK")</f>
        <v>OK</v>
      </c>
    </row>
    <row r="102" spans="1:11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 s="11">
        <v>0</v>
      </c>
      <c r="H102" t="b">
        <f>(COUNTIFS(OrderLines!$A:$A,A102,OrderLines!$F:$F,"Beverage")&gt;0)</f>
        <v>1</v>
      </c>
      <c r="I102">
        <f>SUMIFS(OrderLines!$I:$I,OrderLines!$A:$A,A102)</f>
        <v>140.83000000000001</v>
      </c>
      <c r="J102" t="str">
        <f>IF(AND(COUNTIFS(OrderLines!$A$2:$A$925,A102,OrderLines!$F$2:$F$925,"Hot Meal")&gt;0,COUNTIFS(OrderLines!$A$2:$A$925,A102,OrderLines!$F$2:$F$925,"Beverage")&gt;0),"Combo","Single")</f>
        <v>Single</v>
      </c>
      <c r="K102" t="str">
        <f>IF(SUMPRODUCT((OrderLines!$A$2:$A$925=A102)*OrderLines!$C$2:$C$925*OrderLines!$D$2:$D$925)*G102&gt;40,"HighDisc","OK")</f>
        <v>OK</v>
      </c>
    </row>
    <row r="103" spans="1:11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 s="11">
        <v>7.0000000000000007E-2</v>
      </c>
      <c r="H103" t="b">
        <f>(COUNTIFS(OrderLines!$A:$A,A103,OrderLines!$F:$F,"Beverage")&gt;0)</f>
        <v>0</v>
      </c>
      <c r="I103">
        <f>SUMIFS(OrderLines!$I:$I,OrderLines!$A:$A,A103)</f>
        <v>70.791600000000003</v>
      </c>
      <c r="J103" t="str">
        <f>IF(AND(COUNTIFS(OrderLines!$A$2:$A$925,A103,OrderLines!$F$2:$F$925,"Hot Meal")&gt;0,COUNTIFS(OrderLines!$A$2:$A$925,A103,OrderLines!$F$2:$F$925,"Beverage")&gt;0),"Combo","Single")</f>
        <v>Single</v>
      </c>
      <c r="K103" t="str">
        <f>IF(SUMPRODUCT((OrderLines!$A$2:$A$925=A103)*OrderLines!$C$2:$C$925*OrderLines!$D$2:$D$925)*G103&gt;40,"HighDisc","OK")</f>
        <v>OK</v>
      </c>
    </row>
    <row r="104" spans="1:11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 s="11">
        <v>7.0000000000000007E-2</v>
      </c>
      <c r="H104" t="b">
        <f>(COUNTIFS(OrderLines!$A:$A,A104,OrderLines!$F:$F,"Beverage")&gt;0)</f>
        <v>0</v>
      </c>
      <c r="I104">
        <f>SUMIFS(OrderLines!$I:$I,OrderLines!$A:$A,A104)</f>
        <v>131.20439999999999</v>
      </c>
      <c r="J104" t="str">
        <f>IF(AND(COUNTIFS(OrderLines!$A$2:$A$925,A104,OrderLines!$F$2:$F$925,"Hot Meal")&gt;0,COUNTIFS(OrderLines!$A$2:$A$925,A104,OrderLines!$F$2:$F$925,"Beverage")&gt;0),"Combo","Single")</f>
        <v>Single</v>
      </c>
      <c r="K104" t="str">
        <f>IF(SUMPRODUCT((OrderLines!$A$2:$A$925=A104)*OrderLines!$C$2:$C$925*OrderLines!$D$2:$D$925)*G104&gt;40,"HighDisc","OK")</f>
        <v>OK</v>
      </c>
    </row>
    <row r="105" spans="1:11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 s="11">
        <v>0.09</v>
      </c>
      <c r="H105" t="b">
        <f>(COUNTIFS(OrderLines!$A:$A,A105,OrderLines!$F:$F,"Beverage")&gt;0)</f>
        <v>0</v>
      </c>
      <c r="I105">
        <f>SUMIFS(OrderLines!$I:$I,OrderLines!$A:$A,A105)</f>
        <v>49.322000000000003</v>
      </c>
      <c r="J105" t="str">
        <f>IF(AND(COUNTIFS(OrderLines!$A$2:$A$925,A105,OrderLines!$F$2:$F$925,"Hot Meal")&gt;0,COUNTIFS(OrderLines!$A$2:$A$925,A105,OrderLines!$F$2:$F$925,"Beverage")&gt;0),"Combo","Single")</f>
        <v>Single</v>
      </c>
      <c r="K105" t="str">
        <f>IF(SUMPRODUCT((OrderLines!$A$2:$A$925=A105)*OrderLines!$C$2:$C$925*OrderLines!$D$2:$D$925)*G105&gt;40,"HighDisc","OK")</f>
        <v>OK</v>
      </c>
    </row>
    <row r="106" spans="1:11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 s="11">
        <v>0.01</v>
      </c>
      <c r="H106" t="b">
        <f>(COUNTIFS(OrderLines!$A:$A,A106,OrderLines!$F:$F,"Beverage")&gt;0)</f>
        <v>1</v>
      </c>
      <c r="I106">
        <f>SUMIFS(OrderLines!$I:$I,OrderLines!$A:$A,A106)</f>
        <v>30.0366</v>
      </c>
      <c r="J106" t="str">
        <f>IF(AND(COUNTIFS(OrderLines!$A$2:$A$925,A106,OrderLines!$F$2:$F$925,"Hot Meal")&gt;0,COUNTIFS(OrderLines!$A$2:$A$925,A106,OrderLines!$F$2:$F$925,"Beverage")&gt;0),"Combo","Single")</f>
        <v>Single</v>
      </c>
      <c r="K106" t="str">
        <f>IF(SUMPRODUCT((OrderLines!$A$2:$A$925=A106)*OrderLines!$C$2:$C$925*OrderLines!$D$2:$D$925)*G106&gt;40,"HighDisc","OK")</f>
        <v>OK</v>
      </c>
    </row>
    <row r="107" spans="1:11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 s="11">
        <v>0.01</v>
      </c>
      <c r="H107" t="b">
        <f>(COUNTIFS(OrderLines!$A:$A,A107,OrderLines!$F:$F,"Beverage")&gt;0)</f>
        <v>1</v>
      </c>
      <c r="I107">
        <f>SUMIFS(OrderLines!$I:$I,OrderLines!$A:$A,A107)</f>
        <v>423.67050000000006</v>
      </c>
      <c r="J107" t="str">
        <f>IF(AND(COUNTIFS(OrderLines!$A$2:$A$925,A107,OrderLines!$F$2:$F$925,"Hot Meal")&gt;0,COUNTIFS(OrderLines!$A$2:$A$925,A107,OrderLines!$F$2:$F$925,"Beverage")&gt;0),"Combo","Single")</f>
        <v>Combo</v>
      </c>
      <c r="K107" t="str">
        <f>IF(SUMPRODUCT((OrderLines!$A$2:$A$925=A107)*OrderLines!$C$2:$C$925*OrderLines!$D$2:$D$925)*G107&gt;40,"HighDisc","OK")</f>
        <v>OK</v>
      </c>
    </row>
    <row r="108" spans="1:11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 s="11">
        <v>0.08</v>
      </c>
      <c r="H108" t="b">
        <f>(COUNTIFS(OrderLines!$A:$A,A108,OrderLines!$F:$F,"Beverage")&gt;0)</f>
        <v>1</v>
      </c>
      <c r="I108">
        <f>SUMIFS(OrderLines!$I:$I,OrderLines!$A:$A,A108)</f>
        <v>57.426400000000001</v>
      </c>
      <c r="J108" t="str">
        <f>IF(AND(COUNTIFS(OrderLines!$A$2:$A$925,A108,OrderLines!$F$2:$F$925,"Hot Meal")&gt;0,COUNTIFS(OrderLines!$A$2:$A$925,A108,OrderLines!$F$2:$F$925,"Beverage")&gt;0),"Combo","Single")</f>
        <v>Single</v>
      </c>
      <c r="K108" t="str">
        <f>IF(SUMPRODUCT((OrderLines!$A$2:$A$925=A108)*OrderLines!$C$2:$C$925*OrderLines!$D$2:$D$925)*G108&gt;40,"HighDisc","OK")</f>
        <v>OK</v>
      </c>
    </row>
    <row r="109" spans="1:11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 s="11">
        <v>7.0000000000000007E-2</v>
      </c>
      <c r="H109" t="b">
        <f>(COUNTIFS(OrderLines!$A:$A,A109,OrderLines!$F:$F,"Beverage")&gt;0)</f>
        <v>1</v>
      </c>
      <c r="I109">
        <f>SUMIFS(OrderLines!$I:$I,OrderLines!$A:$A,A109)</f>
        <v>200.38709999999998</v>
      </c>
      <c r="J109" t="str">
        <f>IF(AND(COUNTIFS(OrderLines!$A$2:$A$925,A109,OrderLines!$F$2:$F$925,"Hot Meal")&gt;0,COUNTIFS(OrderLines!$A$2:$A$925,A109,OrderLines!$F$2:$F$925,"Beverage")&gt;0),"Combo","Single")</f>
        <v>Single</v>
      </c>
      <c r="K109" t="str">
        <f>IF(SUMPRODUCT((OrderLines!$A$2:$A$925=A109)*OrderLines!$C$2:$C$925*OrderLines!$D$2:$D$925)*G109&gt;40,"HighDisc","OK")</f>
        <v>OK</v>
      </c>
    </row>
    <row r="110" spans="1:11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 s="11">
        <v>7.0000000000000007E-2</v>
      </c>
      <c r="H110" t="b">
        <f>(COUNTIFS(OrderLines!$A:$A,A110,OrderLines!$F:$F,"Beverage")&gt;0)</f>
        <v>1</v>
      </c>
      <c r="I110">
        <f>SUMIFS(OrderLines!$I:$I,OrderLines!$A:$A,A110)</f>
        <v>56.432399999999994</v>
      </c>
      <c r="J110" t="str">
        <f>IF(AND(COUNTIFS(OrderLines!$A$2:$A$925,A110,OrderLines!$F$2:$F$925,"Hot Meal")&gt;0,COUNTIFS(OrderLines!$A$2:$A$925,A110,OrderLines!$F$2:$F$925,"Beverage")&gt;0),"Combo","Single")</f>
        <v>Single</v>
      </c>
      <c r="K110" t="str">
        <f>IF(SUMPRODUCT((OrderLines!$A$2:$A$925=A110)*OrderLines!$C$2:$C$925*OrderLines!$D$2:$D$925)*G110&gt;40,"HighDisc","OK")</f>
        <v>OK</v>
      </c>
    </row>
    <row r="111" spans="1:11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 s="11">
        <v>7.0000000000000007E-2</v>
      </c>
      <c r="H111" t="b">
        <f>(COUNTIFS(OrderLines!$A:$A,A111,OrderLines!$F:$F,"Beverage")&gt;0)</f>
        <v>1</v>
      </c>
      <c r="I111">
        <f>SUMIFS(OrderLines!$I:$I,OrderLines!$A:$A,A111)</f>
        <v>761.72579999999994</v>
      </c>
      <c r="J111" t="str">
        <f>IF(AND(COUNTIFS(OrderLines!$A$2:$A$925,A111,OrderLines!$F$2:$F$925,"Hot Meal")&gt;0,COUNTIFS(OrderLines!$A$2:$A$925,A111,OrderLines!$F$2:$F$925,"Beverage")&gt;0),"Combo","Single")</f>
        <v>Combo</v>
      </c>
      <c r="K111" t="str">
        <f>IF(SUMPRODUCT((OrderLines!$A$2:$A$925=A111)*OrderLines!$C$2:$C$925*OrderLines!$D$2:$D$925)*G111&gt;40,"HighDisc","OK")</f>
        <v>HighDisc</v>
      </c>
    </row>
    <row r="112" spans="1:11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 s="11">
        <v>0.03</v>
      </c>
      <c r="H112" t="b">
        <f>(COUNTIFS(OrderLines!$A:$A,A112,OrderLines!$F:$F,"Beverage")&gt;0)</f>
        <v>1</v>
      </c>
      <c r="I112">
        <f>SUMIFS(OrderLines!$I:$I,OrderLines!$A:$A,A112)</f>
        <v>335.51330000000002</v>
      </c>
      <c r="J112" t="str">
        <f>IF(AND(COUNTIFS(OrderLines!$A$2:$A$925,A112,OrderLines!$F$2:$F$925,"Hot Meal")&gt;0,COUNTIFS(OrderLines!$A$2:$A$925,A112,OrderLines!$F$2:$F$925,"Beverage")&gt;0),"Combo","Single")</f>
        <v>Combo</v>
      </c>
      <c r="K112" t="str">
        <f>IF(SUMPRODUCT((OrderLines!$A$2:$A$925=A112)*OrderLines!$C$2:$C$925*OrderLines!$D$2:$D$925)*G112&gt;40,"HighDisc","OK")</f>
        <v>OK</v>
      </c>
    </row>
    <row r="113" spans="1:11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 s="11">
        <v>7.0000000000000007E-2</v>
      </c>
      <c r="H113" t="b">
        <f>(COUNTIFS(OrderLines!$A:$A,A113,OrderLines!$F:$F,"Beverage")&gt;0)</f>
        <v>1</v>
      </c>
      <c r="I113">
        <f>SUMIFS(OrderLines!$I:$I,OrderLines!$A:$A,A113)</f>
        <v>409.14420000000001</v>
      </c>
      <c r="J113" t="str">
        <f>IF(AND(COUNTIFS(OrderLines!$A$2:$A$925,A113,OrderLines!$F$2:$F$925,"Hot Meal")&gt;0,COUNTIFS(OrderLines!$A$2:$A$925,A113,OrderLines!$F$2:$F$925,"Beverage")&gt;0),"Combo","Single")</f>
        <v>Combo</v>
      </c>
      <c r="K113" t="str">
        <f>IF(SUMPRODUCT((OrderLines!$A$2:$A$925=A113)*OrderLines!$C$2:$C$925*OrderLines!$D$2:$D$925)*G113&gt;40,"HighDisc","OK")</f>
        <v>OK</v>
      </c>
    </row>
    <row r="114" spans="1:11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 s="11">
        <v>7.0000000000000007E-2</v>
      </c>
      <c r="H114" t="b">
        <f>(COUNTIFS(OrderLines!$A:$A,A114,OrderLines!$F:$F,"Beverage")&gt;0)</f>
        <v>0</v>
      </c>
      <c r="I114">
        <f>SUMIFS(OrderLines!$I:$I,OrderLines!$A:$A,A114)</f>
        <v>509.79810000000003</v>
      </c>
      <c r="J114" t="str">
        <f>IF(AND(COUNTIFS(OrderLines!$A$2:$A$925,A114,OrderLines!$F$2:$F$925,"Hot Meal")&gt;0,COUNTIFS(OrderLines!$A$2:$A$925,A114,OrderLines!$F$2:$F$925,"Beverage")&gt;0),"Combo","Single")</f>
        <v>Single</v>
      </c>
      <c r="K114" t="str">
        <f>IF(SUMPRODUCT((OrderLines!$A$2:$A$925=A114)*OrderLines!$C$2:$C$925*OrderLines!$D$2:$D$925)*G114&gt;40,"HighDisc","OK")</f>
        <v>OK</v>
      </c>
    </row>
    <row r="115" spans="1:11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 s="11">
        <v>0.03</v>
      </c>
      <c r="H115" t="b">
        <f>(COUNTIFS(OrderLines!$A:$A,A115,OrderLines!$F:$F,"Beverage")&gt;0)</f>
        <v>0</v>
      </c>
      <c r="I115">
        <f>SUMIFS(OrderLines!$I:$I,OrderLines!$A:$A,A115)</f>
        <v>251.20089999999999</v>
      </c>
      <c r="J115" t="str">
        <f>IF(AND(COUNTIFS(OrderLines!$A$2:$A$925,A115,OrderLines!$F$2:$F$925,"Hot Meal")&gt;0,COUNTIFS(OrderLines!$A$2:$A$925,A115,OrderLines!$F$2:$F$925,"Beverage")&gt;0),"Combo","Single")</f>
        <v>Single</v>
      </c>
      <c r="K115" t="str">
        <f>IF(SUMPRODUCT((OrderLines!$A$2:$A$925=A115)*OrderLines!$C$2:$C$925*OrderLines!$D$2:$D$925)*G115&gt;40,"HighDisc","OK")</f>
        <v>OK</v>
      </c>
    </row>
    <row r="116" spans="1:11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 s="11">
        <v>0.13</v>
      </c>
      <c r="H116" t="b">
        <f>(COUNTIFS(OrderLines!$A:$A,A116,OrderLines!$F:$F,"Beverage")&gt;0)</f>
        <v>1</v>
      </c>
      <c r="I116">
        <f>SUMIFS(OrderLines!$I:$I,OrderLines!$A:$A,A116)</f>
        <v>750.9926999999999</v>
      </c>
      <c r="J116" t="str">
        <f>IF(AND(COUNTIFS(OrderLines!$A$2:$A$925,A116,OrderLines!$F$2:$F$925,"Hot Meal")&gt;0,COUNTIFS(OrderLines!$A$2:$A$925,A116,OrderLines!$F$2:$F$925,"Beverage")&gt;0),"Combo","Single")</f>
        <v>Combo</v>
      </c>
      <c r="K116" t="str">
        <f>IF(SUMPRODUCT((OrderLines!$A$2:$A$925=A116)*OrderLines!$C$2:$C$925*OrderLines!$D$2:$D$925)*G116&gt;40,"HighDisc","OK")</f>
        <v>HighDisc</v>
      </c>
    </row>
    <row r="117" spans="1:11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 s="11">
        <v>0.08</v>
      </c>
      <c r="H117" t="b">
        <f>(COUNTIFS(OrderLines!$A:$A,A117,OrderLines!$F:$F,"Beverage")&gt;0)</f>
        <v>1</v>
      </c>
      <c r="I117">
        <f>SUMIFS(OrderLines!$I:$I,OrderLines!$A:$A,A117)</f>
        <v>376.96080000000006</v>
      </c>
      <c r="J117" t="str">
        <f>IF(AND(COUNTIFS(OrderLines!$A$2:$A$925,A117,OrderLines!$F$2:$F$925,"Hot Meal")&gt;0,COUNTIFS(OrderLines!$A$2:$A$925,A117,OrderLines!$F$2:$F$925,"Beverage")&gt;0),"Combo","Single")</f>
        <v>Combo</v>
      </c>
      <c r="K117" t="str">
        <f>IF(SUMPRODUCT((OrderLines!$A$2:$A$925=A117)*OrderLines!$C$2:$C$925*OrderLines!$D$2:$D$925)*G117&gt;40,"HighDisc","OK")</f>
        <v>OK</v>
      </c>
    </row>
    <row r="118" spans="1:11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 s="11">
        <v>0.01</v>
      </c>
      <c r="H118" t="b">
        <f>(COUNTIFS(OrderLines!$A:$A,A118,OrderLines!$F:$F,"Beverage")&gt;0)</f>
        <v>1</v>
      </c>
      <c r="I118">
        <f>SUMIFS(OrderLines!$I:$I,OrderLines!$A:$A,A118)</f>
        <v>667.4085</v>
      </c>
      <c r="J118" t="str">
        <f>IF(AND(COUNTIFS(OrderLines!$A$2:$A$925,A118,OrderLines!$F$2:$F$925,"Hot Meal")&gt;0,COUNTIFS(OrderLines!$A$2:$A$925,A118,OrderLines!$F$2:$F$925,"Beverage")&gt;0),"Combo","Single")</f>
        <v>Single</v>
      </c>
      <c r="K118" t="str">
        <f>IF(SUMPRODUCT((OrderLines!$A$2:$A$925=A118)*OrderLines!$C$2:$C$925*OrderLines!$D$2:$D$925)*G118&gt;40,"HighDisc","OK")</f>
        <v>OK</v>
      </c>
    </row>
    <row r="119" spans="1:11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 s="11">
        <v>0.09</v>
      </c>
      <c r="H119" t="b">
        <f>(COUNTIFS(OrderLines!$A:$A,A119,OrderLines!$F:$F,"Beverage")&gt;0)</f>
        <v>0</v>
      </c>
      <c r="I119">
        <f>SUMIFS(OrderLines!$I:$I,OrderLines!$A:$A,A119)</f>
        <v>47.729500000000002</v>
      </c>
      <c r="J119" t="str">
        <f>IF(AND(COUNTIFS(OrderLines!$A$2:$A$925,A119,OrderLines!$F$2:$F$925,"Hot Meal")&gt;0,COUNTIFS(OrderLines!$A$2:$A$925,A119,OrderLines!$F$2:$F$925,"Beverage")&gt;0),"Combo","Single")</f>
        <v>Single</v>
      </c>
      <c r="K119" t="str">
        <f>IF(SUMPRODUCT((OrderLines!$A$2:$A$925=A119)*OrderLines!$C$2:$C$925*OrderLines!$D$2:$D$925)*G119&gt;40,"HighDisc","OK")</f>
        <v>OK</v>
      </c>
    </row>
    <row r="120" spans="1:11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 s="11">
        <v>0.02</v>
      </c>
      <c r="H120" t="b">
        <f>(COUNTIFS(OrderLines!$A:$A,A120,OrderLines!$F:$F,"Beverage")&gt;0)</f>
        <v>0</v>
      </c>
      <c r="I120">
        <f>SUMIFS(OrderLines!$I:$I,OrderLines!$A:$A,A120)</f>
        <v>69.129200000000012</v>
      </c>
      <c r="J120" t="str">
        <f>IF(AND(COUNTIFS(OrderLines!$A$2:$A$925,A120,OrderLines!$F$2:$F$925,"Hot Meal")&gt;0,COUNTIFS(OrderLines!$A$2:$A$925,A120,OrderLines!$F$2:$F$925,"Beverage")&gt;0),"Combo","Single")</f>
        <v>Single</v>
      </c>
      <c r="K120" t="str">
        <f>IF(SUMPRODUCT((OrderLines!$A$2:$A$925=A120)*OrderLines!$C$2:$C$925*OrderLines!$D$2:$D$925)*G120&gt;40,"HighDisc","OK")</f>
        <v>OK</v>
      </c>
    </row>
    <row r="121" spans="1:11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 s="11">
        <v>0.09</v>
      </c>
      <c r="H121" t="b">
        <f>(COUNTIFS(OrderLines!$A:$A,A121,OrderLines!$F:$F,"Beverage")&gt;0)</f>
        <v>1</v>
      </c>
      <c r="I121">
        <f>SUMIFS(OrderLines!$I:$I,OrderLines!$A:$A,A121)</f>
        <v>82.491500000000002</v>
      </c>
      <c r="J121" t="str">
        <f>IF(AND(COUNTIFS(OrderLines!$A$2:$A$925,A121,OrderLines!$F$2:$F$925,"Hot Meal")&gt;0,COUNTIFS(OrderLines!$A$2:$A$925,A121,OrderLines!$F$2:$F$925,"Beverage")&gt;0),"Combo","Single")</f>
        <v>Single</v>
      </c>
      <c r="K121" t="str">
        <f>IF(SUMPRODUCT((OrderLines!$A$2:$A$925=A121)*OrderLines!$C$2:$C$925*OrderLines!$D$2:$D$925)*G121&gt;40,"HighDisc","OK")</f>
        <v>OK</v>
      </c>
    </row>
    <row r="122" spans="1:11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 s="11">
        <v>0.11</v>
      </c>
      <c r="H122" t="b">
        <f>(COUNTIFS(OrderLines!$A:$A,A122,OrderLines!$F:$F,"Beverage")&gt;0)</f>
        <v>0</v>
      </c>
      <c r="I122">
        <f>SUMIFS(OrderLines!$I:$I,OrderLines!$A:$A,A122)</f>
        <v>541.0933</v>
      </c>
      <c r="J122" t="str">
        <f>IF(AND(COUNTIFS(OrderLines!$A$2:$A$925,A122,OrderLines!$F$2:$F$925,"Hot Meal")&gt;0,COUNTIFS(OrderLines!$A$2:$A$925,A122,OrderLines!$F$2:$F$925,"Beverage")&gt;0),"Combo","Single")</f>
        <v>Single</v>
      </c>
      <c r="K122" t="str">
        <f>IF(SUMPRODUCT((OrderLines!$A$2:$A$925=A122)*OrderLines!$C$2:$C$925*OrderLines!$D$2:$D$925)*G122&gt;40,"HighDisc","OK")</f>
        <v>HighDisc</v>
      </c>
    </row>
    <row r="123" spans="1:11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 s="11">
        <v>0.03</v>
      </c>
      <c r="H123" t="b">
        <f>(COUNTIFS(OrderLines!$A:$A,A123,OrderLines!$F:$F,"Beverage")&gt;0)</f>
        <v>1</v>
      </c>
      <c r="I123">
        <f>SUMIFS(OrderLines!$I:$I,OrderLines!$A:$A,A123)</f>
        <v>615.94029999999998</v>
      </c>
      <c r="J123" t="str">
        <f>IF(AND(COUNTIFS(OrderLines!$A$2:$A$925,A123,OrderLines!$F$2:$F$925,"Hot Meal")&gt;0,COUNTIFS(OrderLines!$A$2:$A$925,A123,OrderLines!$F$2:$F$925,"Beverage")&gt;0),"Combo","Single")</f>
        <v>Combo</v>
      </c>
      <c r="K123" t="str">
        <f>IF(SUMPRODUCT((OrderLines!$A$2:$A$925=A123)*OrderLines!$C$2:$C$925*OrderLines!$D$2:$D$925)*G123&gt;40,"HighDisc","OK")</f>
        <v>OK</v>
      </c>
    </row>
    <row r="124" spans="1:11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 s="11">
        <v>0.1</v>
      </c>
      <c r="H124" t="b">
        <f>(COUNTIFS(OrderLines!$A:$A,A124,OrderLines!$F:$F,"Beverage")&gt;0)</f>
        <v>0</v>
      </c>
      <c r="I124">
        <f>SUMIFS(OrderLines!$I:$I,OrderLines!$A:$A,A124)</f>
        <v>986.59799999999996</v>
      </c>
      <c r="J124" t="str">
        <f>IF(AND(COUNTIFS(OrderLines!$A$2:$A$925,A124,OrderLines!$F$2:$F$925,"Hot Meal")&gt;0,COUNTIFS(OrderLines!$A$2:$A$925,A124,OrderLines!$F$2:$F$925,"Beverage")&gt;0),"Combo","Single")</f>
        <v>Single</v>
      </c>
      <c r="K124" t="str">
        <f>IF(SUMPRODUCT((OrderLines!$A$2:$A$925=A124)*OrderLines!$C$2:$C$925*OrderLines!$D$2:$D$925)*G124&gt;40,"HighDisc","OK")</f>
        <v>HighDisc</v>
      </c>
    </row>
    <row r="125" spans="1:11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 s="11">
        <v>0.08</v>
      </c>
      <c r="H125" t="b">
        <f>(COUNTIFS(OrderLines!$A:$A,A125,OrderLines!$F:$F,"Beverage")&gt;0)</f>
        <v>1</v>
      </c>
      <c r="I125">
        <f>SUMIFS(OrderLines!$I:$I,OrderLines!$A:$A,A125)</f>
        <v>858.01959999999997</v>
      </c>
      <c r="J125" t="str">
        <f>IF(AND(COUNTIFS(OrderLines!$A$2:$A$925,A125,OrderLines!$F$2:$F$925,"Hot Meal")&gt;0,COUNTIFS(OrderLines!$A$2:$A$925,A125,OrderLines!$F$2:$F$925,"Beverage")&gt;0),"Combo","Single")</f>
        <v>Combo</v>
      </c>
      <c r="K125" t="str">
        <f>IF(SUMPRODUCT((OrderLines!$A$2:$A$925=A125)*OrderLines!$C$2:$C$925*OrderLines!$D$2:$D$925)*G125&gt;40,"HighDisc","OK")</f>
        <v>HighDisc</v>
      </c>
    </row>
    <row r="126" spans="1:11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 s="11">
        <v>0.09</v>
      </c>
      <c r="H126" t="b">
        <f>(COUNTIFS(OrderLines!$A:$A,A126,OrderLines!$F:$F,"Beverage")&gt;0)</f>
        <v>0</v>
      </c>
      <c r="I126">
        <f>SUMIFS(OrderLines!$I:$I,OrderLines!$A:$A,A126)</f>
        <v>155.61000000000001</v>
      </c>
      <c r="J126" t="str">
        <f>IF(AND(COUNTIFS(OrderLines!$A$2:$A$925,A126,OrderLines!$F$2:$F$925,"Hot Meal")&gt;0,COUNTIFS(OrderLines!$A$2:$A$925,A126,OrderLines!$F$2:$F$925,"Beverage")&gt;0),"Combo","Single")</f>
        <v>Single</v>
      </c>
      <c r="K126" t="str">
        <f>IF(SUMPRODUCT((OrderLines!$A$2:$A$925=A126)*OrderLines!$C$2:$C$925*OrderLines!$D$2:$D$925)*G126&gt;40,"HighDisc","OK")</f>
        <v>OK</v>
      </c>
    </row>
    <row r="127" spans="1:11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 s="11">
        <v>0.14000000000000001</v>
      </c>
      <c r="H127" t="b">
        <f>(COUNTIFS(OrderLines!$A:$A,A127,OrderLines!$F:$F,"Beverage")&gt;0)</f>
        <v>0</v>
      </c>
      <c r="I127">
        <f>SUMIFS(OrderLines!$I:$I,OrderLines!$A:$A,A127)</f>
        <v>318.2516</v>
      </c>
      <c r="J127" t="str">
        <f>IF(AND(COUNTIFS(OrderLines!$A$2:$A$925,A127,OrderLines!$F$2:$F$925,"Hot Meal")&gt;0,COUNTIFS(OrderLines!$A$2:$A$925,A127,OrderLines!$F$2:$F$925,"Beverage")&gt;0),"Combo","Single")</f>
        <v>Single</v>
      </c>
      <c r="K127" t="str">
        <f>IF(SUMPRODUCT((OrderLines!$A$2:$A$925=A127)*OrderLines!$C$2:$C$925*OrderLines!$D$2:$D$925)*G127&gt;40,"HighDisc","OK")</f>
        <v>HighDisc</v>
      </c>
    </row>
    <row r="128" spans="1:11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 s="11">
        <v>0.05</v>
      </c>
      <c r="H128" t="b">
        <f>(COUNTIFS(OrderLines!$A:$A,A128,OrderLines!$F:$F,"Beverage")&gt;0)</f>
        <v>1</v>
      </c>
      <c r="I128">
        <f>SUMIFS(OrderLines!$I:$I,OrderLines!$A:$A,A128)</f>
        <v>191.672</v>
      </c>
      <c r="J128" t="str">
        <f>IF(AND(COUNTIFS(OrderLines!$A$2:$A$925,A128,OrderLines!$F$2:$F$925,"Hot Meal")&gt;0,COUNTIFS(OrderLines!$A$2:$A$925,A128,OrderLines!$F$2:$F$925,"Beverage")&gt;0),"Combo","Single")</f>
        <v>Single</v>
      </c>
      <c r="K128" t="str">
        <f>IF(SUMPRODUCT((OrderLines!$A$2:$A$925=A128)*OrderLines!$C$2:$C$925*OrderLines!$D$2:$D$925)*G128&gt;40,"HighDisc","OK")</f>
        <v>OK</v>
      </c>
    </row>
    <row r="129" spans="1:11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 s="11">
        <v>0.03</v>
      </c>
      <c r="H129" t="b">
        <f>(COUNTIFS(OrderLines!$A:$A,A129,OrderLines!$F:$F,"Beverage")&gt;0)</f>
        <v>1</v>
      </c>
      <c r="I129">
        <f>SUMIFS(OrderLines!$I:$I,OrderLines!$A:$A,A129)</f>
        <v>699.23419999999999</v>
      </c>
      <c r="J129" t="str">
        <f>IF(AND(COUNTIFS(OrderLines!$A$2:$A$925,A129,OrderLines!$F$2:$F$925,"Hot Meal")&gt;0,COUNTIFS(OrderLines!$A$2:$A$925,A129,OrderLines!$F$2:$F$925,"Beverage")&gt;0),"Combo","Single")</f>
        <v>Combo</v>
      </c>
      <c r="K129" t="str">
        <f>IF(SUMPRODUCT((OrderLines!$A$2:$A$925=A129)*OrderLines!$C$2:$C$925*OrderLines!$D$2:$D$925)*G129&gt;40,"HighDisc","OK")</f>
        <v>OK</v>
      </c>
    </row>
    <row r="130" spans="1:11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 s="11">
        <v>0.02</v>
      </c>
      <c r="H130" t="b">
        <f>(COUNTIFS(OrderLines!$A:$A,A130,OrderLines!$F:$F,"Beverage")&gt;0)</f>
        <v>0</v>
      </c>
      <c r="I130">
        <f>SUMIFS(OrderLines!$I:$I,OrderLines!$A:$A,A130)</f>
        <v>735.34300000000007</v>
      </c>
      <c r="J130" t="str">
        <f>IF(AND(COUNTIFS(OrderLines!$A$2:$A$925,A130,OrderLines!$F$2:$F$925,"Hot Meal")&gt;0,COUNTIFS(OrderLines!$A$2:$A$925,A130,OrderLines!$F$2:$F$925,"Beverage")&gt;0),"Combo","Single")</f>
        <v>Single</v>
      </c>
      <c r="K130" t="str">
        <f>IF(SUMPRODUCT((OrderLines!$A$2:$A$925=A130)*OrderLines!$C$2:$C$925*OrderLines!$D$2:$D$925)*G130&gt;40,"HighDisc","OK")</f>
        <v>OK</v>
      </c>
    </row>
    <row r="131" spans="1:11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 s="11">
        <v>0.03</v>
      </c>
      <c r="H131" t="b">
        <f>(COUNTIFS(OrderLines!$A:$A,A131,OrderLines!$F:$F,"Beverage")&gt;0)</f>
        <v>0</v>
      </c>
      <c r="I131">
        <f>SUMIFS(OrderLines!$I:$I,OrderLines!$A:$A,A131)</f>
        <v>404.48029999999994</v>
      </c>
      <c r="J131" t="str">
        <f>IF(AND(COUNTIFS(OrderLines!$A$2:$A$925,A131,OrderLines!$F$2:$F$925,"Hot Meal")&gt;0,COUNTIFS(OrderLines!$A$2:$A$925,A131,OrderLines!$F$2:$F$925,"Beverage")&gt;0),"Combo","Single")</f>
        <v>Single</v>
      </c>
      <c r="K131" t="str">
        <f>IF(SUMPRODUCT((OrderLines!$A$2:$A$925=A131)*OrderLines!$C$2:$C$925*OrderLines!$D$2:$D$925)*G131&gt;40,"HighDisc","OK")</f>
        <v>OK</v>
      </c>
    </row>
    <row r="132" spans="1:11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 s="11">
        <v>0.06</v>
      </c>
      <c r="H132" t="b">
        <f>(COUNTIFS(OrderLines!$A:$A,A132,OrderLines!$F:$F,"Beverage")&gt;0)</f>
        <v>1</v>
      </c>
      <c r="I132">
        <f>SUMIFS(OrderLines!$I:$I,OrderLines!$A:$A,A132)</f>
        <v>593.14</v>
      </c>
      <c r="J132" t="str">
        <f>IF(AND(COUNTIFS(OrderLines!$A$2:$A$925,A132,OrderLines!$F$2:$F$925,"Hot Meal")&gt;0,COUNTIFS(OrderLines!$A$2:$A$925,A132,OrderLines!$F$2:$F$925,"Beverage")&gt;0),"Combo","Single")</f>
        <v>Combo</v>
      </c>
      <c r="K132" t="str">
        <f>IF(SUMPRODUCT((OrderLines!$A$2:$A$925=A132)*OrderLines!$C$2:$C$925*OrderLines!$D$2:$D$925)*G132&gt;40,"HighDisc","OK")</f>
        <v>OK</v>
      </c>
    </row>
    <row r="133" spans="1:11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 s="11">
        <v>7.0000000000000007E-2</v>
      </c>
      <c r="H133" t="b">
        <f>(COUNTIFS(OrderLines!$A:$A,A133,OrderLines!$F:$F,"Beverage")&gt;0)</f>
        <v>0</v>
      </c>
      <c r="I133">
        <f>SUMIFS(OrderLines!$I:$I,OrderLines!$A:$A,A133)</f>
        <v>456.17430000000002</v>
      </c>
      <c r="J133" t="str">
        <f>IF(AND(COUNTIFS(OrderLines!$A$2:$A$925,A133,OrderLines!$F$2:$F$925,"Hot Meal")&gt;0,COUNTIFS(OrderLines!$A$2:$A$925,A133,OrderLines!$F$2:$F$925,"Beverage")&gt;0),"Combo","Single")</f>
        <v>Single</v>
      </c>
      <c r="K133" t="str">
        <f>IF(SUMPRODUCT((OrderLines!$A$2:$A$925=A133)*OrderLines!$C$2:$C$925*OrderLines!$D$2:$D$925)*G133&gt;40,"HighDisc","OK")</f>
        <v>OK</v>
      </c>
    </row>
    <row r="134" spans="1:11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 s="11">
        <v>7.0000000000000007E-2</v>
      </c>
      <c r="H134" t="b">
        <f>(COUNTIFS(OrderLines!$A:$A,A134,OrderLines!$F:$F,"Beverage")&gt;0)</f>
        <v>1</v>
      </c>
      <c r="I134">
        <f>SUMIFS(OrderLines!$I:$I,OrderLines!$A:$A,A134)</f>
        <v>349.8381</v>
      </c>
      <c r="J134" t="str">
        <f>IF(AND(COUNTIFS(OrderLines!$A$2:$A$925,A134,OrderLines!$F$2:$F$925,"Hot Meal")&gt;0,COUNTIFS(OrderLines!$A$2:$A$925,A134,OrderLines!$F$2:$F$925,"Beverage")&gt;0),"Combo","Single")</f>
        <v>Single</v>
      </c>
      <c r="K134" t="str">
        <f>IF(SUMPRODUCT((OrderLines!$A$2:$A$925=A134)*OrderLines!$C$2:$C$925*OrderLines!$D$2:$D$925)*G134&gt;40,"HighDisc","OK")</f>
        <v>OK</v>
      </c>
    </row>
    <row r="135" spans="1:11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 s="11">
        <v>0.09</v>
      </c>
      <c r="H135" t="b">
        <f>(COUNTIFS(OrderLines!$A:$A,A135,OrderLines!$F:$F,"Beverage")&gt;0)</f>
        <v>1</v>
      </c>
      <c r="I135">
        <f>SUMIFS(OrderLines!$I:$I,OrderLines!$A:$A,A135)</f>
        <v>90.035399999999996</v>
      </c>
      <c r="J135" t="str">
        <f>IF(AND(COUNTIFS(OrderLines!$A$2:$A$925,A135,OrderLines!$F$2:$F$925,"Hot Meal")&gt;0,COUNTIFS(OrderLines!$A$2:$A$925,A135,OrderLines!$F$2:$F$925,"Beverage")&gt;0),"Combo","Single")</f>
        <v>Single</v>
      </c>
      <c r="K135" t="str">
        <f>IF(SUMPRODUCT((OrderLines!$A$2:$A$925=A135)*OrderLines!$C$2:$C$925*OrderLines!$D$2:$D$925)*G135&gt;40,"HighDisc","OK")</f>
        <v>OK</v>
      </c>
    </row>
    <row r="136" spans="1:11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 s="11">
        <v>0.06</v>
      </c>
      <c r="H136" t="b">
        <f>(COUNTIFS(OrderLines!$A:$A,A136,OrderLines!$F:$F,"Beverage")&gt;0)</f>
        <v>1</v>
      </c>
      <c r="I136">
        <f>SUMIFS(OrderLines!$I:$I,OrderLines!$A:$A,A136)</f>
        <v>188.19739999999999</v>
      </c>
      <c r="J136" t="str">
        <f>IF(AND(COUNTIFS(OrderLines!$A$2:$A$925,A136,OrderLines!$F$2:$F$925,"Hot Meal")&gt;0,COUNTIFS(OrderLines!$A$2:$A$925,A136,OrderLines!$F$2:$F$925,"Beverage")&gt;0),"Combo","Single")</f>
        <v>Single</v>
      </c>
      <c r="K136" t="str">
        <f>IF(SUMPRODUCT((OrderLines!$A$2:$A$925=A136)*OrderLines!$C$2:$C$925*OrderLines!$D$2:$D$925)*G136&gt;40,"HighDisc","OK")</f>
        <v>OK</v>
      </c>
    </row>
    <row r="137" spans="1:11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 s="11">
        <v>0.12</v>
      </c>
      <c r="H137" t="b">
        <f>(COUNTIFS(OrderLines!$A:$A,A137,OrderLines!$F:$F,"Beverage")&gt;0)</f>
        <v>0</v>
      </c>
      <c r="I137">
        <f>SUMIFS(OrderLines!$I:$I,OrderLines!$A:$A,A137)</f>
        <v>492.90560000000005</v>
      </c>
      <c r="J137" t="str">
        <f>IF(AND(COUNTIFS(OrderLines!$A$2:$A$925,A137,OrderLines!$F$2:$F$925,"Hot Meal")&gt;0,COUNTIFS(OrderLines!$A$2:$A$925,A137,OrderLines!$F$2:$F$925,"Beverage")&gt;0),"Combo","Single")</f>
        <v>Single</v>
      </c>
      <c r="K137" t="str">
        <f>IF(SUMPRODUCT((OrderLines!$A$2:$A$925=A137)*OrderLines!$C$2:$C$925*OrderLines!$D$2:$D$925)*G137&gt;40,"HighDisc","OK")</f>
        <v>HighDisc</v>
      </c>
    </row>
    <row r="138" spans="1:11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 s="11">
        <v>0.05</v>
      </c>
      <c r="H138" t="b">
        <f>(COUNTIFS(OrderLines!$A:$A,A138,OrderLines!$F:$F,"Beverage")&gt;0)</f>
        <v>1</v>
      </c>
      <c r="I138">
        <f>SUMIFS(OrderLines!$I:$I,OrderLines!$A:$A,A138)</f>
        <v>299.93399999999997</v>
      </c>
      <c r="J138" t="str">
        <f>IF(AND(COUNTIFS(OrderLines!$A$2:$A$925,A138,OrderLines!$F$2:$F$925,"Hot Meal")&gt;0,COUNTIFS(OrderLines!$A$2:$A$925,A138,OrderLines!$F$2:$F$925,"Beverage")&gt;0),"Combo","Single")</f>
        <v>Combo</v>
      </c>
      <c r="K138" t="str">
        <f>IF(SUMPRODUCT((OrderLines!$A$2:$A$925=A138)*OrderLines!$C$2:$C$925*OrderLines!$D$2:$D$925)*G138&gt;40,"HighDisc","OK")</f>
        <v>OK</v>
      </c>
    </row>
    <row r="139" spans="1:11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 s="11">
        <v>0.17</v>
      </c>
      <c r="H139" t="b">
        <f>(COUNTIFS(OrderLines!$A:$A,A139,OrderLines!$F:$F,"Beverage")&gt;0)</f>
        <v>0</v>
      </c>
      <c r="I139">
        <f>SUMIFS(OrderLines!$I:$I,OrderLines!$A:$A,A139)</f>
        <v>83.315399999999997</v>
      </c>
      <c r="J139" t="str">
        <f>IF(AND(COUNTIFS(OrderLines!$A$2:$A$925,A139,OrderLines!$F$2:$F$925,"Hot Meal")&gt;0,COUNTIFS(OrderLines!$A$2:$A$925,A139,OrderLines!$F$2:$F$925,"Beverage")&gt;0),"Combo","Single")</f>
        <v>Single</v>
      </c>
      <c r="K139" t="str">
        <f>IF(SUMPRODUCT((OrderLines!$A$2:$A$925=A139)*OrderLines!$C$2:$C$925*OrderLines!$D$2:$D$925)*G139&gt;40,"HighDisc","OK")</f>
        <v>OK</v>
      </c>
    </row>
    <row r="140" spans="1:11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 s="11">
        <v>0.09</v>
      </c>
      <c r="H140" t="b">
        <f>(COUNTIFS(OrderLines!$A:$A,A140,OrderLines!$F:$F,"Beverage")&gt;0)</f>
        <v>0</v>
      </c>
      <c r="I140">
        <f>SUMIFS(OrderLines!$I:$I,OrderLines!$A:$A,A140)</f>
        <v>661.30610000000001</v>
      </c>
      <c r="J140" t="str">
        <f>IF(AND(COUNTIFS(OrderLines!$A$2:$A$925,A140,OrderLines!$F$2:$F$925,"Hot Meal")&gt;0,COUNTIFS(OrderLines!$A$2:$A$925,A140,OrderLines!$F$2:$F$925,"Beverage")&gt;0),"Combo","Single")</f>
        <v>Single</v>
      </c>
      <c r="K140" t="str">
        <f>IF(SUMPRODUCT((OrderLines!$A$2:$A$925=A140)*OrderLines!$C$2:$C$925*OrderLines!$D$2:$D$925)*G140&gt;40,"HighDisc","OK")</f>
        <v>HighDisc</v>
      </c>
    </row>
    <row r="141" spans="1:11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 s="11">
        <v>0.03</v>
      </c>
      <c r="H141" t="b">
        <f>(COUNTIFS(OrderLines!$A:$A,A141,OrderLines!$F:$F,"Beverage")&gt;0)</f>
        <v>1</v>
      </c>
      <c r="I141">
        <f>SUMIFS(OrderLines!$I:$I,OrderLines!$A:$A,A141)</f>
        <v>310.73950000000002</v>
      </c>
      <c r="J141" t="str">
        <f>IF(AND(COUNTIFS(OrderLines!$A$2:$A$925,A141,OrderLines!$F$2:$F$925,"Hot Meal")&gt;0,COUNTIFS(OrderLines!$A$2:$A$925,A141,OrderLines!$F$2:$F$925,"Beverage")&gt;0),"Combo","Single")</f>
        <v>Single</v>
      </c>
      <c r="K141" t="str">
        <f>IF(SUMPRODUCT((OrderLines!$A$2:$A$925=A141)*OrderLines!$C$2:$C$925*OrderLines!$D$2:$D$925)*G141&gt;40,"HighDisc","OK")</f>
        <v>OK</v>
      </c>
    </row>
    <row r="142" spans="1:11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 s="11">
        <v>0.02</v>
      </c>
      <c r="H142" t="b">
        <f>(COUNTIFS(OrderLines!$A:$A,A142,OrderLines!$F:$F,"Beverage")&gt;0)</f>
        <v>1</v>
      </c>
      <c r="I142">
        <f>SUMIFS(OrderLines!$I:$I,OrderLines!$A:$A,A142)</f>
        <v>79.2624</v>
      </c>
      <c r="J142" t="str">
        <f>IF(AND(COUNTIFS(OrderLines!$A$2:$A$925,A142,OrderLines!$F$2:$F$925,"Hot Meal")&gt;0,COUNTIFS(OrderLines!$A$2:$A$925,A142,OrderLines!$F$2:$F$925,"Beverage")&gt;0),"Combo","Single")</f>
        <v>Single</v>
      </c>
      <c r="K142" t="str">
        <f>IF(SUMPRODUCT((OrderLines!$A$2:$A$925=A142)*OrderLines!$C$2:$C$925*OrderLines!$D$2:$D$925)*G142&gt;40,"HighDisc","OK")</f>
        <v>OK</v>
      </c>
    </row>
    <row r="143" spans="1:11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 s="11">
        <v>0.08</v>
      </c>
      <c r="H143" t="b">
        <f>(COUNTIFS(OrderLines!$A:$A,A143,OrderLines!$F:$F,"Beverage")&gt;0)</f>
        <v>1</v>
      </c>
      <c r="I143">
        <f>SUMIFS(OrderLines!$I:$I,OrderLines!$A:$A,A143)</f>
        <v>164.67999999999998</v>
      </c>
      <c r="J143" t="str">
        <f>IF(AND(COUNTIFS(OrderLines!$A$2:$A$925,A143,OrderLines!$F$2:$F$925,"Hot Meal")&gt;0,COUNTIFS(OrderLines!$A$2:$A$925,A143,OrderLines!$F$2:$F$925,"Beverage")&gt;0),"Combo","Single")</f>
        <v>Single</v>
      </c>
      <c r="K143" t="str">
        <f>IF(SUMPRODUCT((OrderLines!$A$2:$A$925=A143)*OrderLines!$C$2:$C$925*OrderLines!$D$2:$D$925)*G143&gt;40,"HighDisc","OK")</f>
        <v>OK</v>
      </c>
    </row>
    <row r="144" spans="1:11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 s="11">
        <v>0.05</v>
      </c>
      <c r="H144" t="b">
        <f>(COUNTIFS(OrderLines!$A:$A,A144,OrderLines!$F:$F,"Beverage")&gt;0)</f>
        <v>1</v>
      </c>
      <c r="I144">
        <f>SUMIFS(OrderLines!$I:$I,OrderLines!$A:$A,A144)</f>
        <v>38.208999999999996</v>
      </c>
      <c r="J144" t="str">
        <f>IF(AND(COUNTIFS(OrderLines!$A$2:$A$925,A144,OrderLines!$F$2:$F$925,"Hot Meal")&gt;0,COUNTIFS(OrderLines!$A$2:$A$925,A144,OrderLines!$F$2:$F$925,"Beverage")&gt;0),"Combo","Single")</f>
        <v>Single</v>
      </c>
      <c r="K144" t="str">
        <f>IF(SUMPRODUCT((OrderLines!$A$2:$A$925=A144)*OrderLines!$C$2:$C$925*OrderLines!$D$2:$D$925)*G144&gt;40,"HighDisc","OK")</f>
        <v>OK</v>
      </c>
    </row>
    <row r="145" spans="1:11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 s="11">
        <v>0.09</v>
      </c>
      <c r="H145" t="b">
        <f>(COUNTIFS(OrderLines!$A:$A,A145,OrderLines!$F:$F,"Beverage")&gt;0)</f>
        <v>0</v>
      </c>
      <c r="I145">
        <f>SUMIFS(OrderLines!$I:$I,OrderLines!$A:$A,A145)</f>
        <v>47.729500000000002</v>
      </c>
      <c r="J145" t="str">
        <f>IF(AND(COUNTIFS(OrderLines!$A$2:$A$925,A145,OrderLines!$F$2:$F$925,"Hot Meal")&gt;0,COUNTIFS(OrderLines!$A$2:$A$925,A145,OrderLines!$F$2:$F$925,"Beverage")&gt;0),"Combo","Single")</f>
        <v>Single</v>
      </c>
      <c r="K145" t="str">
        <f>IF(SUMPRODUCT((OrderLines!$A$2:$A$925=A145)*OrderLines!$C$2:$C$925*OrderLines!$D$2:$D$925)*G145&gt;40,"HighDisc","OK")</f>
        <v>OK</v>
      </c>
    </row>
    <row r="146" spans="1:11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 s="11">
        <v>0.08</v>
      </c>
      <c r="H146" t="b">
        <f>(COUNTIFS(OrderLines!$A:$A,A146,OrderLines!$F:$F,"Beverage")&gt;0)</f>
        <v>1</v>
      </c>
      <c r="I146">
        <f>SUMIFS(OrderLines!$I:$I,OrderLines!$A:$A,A146)</f>
        <v>328.09960000000001</v>
      </c>
      <c r="J146" t="str">
        <f>IF(AND(COUNTIFS(OrderLines!$A$2:$A$925,A146,OrderLines!$F$2:$F$925,"Hot Meal")&gt;0,COUNTIFS(OrderLines!$A$2:$A$925,A146,OrderLines!$F$2:$F$925,"Beverage")&gt;0),"Combo","Single")</f>
        <v>Single</v>
      </c>
      <c r="K146" t="str">
        <f>IF(SUMPRODUCT((OrderLines!$A$2:$A$925=A146)*OrderLines!$C$2:$C$925*OrderLines!$D$2:$D$925)*G146&gt;40,"HighDisc","OK")</f>
        <v>OK</v>
      </c>
    </row>
    <row r="147" spans="1:11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 s="11">
        <v>0.06</v>
      </c>
      <c r="H147" t="b">
        <f>(COUNTIFS(OrderLines!$A:$A,A147,OrderLines!$F:$F,"Beverage")&gt;0)</f>
        <v>1</v>
      </c>
      <c r="I147">
        <f>SUMIFS(OrderLines!$I:$I,OrderLines!$A:$A,A147)</f>
        <v>1569.9879999999998</v>
      </c>
      <c r="J147" t="str">
        <f>IF(AND(COUNTIFS(OrderLines!$A$2:$A$925,A147,OrderLines!$F$2:$F$925,"Hot Meal")&gt;0,COUNTIFS(OrderLines!$A$2:$A$925,A147,OrderLines!$F$2:$F$925,"Beverage")&gt;0),"Combo","Single")</f>
        <v>Combo</v>
      </c>
      <c r="K147" t="str">
        <f>IF(SUMPRODUCT((OrderLines!$A$2:$A$925=A147)*OrderLines!$C$2:$C$925*OrderLines!$D$2:$D$925)*G147&gt;40,"HighDisc","OK")</f>
        <v>HighDisc</v>
      </c>
    </row>
    <row r="148" spans="1:11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 s="11">
        <v>0.03</v>
      </c>
      <c r="H148" t="b">
        <f>(COUNTIFS(OrderLines!$A:$A,A148,OrderLines!$F:$F,"Beverage")&gt;0)</f>
        <v>1</v>
      </c>
      <c r="I148">
        <f>SUMIFS(OrderLines!$I:$I,OrderLines!$A:$A,A148)</f>
        <v>357.67779999999999</v>
      </c>
      <c r="J148" t="str">
        <f>IF(AND(COUNTIFS(OrderLines!$A$2:$A$925,A148,OrderLines!$F$2:$F$925,"Hot Meal")&gt;0,COUNTIFS(OrderLines!$A$2:$A$925,A148,OrderLines!$F$2:$F$925,"Beverage")&gt;0),"Combo","Single")</f>
        <v>Combo</v>
      </c>
      <c r="K148" t="str">
        <f>IF(SUMPRODUCT((OrderLines!$A$2:$A$925=A148)*OrderLines!$C$2:$C$925*OrderLines!$D$2:$D$925)*G148&gt;40,"HighDisc","OK")</f>
        <v>OK</v>
      </c>
    </row>
    <row r="149" spans="1:11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 s="11">
        <v>0</v>
      </c>
      <c r="H149" t="b">
        <f>(COUNTIFS(OrderLines!$A:$A,A149,OrderLines!$F:$F,"Beverage")&gt;0)</f>
        <v>1</v>
      </c>
      <c r="I149">
        <f>SUMIFS(OrderLines!$I:$I,OrderLines!$A:$A,A149)</f>
        <v>70.290000000000006</v>
      </c>
      <c r="J149" t="str">
        <f>IF(AND(COUNTIFS(OrderLines!$A$2:$A$925,A149,OrderLines!$F$2:$F$925,"Hot Meal")&gt;0,COUNTIFS(OrderLines!$A$2:$A$925,A149,OrderLines!$F$2:$F$925,"Beverage")&gt;0),"Combo","Single")</f>
        <v>Single</v>
      </c>
      <c r="K149" t="str">
        <f>IF(SUMPRODUCT((OrderLines!$A$2:$A$925=A149)*OrderLines!$C$2:$C$925*OrderLines!$D$2:$D$925)*G149&gt;40,"HighDisc","OK")</f>
        <v>OK</v>
      </c>
    </row>
    <row r="150" spans="1:11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 s="11">
        <v>0.04</v>
      </c>
      <c r="H150" t="b">
        <f>(COUNTIFS(OrderLines!$A:$A,A150,OrderLines!$F:$F,"Beverage")&gt;0)</f>
        <v>0</v>
      </c>
      <c r="I150">
        <f>SUMIFS(OrderLines!$I:$I,OrderLines!$A:$A,A150)</f>
        <v>286.22400000000005</v>
      </c>
      <c r="J150" t="str">
        <f>IF(AND(COUNTIFS(OrderLines!$A$2:$A$925,A150,OrderLines!$F$2:$F$925,"Hot Meal")&gt;0,COUNTIFS(OrderLines!$A$2:$A$925,A150,OrderLines!$F$2:$F$925,"Beverage")&gt;0),"Combo","Single")</f>
        <v>Single</v>
      </c>
      <c r="K150" t="str">
        <f>IF(SUMPRODUCT((OrderLines!$A$2:$A$925=A150)*OrderLines!$C$2:$C$925*OrderLines!$D$2:$D$925)*G150&gt;40,"HighDisc","OK")</f>
        <v>OK</v>
      </c>
    </row>
    <row r="151" spans="1:11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 s="11">
        <v>0.09</v>
      </c>
      <c r="H151" t="b">
        <f>(COUNTIFS(OrderLines!$A:$A,A151,OrderLines!$F:$F,"Beverage")&gt;0)</f>
        <v>0</v>
      </c>
      <c r="I151">
        <f>SUMIFS(OrderLines!$I:$I,OrderLines!$A:$A,A151)</f>
        <v>741.97760000000017</v>
      </c>
      <c r="J151" t="str">
        <f>IF(AND(COUNTIFS(OrderLines!$A$2:$A$925,A151,OrderLines!$F$2:$F$925,"Hot Meal")&gt;0,COUNTIFS(OrderLines!$A$2:$A$925,A151,OrderLines!$F$2:$F$925,"Beverage")&gt;0),"Combo","Single")</f>
        <v>Single</v>
      </c>
      <c r="K151" t="str">
        <f>IF(SUMPRODUCT((OrderLines!$A$2:$A$925=A151)*OrderLines!$C$2:$C$925*OrderLines!$D$2:$D$925)*G151&gt;40,"HighDisc","OK")</f>
        <v>HighDisc</v>
      </c>
    </row>
    <row r="152" spans="1:11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 s="11">
        <v>7.0000000000000007E-2</v>
      </c>
      <c r="H152" t="b">
        <f>(COUNTIFS(OrderLines!$A:$A,A152,OrderLines!$F:$F,"Beverage")&gt;0)</f>
        <v>0</v>
      </c>
      <c r="I152">
        <f>SUMIFS(OrderLines!$I:$I,OrderLines!$A:$A,A152)</f>
        <v>1518.4016999999999</v>
      </c>
      <c r="J152" t="str">
        <f>IF(AND(COUNTIFS(OrderLines!$A$2:$A$925,A152,OrderLines!$F$2:$F$925,"Hot Meal")&gt;0,COUNTIFS(OrderLines!$A$2:$A$925,A152,OrderLines!$F$2:$F$925,"Beverage")&gt;0),"Combo","Single")</f>
        <v>Single</v>
      </c>
      <c r="K152" t="str">
        <f>IF(SUMPRODUCT((OrderLines!$A$2:$A$925=A152)*OrderLines!$C$2:$C$925*OrderLines!$D$2:$D$925)*G152&gt;40,"HighDisc","OK")</f>
        <v>HighDisc</v>
      </c>
    </row>
    <row r="153" spans="1:11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 s="11">
        <v>0.01</v>
      </c>
      <c r="H153" t="b">
        <f>(COUNTIFS(OrderLines!$A:$A,A153,OrderLines!$F:$F,"Beverage")&gt;0)</f>
        <v>1</v>
      </c>
      <c r="I153">
        <f>SUMIFS(OrderLines!$I:$I,OrderLines!$A:$A,A153)</f>
        <v>235.04579999999999</v>
      </c>
      <c r="J153" t="str">
        <f>IF(AND(COUNTIFS(OrderLines!$A$2:$A$925,A153,OrderLines!$F$2:$F$925,"Hot Meal")&gt;0,COUNTIFS(OrderLines!$A$2:$A$925,A153,OrderLines!$F$2:$F$925,"Beverage")&gt;0),"Combo","Single")</f>
        <v>Combo</v>
      </c>
      <c r="K153" t="str">
        <f>IF(SUMPRODUCT((OrderLines!$A$2:$A$925=A153)*OrderLines!$C$2:$C$925*OrderLines!$D$2:$D$925)*G153&gt;40,"HighDisc","OK")</f>
        <v>OK</v>
      </c>
    </row>
    <row r="154" spans="1:11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 s="11">
        <v>7.0000000000000007E-2</v>
      </c>
      <c r="H154" t="b">
        <f>(COUNTIFS(OrderLines!$A:$A,A154,OrderLines!$F:$F,"Beverage")&gt;0)</f>
        <v>1</v>
      </c>
      <c r="I154">
        <f>SUMIFS(OrderLines!$I:$I,OrderLines!$A:$A,A154)</f>
        <v>71.582099999999997</v>
      </c>
      <c r="J154" t="str">
        <f>IF(AND(COUNTIFS(OrderLines!$A$2:$A$925,A154,OrderLines!$F$2:$F$925,"Hot Meal")&gt;0,COUNTIFS(OrderLines!$A$2:$A$925,A154,OrderLines!$F$2:$F$925,"Beverage")&gt;0),"Combo","Single")</f>
        <v>Single</v>
      </c>
      <c r="K154" t="str">
        <f>IF(SUMPRODUCT((OrderLines!$A$2:$A$925=A154)*OrderLines!$C$2:$C$925*OrderLines!$D$2:$D$925)*G154&gt;40,"HighDisc","OK")</f>
        <v>OK</v>
      </c>
    </row>
    <row r="155" spans="1:11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 s="11">
        <v>0.08</v>
      </c>
      <c r="H155" t="b">
        <f>(COUNTIFS(OrderLines!$A:$A,A155,OrderLines!$F:$F,"Beverage")&gt;0)</f>
        <v>1</v>
      </c>
      <c r="I155">
        <f>SUMIFS(OrderLines!$I:$I,OrderLines!$A:$A,A155)</f>
        <v>343.7396</v>
      </c>
      <c r="J155" t="str">
        <f>IF(AND(COUNTIFS(OrderLines!$A$2:$A$925,A155,OrderLines!$F$2:$F$925,"Hot Meal")&gt;0,COUNTIFS(OrderLines!$A$2:$A$925,A155,OrderLines!$F$2:$F$925,"Beverage")&gt;0),"Combo","Single")</f>
        <v>Single</v>
      </c>
      <c r="K155" t="str">
        <f>IF(SUMPRODUCT((OrderLines!$A$2:$A$925=A155)*OrderLines!$C$2:$C$925*OrderLines!$D$2:$D$925)*G155&gt;40,"HighDisc","OK")</f>
        <v>OK</v>
      </c>
    </row>
    <row r="156" spans="1:11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 s="11">
        <v>0.02</v>
      </c>
      <c r="H156" t="b">
        <f>(COUNTIFS(OrderLines!$A:$A,A156,OrderLines!$F:$F,"Beverage")&gt;0)</f>
        <v>0</v>
      </c>
      <c r="I156">
        <f>SUMIFS(OrderLines!$I:$I,OrderLines!$A:$A,A156)</f>
        <v>791.97720000000004</v>
      </c>
      <c r="J156" t="str">
        <f>IF(AND(COUNTIFS(OrderLines!$A$2:$A$925,A156,OrderLines!$F$2:$F$925,"Hot Meal")&gt;0,COUNTIFS(OrderLines!$A$2:$A$925,A156,OrderLines!$F$2:$F$925,"Beverage")&gt;0),"Combo","Single")</f>
        <v>Single</v>
      </c>
      <c r="K156" t="str">
        <f>IF(SUMPRODUCT((OrderLines!$A$2:$A$925=A156)*OrderLines!$C$2:$C$925*OrderLines!$D$2:$D$925)*G156&gt;40,"HighDisc","OK")</f>
        <v>OK</v>
      </c>
    </row>
    <row r="157" spans="1:11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 s="11">
        <v>7.0000000000000007E-2</v>
      </c>
      <c r="H157" t="b">
        <f>(COUNTIFS(OrderLines!$A:$A,A157,OrderLines!$F:$F,"Beverage")&gt;0)</f>
        <v>1</v>
      </c>
      <c r="I157">
        <f>SUMIFS(OrderLines!$I:$I,OrderLines!$A:$A,A157)</f>
        <v>939.76499999999999</v>
      </c>
      <c r="J157" t="str">
        <f>IF(AND(COUNTIFS(OrderLines!$A$2:$A$925,A157,OrderLines!$F$2:$F$925,"Hot Meal")&gt;0,COUNTIFS(OrderLines!$A$2:$A$925,A157,OrderLines!$F$2:$F$925,"Beverage")&gt;0),"Combo","Single")</f>
        <v>Combo</v>
      </c>
      <c r="K157" t="str">
        <f>IF(SUMPRODUCT((OrderLines!$A$2:$A$925=A157)*OrderLines!$C$2:$C$925*OrderLines!$D$2:$D$925)*G157&gt;40,"HighDisc","OK")</f>
        <v>HighDisc</v>
      </c>
    </row>
    <row r="158" spans="1:11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 s="11">
        <v>0.06</v>
      </c>
      <c r="H158" t="b">
        <f>(COUNTIFS(OrderLines!$A:$A,A158,OrderLines!$F:$F,"Beverage")&gt;0)</f>
        <v>0</v>
      </c>
      <c r="I158">
        <f>SUMIFS(OrderLines!$I:$I,OrderLines!$A:$A,A158)</f>
        <v>860.27859999999998</v>
      </c>
      <c r="J158" t="str">
        <f>IF(AND(COUNTIFS(OrderLines!$A$2:$A$925,A158,OrderLines!$F$2:$F$925,"Hot Meal")&gt;0,COUNTIFS(OrderLines!$A$2:$A$925,A158,OrderLines!$F$2:$F$925,"Beverage")&gt;0),"Combo","Single")</f>
        <v>Single</v>
      </c>
      <c r="K158" t="str">
        <f>IF(SUMPRODUCT((OrderLines!$A$2:$A$925=A158)*OrderLines!$C$2:$C$925*OrderLines!$D$2:$D$925)*G158&gt;40,"HighDisc","OK")</f>
        <v>HighDisc</v>
      </c>
    </row>
    <row r="159" spans="1:11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 s="11">
        <v>0.01</v>
      </c>
      <c r="H159" t="b">
        <f>(COUNTIFS(OrderLines!$A:$A,A159,OrderLines!$F:$F,"Beverage")&gt;0)</f>
        <v>1</v>
      </c>
      <c r="I159">
        <f>SUMIFS(OrderLines!$I:$I,OrderLines!$A:$A,A159)</f>
        <v>334.40219999999999</v>
      </c>
      <c r="J159" t="str">
        <f>IF(AND(COUNTIFS(OrderLines!$A$2:$A$925,A159,OrderLines!$F$2:$F$925,"Hot Meal")&gt;0,COUNTIFS(OrderLines!$A$2:$A$925,A159,OrderLines!$F$2:$F$925,"Beverage")&gt;0),"Combo","Single")</f>
        <v>Single</v>
      </c>
      <c r="K159" t="str">
        <f>IF(SUMPRODUCT((OrderLines!$A$2:$A$925=A159)*OrderLines!$C$2:$C$925*OrderLines!$D$2:$D$925)*G159&gt;40,"HighDisc","OK")</f>
        <v>OK</v>
      </c>
    </row>
    <row r="160" spans="1:11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 s="11">
        <v>7.0000000000000007E-2</v>
      </c>
      <c r="H160" t="b">
        <f>(COUNTIFS(OrderLines!$A:$A,A160,OrderLines!$F:$F,"Beverage")&gt;0)</f>
        <v>0</v>
      </c>
      <c r="I160">
        <f>SUMIFS(OrderLines!$I:$I,OrderLines!$A:$A,A160)</f>
        <v>228.86369999999999</v>
      </c>
      <c r="J160" t="str">
        <f>IF(AND(COUNTIFS(OrderLines!$A$2:$A$925,A160,OrderLines!$F$2:$F$925,"Hot Meal")&gt;0,COUNTIFS(OrderLines!$A$2:$A$925,A160,OrderLines!$F$2:$F$925,"Beverage")&gt;0),"Combo","Single")</f>
        <v>Single</v>
      </c>
      <c r="K160" t="str">
        <f>IF(SUMPRODUCT((OrderLines!$A$2:$A$925=A160)*OrderLines!$C$2:$C$925*OrderLines!$D$2:$D$925)*G160&gt;40,"HighDisc","OK")</f>
        <v>OK</v>
      </c>
    </row>
    <row r="161" spans="1:11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 s="11">
        <v>0.08</v>
      </c>
      <c r="H161" t="b">
        <f>(COUNTIFS(OrderLines!$A:$A,A161,OrderLines!$F:$F,"Beverage")&gt;0)</f>
        <v>0</v>
      </c>
      <c r="I161">
        <f>SUMIFS(OrderLines!$I:$I,OrderLines!$A:$A,A161)</f>
        <v>314.32720000000006</v>
      </c>
      <c r="J161" t="str">
        <f>IF(AND(COUNTIFS(OrderLines!$A$2:$A$925,A161,OrderLines!$F$2:$F$925,"Hot Meal")&gt;0,COUNTIFS(OrderLines!$A$2:$A$925,A161,OrderLines!$F$2:$F$925,"Beverage")&gt;0),"Combo","Single")</f>
        <v>Single</v>
      </c>
      <c r="K161" t="str">
        <f>IF(SUMPRODUCT((OrderLines!$A$2:$A$925=A161)*OrderLines!$C$2:$C$925*OrderLines!$D$2:$D$925)*G161&gt;40,"HighDisc","OK")</f>
        <v>OK</v>
      </c>
    </row>
    <row r="162" spans="1:11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 s="11">
        <v>0.1</v>
      </c>
      <c r="H162" t="b">
        <f>(COUNTIFS(OrderLines!$A:$A,A162,OrderLines!$F:$F,"Beverage")&gt;0)</f>
        <v>1</v>
      </c>
      <c r="I162">
        <f>SUMIFS(OrderLines!$I:$I,OrderLines!$A:$A,A162)</f>
        <v>636.94800000000009</v>
      </c>
      <c r="J162" t="str">
        <f>IF(AND(COUNTIFS(OrderLines!$A$2:$A$925,A162,OrderLines!$F$2:$F$925,"Hot Meal")&gt;0,COUNTIFS(OrderLines!$A$2:$A$925,A162,OrderLines!$F$2:$F$925,"Beverage")&gt;0),"Combo","Single")</f>
        <v>Combo</v>
      </c>
      <c r="K162" t="str">
        <f>IF(SUMPRODUCT((OrderLines!$A$2:$A$925=A162)*OrderLines!$C$2:$C$925*OrderLines!$D$2:$D$925)*G162&gt;40,"HighDisc","OK")</f>
        <v>HighDisc</v>
      </c>
    </row>
    <row r="163" spans="1:11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 s="11">
        <v>0.1</v>
      </c>
      <c r="H163" t="b">
        <f>(COUNTIFS(OrderLines!$A:$A,A163,OrderLines!$F:$F,"Beverage")&gt;0)</f>
        <v>0</v>
      </c>
      <c r="I163">
        <f>SUMIFS(OrderLines!$I:$I,OrderLines!$A:$A,A163)</f>
        <v>406.53899999999999</v>
      </c>
      <c r="J163" t="str">
        <f>IF(AND(COUNTIFS(OrderLines!$A$2:$A$925,A163,OrderLines!$F$2:$F$925,"Hot Meal")&gt;0,COUNTIFS(OrderLines!$A$2:$A$925,A163,OrderLines!$F$2:$F$925,"Beverage")&gt;0),"Combo","Single")</f>
        <v>Single</v>
      </c>
      <c r="K163" t="str">
        <f>IF(SUMPRODUCT((OrderLines!$A$2:$A$925=A163)*OrderLines!$C$2:$C$925*OrderLines!$D$2:$D$925)*G163&gt;40,"HighDisc","OK")</f>
        <v>HighDisc</v>
      </c>
    </row>
    <row r="164" spans="1:11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 s="11">
        <v>0</v>
      </c>
      <c r="H164" t="b">
        <f>(COUNTIFS(OrderLines!$A:$A,A164,OrderLines!$F:$F,"Beverage")&gt;0)</f>
        <v>0</v>
      </c>
      <c r="I164">
        <f>SUMIFS(OrderLines!$I:$I,OrderLines!$A:$A,A164)</f>
        <v>633.67000000000007</v>
      </c>
      <c r="J164" t="str">
        <f>IF(AND(COUNTIFS(OrderLines!$A$2:$A$925,A164,OrderLines!$F$2:$F$925,"Hot Meal")&gt;0,COUNTIFS(OrderLines!$A$2:$A$925,A164,OrderLines!$F$2:$F$925,"Beverage")&gt;0),"Combo","Single")</f>
        <v>Single</v>
      </c>
      <c r="K164" t="str">
        <f>IF(SUMPRODUCT((OrderLines!$A$2:$A$925=A164)*OrderLines!$C$2:$C$925*OrderLines!$D$2:$D$925)*G164&gt;40,"HighDisc","OK")</f>
        <v>OK</v>
      </c>
    </row>
    <row r="165" spans="1:11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 s="11">
        <v>0.02</v>
      </c>
      <c r="H165" t="b">
        <f>(COUNTIFS(OrderLines!$A:$A,A165,OrderLines!$F:$F,"Beverage")&gt;0)</f>
        <v>0</v>
      </c>
      <c r="I165">
        <f>SUMIFS(OrderLines!$I:$I,OrderLines!$A:$A,A165)</f>
        <v>194.18700000000001</v>
      </c>
      <c r="J165" t="str">
        <f>IF(AND(COUNTIFS(OrderLines!$A$2:$A$925,A165,OrderLines!$F$2:$F$925,"Hot Meal")&gt;0,COUNTIFS(OrderLines!$A$2:$A$925,A165,OrderLines!$F$2:$F$925,"Beverage")&gt;0),"Combo","Single")</f>
        <v>Single</v>
      </c>
      <c r="K165" t="str">
        <f>IF(SUMPRODUCT((OrderLines!$A$2:$A$925=A165)*OrderLines!$C$2:$C$925*OrderLines!$D$2:$D$925)*G165&gt;40,"HighDisc","OK")</f>
        <v>OK</v>
      </c>
    </row>
    <row r="166" spans="1:11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 s="11">
        <v>0.08</v>
      </c>
      <c r="H166" t="b">
        <f>(COUNTIFS(OrderLines!$A:$A,A166,OrderLines!$F:$F,"Beverage")&gt;0)</f>
        <v>1</v>
      </c>
      <c r="I166">
        <f>SUMIFS(OrderLines!$I:$I,OrderLines!$A:$A,A166)</f>
        <v>146.00400000000002</v>
      </c>
      <c r="J166" t="str">
        <f>IF(AND(COUNTIFS(OrderLines!$A$2:$A$925,A166,OrderLines!$F$2:$F$925,"Hot Meal")&gt;0,COUNTIFS(OrderLines!$A$2:$A$925,A166,OrderLines!$F$2:$F$925,"Beverage")&gt;0),"Combo","Single")</f>
        <v>Single</v>
      </c>
      <c r="K166" t="str">
        <f>IF(SUMPRODUCT((OrderLines!$A$2:$A$925=A166)*OrderLines!$C$2:$C$925*OrderLines!$D$2:$D$925)*G166&gt;40,"HighDisc","OK")</f>
        <v>OK</v>
      </c>
    </row>
    <row r="167" spans="1:11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 s="11">
        <v>0.08</v>
      </c>
      <c r="H167" t="b">
        <f>(COUNTIFS(OrderLines!$A:$A,A167,OrderLines!$F:$F,"Beverage")&gt;0)</f>
        <v>1</v>
      </c>
      <c r="I167">
        <f>SUMIFS(OrderLines!$I:$I,OrderLines!$A:$A,A167)</f>
        <v>91.024799999999999</v>
      </c>
      <c r="J167" t="str">
        <f>IF(AND(COUNTIFS(OrderLines!$A$2:$A$925,A167,OrderLines!$F$2:$F$925,"Hot Meal")&gt;0,COUNTIFS(OrderLines!$A$2:$A$925,A167,OrderLines!$F$2:$F$925,"Beverage")&gt;0),"Combo","Single")</f>
        <v>Single</v>
      </c>
      <c r="K167" t="str">
        <f>IF(SUMPRODUCT((OrderLines!$A$2:$A$925=A167)*OrderLines!$C$2:$C$925*OrderLines!$D$2:$D$925)*G167&gt;40,"HighDisc","OK")</f>
        <v>OK</v>
      </c>
    </row>
    <row r="168" spans="1:11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 s="11">
        <v>0.08</v>
      </c>
      <c r="H168" t="b">
        <f>(COUNTIFS(OrderLines!$A:$A,A168,OrderLines!$F:$F,"Beverage")&gt;0)</f>
        <v>1</v>
      </c>
      <c r="I168">
        <f>SUMIFS(OrderLines!$I:$I,OrderLines!$A:$A,A168)</f>
        <v>37.002400000000002</v>
      </c>
      <c r="J168" t="str">
        <f>IF(AND(COUNTIFS(OrderLines!$A$2:$A$925,A168,OrderLines!$F$2:$F$925,"Hot Meal")&gt;0,COUNTIFS(OrderLines!$A$2:$A$925,A168,OrderLines!$F$2:$F$925,"Beverage")&gt;0),"Combo","Single")</f>
        <v>Single</v>
      </c>
      <c r="K168" t="str">
        <f>IF(SUMPRODUCT((OrderLines!$A$2:$A$925=A168)*OrderLines!$C$2:$C$925*OrderLines!$D$2:$D$925)*G168&gt;40,"HighDisc","OK")</f>
        <v>OK</v>
      </c>
    </row>
    <row r="169" spans="1:11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 s="11">
        <v>0.21</v>
      </c>
      <c r="H169" t="b">
        <f>(COUNTIFS(OrderLines!$A:$A,A169,OrderLines!$F:$F,"Beverage")&gt;0)</f>
        <v>0</v>
      </c>
      <c r="I169">
        <f>SUMIFS(OrderLines!$I:$I,OrderLines!$A:$A,A169)</f>
        <v>331.4366</v>
      </c>
      <c r="J169" t="str">
        <f>IF(AND(COUNTIFS(OrderLines!$A$2:$A$925,A169,OrderLines!$F$2:$F$925,"Hot Meal")&gt;0,COUNTIFS(OrderLines!$A$2:$A$925,A169,OrderLines!$F$2:$F$925,"Beverage")&gt;0),"Combo","Single")</f>
        <v>Single</v>
      </c>
      <c r="K169" t="str">
        <f>IF(SUMPRODUCT((OrderLines!$A$2:$A$925=A169)*OrderLines!$C$2:$C$925*OrderLines!$D$2:$D$925)*G169&gt;40,"HighDisc","OK")</f>
        <v>HighDisc</v>
      </c>
    </row>
    <row r="170" spans="1:11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 s="11">
        <v>0.08</v>
      </c>
      <c r="H170" t="b">
        <f>(COUNTIFS(OrderLines!$A:$A,A170,OrderLines!$F:$F,"Beverage")&gt;0)</f>
        <v>1</v>
      </c>
      <c r="I170">
        <f>SUMIFS(OrderLines!$I:$I,OrderLines!$A:$A,A170)</f>
        <v>318.40280000000001</v>
      </c>
      <c r="J170" t="str">
        <f>IF(AND(COUNTIFS(OrderLines!$A$2:$A$925,A170,OrderLines!$F$2:$F$925,"Hot Meal")&gt;0,COUNTIFS(OrderLines!$A$2:$A$925,A170,OrderLines!$F$2:$F$925,"Beverage")&gt;0),"Combo","Single")</f>
        <v>Combo</v>
      </c>
      <c r="K170" t="str">
        <f>IF(SUMPRODUCT((OrderLines!$A$2:$A$925=A170)*OrderLines!$C$2:$C$925*OrderLines!$D$2:$D$925)*G170&gt;40,"HighDisc","OK")</f>
        <v>OK</v>
      </c>
    </row>
    <row r="171" spans="1:11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 s="11">
        <v>0.11</v>
      </c>
      <c r="H171" t="b">
        <f>(COUNTIFS(OrderLines!$A:$A,A171,OrderLines!$F:$F,"Beverage")&gt;0)</f>
        <v>1</v>
      </c>
      <c r="I171">
        <f>SUMIFS(OrderLines!$I:$I,OrderLines!$A:$A,A171)</f>
        <v>153.614</v>
      </c>
      <c r="J171" t="str">
        <f>IF(AND(COUNTIFS(OrderLines!$A$2:$A$925,A171,OrderLines!$F$2:$F$925,"Hot Meal")&gt;0,COUNTIFS(OrderLines!$A$2:$A$925,A171,OrderLines!$F$2:$F$925,"Beverage")&gt;0),"Combo","Single")</f>
        <v>Single</v>
      </c>
      <c r="K171" t="str">
        <f>IF(SUMPRODUCT((OrderLines!$A$2:$A$925=A171)*OrderLines!$C$2:$C$925*OrderLines!$D$2:$D$925)*G171&gt;40,"HighDisc","OK")</f>
        <v>OK</v>
      </c>
    </row>
    <row r="172" spans="1:11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 s="11">
        <v>0.1</v>
      </c>
      <c r="H172" t="b">
        <f>(COUNTIFS(OrderLines!$A:$A,A172,OrderLines!$F:$F,"Beverage")&gt;0)</f>
        <v>0</v>
      </c>
      <c r="I172">
        <f>SUMIFS(OrderLines!$I:$I,OrderLines!$A:$A,A172)</f>
        <v>502.74000000000007</v>
      </c>
      <c r="J172" t="str">
        <f>IF(AND(COUNTIFS(OrderLines!$A$2:$A$925,A172,OrderLines!$F$2:$F$925,"Hot Meal")&gt;0,COUNTIFS(OrderLines!$A$2:$A$925,A172,OrderLines!$F$2:$F$925,"Beverage")&gt;0),"Combo","Single")</f>
        <v>Single</v>
      </c>
      <c r="K172" t="str">
        <f>IF(SUMPRODUCT((OrderLines!$A$2:$A$925=A172)*OrderLines!$C$2:$C$925*OrderLines!$D$2:$D$925)*G172&gt;40,"HighDisc","OK")</f>
        <v>HighDisc</v>
      </c>
    </row>
    <row r="173" spans="1:11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 s="11">
        <v>0.09</v>
      </c>
      <c r="H173" t="b">
        <f>(COUNTIFS(OrderLines!$A:$A,A173,OrderLines!$F:$F,"Beverage")&gt;0)</f>
        <v>0</v>
      </c>
      <c r="I173">
        <f>SUMIFS(OrderLines!$I:$I,OrderLines!$A:$A,A173)</f>
        <v>414.25020000000006</v>
      </c>
      <c r="J173" t="str">
        <f>IF(AND(COUNTIFS(OrderLines!$A$2:$A$925,A173,OrderLines!$F$2:$F$925,"Hot Meal")&gt;0,COUNTIFS(OrderLines!$A$2:$A$925,A173,OrderLines!$F$2:$F$925,"Beverage")&gt;0),"Combo","Single")</f>
        <v>Single</v>
      </c>
      <c r="K173" t="str">
        <f>IF(SUMPRODUCT((OrderLines!$A$2:$A$925=A173)*OrderLines!$C$2:$C$925*OrderLines!$D$2:$D$925)*G173&gt;40,"HighDisc","OK")</f>
        <v>HighDisc</v>
      </c>
    </row>
    <row r="174" spans="1:11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 s="11">
        <v>0.05</v>
      </c>
      <c r="H174" t="b">
        <f>(COUNTIFS(OrderLines!$A:$A,A174,OrderLines!$F:$F,"Beverage")&gt;0)</f>
        <v>0</v>
      </c>
      <c r="I174">
        <f>SUMIFS(OrderLines!$I:$I,OrderLines!$A:$A,A174)</f>
        <v>488.12900000000002</v>
      </c>
      <c r="J174" t="str">
        <f>IF(AND(COUNTIFS(OrderLines!$A$2:$A$925,A174,OrderLines!$F$2:$F$925,"Hot Meal")&gt;0,COUNTIFS(OrderLines!$A$2:$A$925,A174,OrderLines!$F$2:$F$925,"Beverage")&gt;0),"Combo","Single")</f>
        <v>Single</v>
      </c>
      <c r="K174" t="str">
        <f>IF(SUMPRODUCT((OrderLines!$A$2:$A$925=A174)*OrderLines!$C$2:$C$925*OrderLines!$D$2:$D$925)*G174&gt;40,"HighDisc","OK")</f>
        <v>OK</v>
      </c>
    </row>
    <row r="175" spans="1:11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 s="11">
        <v>0.09</v>
      </c>
      <c r="H175" t="b">
        <f>(COUNTIFS(OrderLines!$A:$A,A175,OrderLines!$F:$F,"Beverage")&gt;0)</f>
        <v>1</v>
      </c>
      <c r="I175">
        <f>SUMIFS(OrderLines!$I:$I,OrderLines!$A:$A,A175)</f>
        <v>243.8982</v>
      </c>
      <c r="J175" t="str">
        <f>IF(AND(COUNTIFS(OrderLines!$A$2:$A$925,A175,OrderLines!$F$2:$F$925,"Hot Meal")&gt;0,COUNTIFS(OrderLines!$A$2:$A$925,A175,OrderLines!$F$2:$F$925,"Beverage")&gt;0),"Combo","Single")</f>
        <v>Single</v>
      </c>
      <c r="K175" t="str">
        <f>IF(SUMPRODUCT((OrderLines!$A$2:$A$925=A175)*OrderLines!$C$2:$C$925*OrderLines!$D$2:$D$925)*G175&gt;40,"HighDisc","OK")</f>
        <v>OK</v>
      </c>
    </row>
    <row r="176" spans="1:11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 s="11">
        <v>0.03</v>
      </c>
      <c r="H176" t="b">
        <f>(COUNTIFS(OrderLines!$A:$A,A176,OrderLines!$F:$F,"Beverage")&gt;0)</f>
        <v>0</v>
      </c>
      <c r="I176">
        <f>SUMIFS(OrderLines!$I:$I,OrderLines!$A:$A,A176)</f>
        <v>318.15030000000002</v>
      </c>
      <c r="J176" t="str">
        <f>IF(AND(COUNTIFS(OrderLines!$A$2:$A$925,A176,OrderLines!$F$2:$F$925,"Hot Meal")&gt;0,COUNTIFS(OrderLines!$A$2:$A$925,A176,OrderLines!$F$2:$F$925,"Beverage")&gt;0),"Combo","Single")</f>
        <v>Single</v>
      </c>
      <c r="K176" t="str">
        <f>IF(SUMPRODUCT((OrderLines!$A$2:$A$925=A176)*OrderLines!$C$2:$C$925*OrderLines!$D$2:$D$925)*G176&gt;40,"HighDisc","OK")</f>
        <v>OK</v>
      </c>
    </row>
    <row r="177" spans="1:11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 s="11">
        <v>0.05</v>
      </c>
      <c r="H177" t="b">
        <f>(COUNTIFS(OrderLines!$A:$A,A177,OrderLines!$F:$F,"Beverage")&gt;0)</f>
        <v>1</v>
      </c>
      <c r="I177">
        <f>SUMIFS(OrderLines!$I:$I,OrderLines!$A:$A,A177)</f>
        <v>479.39850000000001</v>
      </c>
      <c r="J177" t="str">
        <f>IF(AND(COUNTIFS(OrderLines!$A$2:$A$925,A177,OrderLines!$F$2:$F$925,"Hot Meal")&gt;0,COUNTIFS(OrderLines!$A$2:$A$925,A177,OrderLines!$F$2:$F$925,"Beverage")&gt;0),"Combo","Single")</f>
        <v>Combo</v>
      </c>
      <c r="K177" t="str">
        <f>IF(SUMPRODUCT((OrderLines!$A$2:$A$925=A177)*OrderLines!$C$2:$C$925*OrderLines!$D$2:$D$925)*G177&gt;40,"HighDisc","OK")</f>
        <v>OK</v>
      </c>
    </row>
    <row r="178" spans="1:11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 s="11">
        <v>0.04</v>
      </c>
      <c r="H178" t="b">
        <f>(COUNTIFS(OrderLines!$A:$A,A178,OrderLines!$F:$F,"Beverage")&gt;0)</f>
        <v>1</v>
      </c>
      <c r="I178">
        <f>SUMIFS(OrderLines!$I:$I,OrderLines!$A:$A,A178)</f>
        <v>145.91039999999998</v>
      </c>
      <c r="J178" t="str">
        <f>IF(AND(COUNTIFS(OrderLines!$A$2:$A$925,A178,OrderLines!$F$2:$F$925,"Hot Meal")&gt;0,COUNTIFS(OrderLines!$A$2:$A$925,A178,OrderLines!$F$2:$F$925,"Beverage")&gt;0),"Combo","Single")</f>
        <v>Single</v>
      </c>
      <c r="K178" t="str">
        <f>IF(SUMPRODUCT((OrderLines!$A$2:$A$925=A178)*OrderLines!$C$2:$C$925*OrderLines!$D$2:$D$925)*G178&gt;40,"HighDisc","OK")</f>
        <v>OK</v>
      </c>
    </row>
    <row r="179" spans="1:11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 s="11">
        <v>0.06</v>
      </c>
      <c r="H179" t="b">
        <f>(COUNTIFS(OrderLines!$A:$A,A179,OrderLines!$F:$F,"Beverage")&gt;0)</f>
        <v>0</v>
      </c>
      <c r="I179">
        <f>SUMIFS(OrderLines!$I:$I,OrderLines!$A:$A,A179)</f>
        <v>976.71639999999991</v>
      </c>
      <c r="J179" t="str">
        <f>IF(AND(COUNTIFS(OrderLines!$A$2:$A$925,A179,OrderLines!$F$2:$F$925,"Hot Meal")&gt;0,COUNTIFS(OrderLines!$A$2:$A$925,A179,OrderLines!$F$2:$F$925,"Beverage")&gt;0),"Combo","Single")</f>
        <v>Single</v>
      </c>
      <c r="K179" t="str">
        <f>IF(SUMPRODUCT((OrderLines!$A$2:$A$925=A179)*OrderLines!$C$2:$C$925*OrderLines!$D$2:$D$925)*G179&gt;40,"HighDisc","OK")</f>
        <v>HighDisc</v>
      </c>
    </row>
    <row r="180" spans="1:11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 s="11">
        <v>0.15</v>
      </c>
      <c r="H180" t="b">
        <f>(COUNTIFS(OrderLines!$A:$A,A180,OrderLines!$F:$F,"Beverage")&gt;0)</f>
        <v>0</v>
      </c>
      <c r="I180">
        <f>SUMIFS(OrderLines!$I:$I,OrderLines!$A:$A,A180)</f>
        <v>339.08199999999999</v>
      </c>
      <c r="J180" t="str">
        <f>IF(AND(COUNTIFS(OrderLines!$A$2:$A$925,A180,OrderLines!$F$2:$F$925,"Hot Meal")&gt;0,COUNTIFS(OrderLines!$A$2:$A$925,A180,OrderLines!$F$2:$F$925,"Beverage")&gt;0),"Combo","Single")</f>
        <v>Single</v>
      </c>
      <c r="K180" t="str">
        <f>IF(SUMPRODUCT((OrderLines!$A$2:$A$925=A180)*OrderLines!$C$2:$C$925*OrderLines!$D$2:$D$925)*G180&gt;40,"HighDisc","OK")</f>
        <v>HighDisc</v>
      </c>
    </row>
    <row r="181" spans="1:11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 s="11">
        <v>0</v>
      </c>
      <c r="H181" t="b">
        <f>(COUNTIFS(OrderLines!$A:$A,A181,OrderLines!$F:$F,"Beverage")&gt;0)</f>
        <v>1</v>
      </c>
      <c r="I181">
        <f>SUMIFS(OrderLines!$I:$I,OrderLines!$A:$A,A181)</f>
        <v>28.43</v>
      </c>
      <c r="J181" t="str">
        <f>IF(AND(COUNTIFS(OrderLines!$A$2:$A$925,A181,OrderLines!$F$2:$F$925,"Hot Meal")&gt;0,COUNTIFS(OrderLines!$A$2:$A$925,A181,OrderLines!$F$2:$F$925,"Beverage")&gt;0),"Combo","Single")</f>
        <v>Single</v>
      </c>
      <c r="K181" t="str">
        <f>IF(SUMPRODUCT((OrderLines!$A$2:$A$925=A181)*OrderLines!$C$2:$C$925*OrderLines!$D$2:$D$925)*G181&gt;40,"HighDisc","OK")</f>
        <v>OK</v>
      </c>
    </row>
    <row r="182" spans="1:11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 s="11">
        <v>0.09</v>
      </c>
      <c r="H182" t="b">
        <f>(COUNTIFS(OrderLines!$A:$A,A182,OrderLines!$F:$F,"Beverage")&gt;0)</f>
        <v>0</v>
      </c>
      <c r="I182">
        <f>SUMIFS(OrderLines!$I:$I,OrderLines!$A:$A,A182)</f>
        <v>1182.9727000000003</v>
      </c>
      <c r="J182" t="str">
        <f>IF(AND(COUNTIFS(OrderLines!$A$2:$A$925,A182,OrderLines!$F$2:$F$925,"Hot Meal")&gt;0,COUNTIFS(OrderLines!$A$2:$A$925,A182,OrderLines!$F$2:$F$925,"Beverage")&gt;0),"Combo","Single")</f>
        <v>Single</v>
      </c>
      <c r="K182" t="str">
        <f>IF(SUMPRODUCT((OrderLines!$A$2:$A$925=A182)*OrderLines!$C$2:$C$925*OrderLines!$D$2:$D$925)*G182&gt;40,"HighDisc","OK")</f>
        <v>HighDisc</v>
      </c>
    </row>
    <row r="183" spans="1:11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 s="11">
        <v>0</v>
      </c>
      <c r="H183" t="b">
        <f>(COUNTIFS(OrderLines!$A:$A,A183,OrderLines!$F:$F,"Beverage")&gt;0)</f>
        <v>0</v>
      </c>
      <c r="I183">
        <f>SUMIFS(OrderLines!$I:$I,OrderLines!$A:$A,A183)</f>
        <v>52.45</v>
      </c>
      <c r="J183" t="str">
        <f>IF(AND(COUNTIFS(OrderLines!$A$2:$A$925,A183,OrderLines!$F$2:$F$925,"Hot Meal")&gt;0,COUNTIFS(OrderLines!$A$2:$A$925,A183,OrderLines!$F$2:$F$925,"Beverage")&gt;0),"Combo","Single")</f>
        <v>Single</v>
      </c>
      <c r="K183" t="str">
        <f>IF(SUMPRODUCT((OrderLines!$A$2:$A$925=A183)*OrderLines!$C$2:$C$925*OrderLines!$D$2:$D$925)*G183&gt;40,"HighDisc","OK")</f>
        <v>OK</v>
      </c>
    </row>
    <row r="184" spans="1:11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 s="11">
        <v>0.04</v>
      </c>
      <c r="H184" t="b">
        <f>(COUNTIFS(OrderLines!$A:$A,A184,OrderLines!$F:$F,"Beverage")&gt;0)</f>
        <v>1</v>
      </c>
      <c r="I184">
        <f>SUMIFS(OrderLines!$I:$I,OrderLines!$A:$A,A184)</f>
        <v>150.70079999999999</v>
      </c>
      <c r="J184" t="str">
        <f>IF(AND(COUNTIFS(OrderLines!$A$2:$A$925,A184,OrderLines!$F$2:$F$925,"Hot Meal")&gt;0,COUNTIFS(OrderLines!$A$2:$A$925,A184,OrderLines!$F$2:$F$925,"Beverage")&gt;0),"Combo","Single")</f>
        <v>Single</v>
      </c>
      <c r="K184" t="str">
        <f>IF(SUMPRODUCT((OrderLines!$A$2:$A$925=A184)*OrderLines!$C$2:$C$925*OrderLines!$D$2:$D$925)*G184&gt;40,"HighDisc","OK")</f>
        <v>OK</v>
      </c>
    </row>
    <row r="185" spans="1:11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 s="11">
        <v>0.1</v>
      </c>
      <c r="H185" t="b">
        <f>(COUNTIFS(OrderLines!$A:$A,A185,OrderLines!$F:$F,"Beverage")&gt;0)</f>
        <v>0</v>
      </c>
      <c r="I185">
        <f>SUMIFS(OrderLines!$I:$I,OrderLines!$A:$A,A185)</f>
        <v>130.78800000000001</v>
      </c>
      <c r="J185" t="str">
        <f>IF(AND(COUNTIFS(OrderLines!$A$2:$A$925,A185,OrderLines!$F$2:$F$925,"Hot Meal")&gt;0,COUNTIFS(OrderLines!$A$2:$A$925,A185,OrderLines!$F$2:$F$925,"Beverage")&gt;0),"Combo","Single")</f>
        <v>Single</v>
      </c>
      <c r="K185" t="str">
        <f>IF(SUMPRODUCT((OrderLines!$A$2:$A$925=A185)*OrderLines!$C$2:$C$925*OrderLines!$D$2:$D$925)*G185&gt;40,"HighDisc","OK")</f>
        <v>OK</v>
      </c>
    </row>
    <row r="186" spans="1:11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 s="11">
        <v>0.06</v>
      </c>
      <c r="H186" t="b">
        <f>(COUNTIFS(OrderLines!$A:$A,A186,OrderLines!$F:$F,"Beverage")&gt;0)</f>
        <v>1</v>
      </c>
      <c r="I186">
        <f>SUMIFS(OrderLines!$I:$I,OrderLines!$A:$A,A186)</f>
        <v>138.85679999999999</v>
      </c>
      <c r="J186" t="str">
        <f>IF(AND(COUNTIFS(OrderLines!$A$2:$A$925,A186,OrderLines!$F$2:$F$925,"Hot Meal")&gt;0,COUNTIFS(OrderLines!$A$2:$A$925,A186,OrderLines!$F$2:$F$925,"Beverage")&gt;0),"Combo","Single")</f>
        <v>Single</v>
      </c>
      <c r="K186" t="str">
        <f>IF(SUMPRODUCT((OrderLines!$A$2:$A$925=A186)*OrderLines!$C$2:$C$925*OrderLines!$D$2:$D$925)*G186&gt;40,"HighDisc","OK")</f>
        <v>OK</v>
      </c>
    </row>
    <row r="187" spans="1:11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 s="11">
        <v>0.02</v>
      </c>
      <c r="H187" t="b">
        <f>(COUNTIFS(OrderLines!$A:$A,A187,OrderLines!$F:$F,"Beverage")&gt;0)</f>
        <v>1</v>
      </c>
      <c r="I187">
        <f>SUMIFS(OrderLines!$I:$I,OrderLines!$A:$A,A187)</f>
        <v>59.4664</v>
      </c>
      <c r="J187" t="str">
        <f>IF(AND(COUNTIFS(OrderLines!$A$2:$A$925,A187,OrderLines!$F$2:$F$925,"Hot Meal")&gt;0,COUNTIFS(OrderLines!$A$2:$A$925,A187,OrderLines!$F$2:$F$925,"Beverage")&gt;0),"Combo","Single")</f>
        <v>Single</v>
      </c>
      <c r="K187" t="str">
        <f>IF(SUMPRODUCT((OrderLines!$A$2:$A$925=A187)*OrderLines!$C$2:$C$925*OrderLines!$D$2:$D$925)*G187&gt;40,"HighDisc","OK")</f>
        <v>OK</v>
      </c>
    </row>
    <row r="188" spans="1:11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 s="11">
        <v>0.03</v>
      </c>
      <c r="H188" t="b">
        <f>(COUNTIFS(OrderLines!$A:$A,A188,OrderLines!$F:$F,"Beverage")&gt;0)</f>
        <v>1</v>
      </c>
      <c r="I188">
        <f>SUMIFS(OrderLines!$I:$I,OrderLines!$A:$A,A188)</f>
        <v>403.25810000000001</v>
      </c>
      <c r="J188" t="str">
        <f>IF(AND(COUNTIFS(OrderLines!$A$2:$A$925,A188,OrderLines!$F$2:$F$925,"Hot Meal")&gt;0,COUNTIFS(OrderLines!$A$2:$A$925,A188,OrderLines!$F$2:$F$925,"Beverage")&gt;0),"Combo","Single")</f>
        <v>Combo</v>
      </c>
      <c r="K188" t="str">
        <f>IF(SUMPRODUCT((OrderLines!$A$2:$A$925=A188)*OrderLines!$C$2:$C$925*OrderLines!$D$2:$D$925)*G188&gt;40,"HighDisc","OK")</f>
        <v>OK</v>
      </c>
    </row>
    <row r="189" spans="1:11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 s="11">
        <v>0.09</v>
      </c>
      <c r="H189" t="b">
        <f>(COUNTIFS(OrderLines!$A:$A,A189,OrderLines!$F:$F,"Beverage")&gt;0)</f>
        <v>1</v>
      </c>
      <c r="I189">
        <f>SUMIFS(OrderLines!$I:$I,OrderLines!$A:$A,A189)</f>
        <v>186.86850000000001</v>
      </c>
      <c r="J189" t="str">
        <f>IF(AND(COUNTIFS(OrderLines!$A$2:$A$925,A189,OrderLines!$F$2:$F$925,"Hot Meal")&gt;0,COUNTIFS(OrderLines!$A$2:$A$925,A189,OrderLines!$F$2:$F$925,"Beverage")&gt;0),"Combo","Single")</f>
        <v>Single</v>
      </c>
      <c r="K189" t="str">
        <f>IF(SUMPRODUCT((OrderLines!$A$2:$A$925=A189)*OrderLines!$C$2:$C$925*OrderLines!$D$2:$D$925)*G189&gt;40,"HighDisc","OK")</f>
        <v>OK</v>
      </c>
    </row>
    <row r="190" spans="1:11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 s="11">
        <v>0.03</v>
      </c>
      <c r="H190" t="b">
        <f>(COUNTIFS(OrderLines!$A:$A,A190,OrderLines!$F:$F,"Beverage")&gt;0)</f>
        <v>1</v>
      </c>
      <c r="I190">
        <f>SUMIFS(OrderLines!$I:$I,OrderLines!$A:$A,A190)</f>
        <v>584.85180000000003</v>
      </c>
      <c r="J190" t="str">
        <f>IF(AND(COUNTIFS(OrderLines!$A$2:$A$925,A190,OrderLines!$F$2:$F$925,"Hot Meal")&gt;0,COUNTIFS(OrderLines!$A$2:$A$925,A190,OrderLines!$F$2:$F$925,"Beverage")&gt;0),"Combo","Single")</f>
        <v>Combo</v>
      </c>
      <c r="K190" t="str">
        <f>IF(SUMPRODUCT((OrderLines!$A$2:$A$925=A190)*OrderLines!$C$2:$C$925*OrderLines!$D$2:$D$925)*G190&gt;40,"HighDisc","OK")</f>
        <v>OK</v>
      </c>
    </row>
    <row r="191" spans="1:11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 s="11">
        <v>7.0000000000000007E-2</v>
      </c>
      <c r="H191" t="b">
        <f>(COUNTIFS(OrderLines!$A:$A,A191,OrderLines!$F:$F,"Beverage")&gt;0)</f>
        <v>0</v>
      </c>
      <c r="I191">
        <f>SUMIFS(OrderLines!$I:$I,OrderLines!$A:$A,A191)</f>
        <v>136.15199999999999</v>
      </c>
      <c r="J191" t="str">
        <f>IF(AND(COUNTIFS(OrderLines!$A$2:$A$925,A191,OrderLines!$F$2:$F$925,"Hot Meal")&gt;0,COUNTIFS(OrderLines!$A$2:$A$925,A191,OrderLines!$F$2:$F$925,"Beverage")&gt;0),"Combo","Single")</f>
        <v>Single</v>
      </c>
      <c r="K191" t="str">
        <f>IF(SUMPRODUCT((OrderLines!$A$2:$A$925=A191)*OrderLines!$C$2:$C$925*OrderLines!$D$2:$D$925)*G191&gt;40,"HighDisc","OK")</f>
        <v>OK</v>
      </c>
    </row>
    <row r="192" spans="1:11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 s="11">
        <v>0.06</v>
      </c>
      <c r="H192" t="b">
        <f>(COUNTIFS(OrderLines!$A:$A,A192,OrderLines!$F:$F,"Beverage")&gt;0)</f>
        <v>0</v>
      </c>
      <c r="I192">
        <f>SUMIFS(OrderLines!$I:$I,OrderLines!$A:$A,A192)</f>
        <v>255.2946</v>
      </c>
      <c r="J192" t="str">
        <f>IF(AND(COUNTIFS(OrderLines!$A$2:$A$925,A192,OrderLines!$F$2:$F$925,"Hot Meal")&gt;0,COUNTIFS(OrderLines!$A$2:$A$925,A192,OrderLines!$F$2:$F$925,"Beverage")&gt;0),"Combo","Single")</f>
        <v>Single</v>
      </c>
      <c r="K192" t="str">
        <f>IF(SUMPRODUCT((OrderLines!$A$2:$A$925=A192)*OrderLines!$C$2:$C$925*OrderLines!$D$2:$D$925)*G192&gt;40,"HighDisc","OK")</f>
        <v>OK</v>
      </c>
    </row>
    <row r="193" spans="1:11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 s="11">
        <v>0.03</v>
      </c>
      <c r="H193" t="b">
        <f>(COUNTIFS(OrderLines!$A:$A,A193,OrderLines!$F:$F,"Beverage")&gt;0)</f>
        <v>0</v>
      </c>
      <c r="I193">
        <f>SUMIFS(OrderLines!$I:$I,OrderLines!$A:$A,A193)</f>
        <v>498.40540000000004</v>
      </c>
      <c r="J193" t="str">
        <f>IF(AND(COUNTIFS(OrderLines!$A$2:$A$925,A193,OrderLines!$F$2:$F$925,"Hot Meal")&gt;0,COUNTIFS(OrderLines!$A$2:$A$925,A193,OrderLines!$F$2:$F$925,"Beverage")&gt;0),"Combo","Single")</f>
        <v>Single</v>
      </c>
      <c r="K193" t="str">
        <f>IF(SUMPRODUCT((OrderLines!$A$2:$A$925=A193)*OrderLines!$C$2:$C$925*OrderLines!$D$2:$D$925)*G193&gt;40,"HighDisc","OK")</f>
        <v>OK</v>
      </c>
    </row>
    <row r="194" spans="1:11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 s="11">
        <v>0.15</v>
      </c>
      <c r="H194" t="b">
        <f>(COUNTIFS(OrderLines!$A:$A,A194,OrderLines!$F:$F,"Beverage")&gt;0)</f>
        <v>1</v>
      </c>
      <c r="I194">
        <f>SUMIFS(OrderLines!$I:$I,OrderLines!$A:$A,A194)</f>
        <v>209.661</v>
      </c>
      <c r="J194" t="str">
        <f>IF(AND(COUNTIFS(OrderLines!$A$2:$A$925,A194,OrderLines!$F$2:$F$925,"Hot Meal")&gt;0,COUNTIFS(OrderLines!$A$2:$A$925,A194,OrderLines!$F$2:$F$925,"Beverage")&gt;0),"Combo","Single")</f>
        <v>Single</v>
      </c>
      <c r="K194" t="str">
        <f>IF(SUMPRODUCT((OrderLines!$A$2:$A$925=A194)*OrderLines!$C$2:$C$925*OrderLines!$D$2:$D$925)*G194&gt;40,"HighDisc","OK")</f>
        <v>OK</v>
      </c>
    </row>
    <row r="195" spans="1:11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 s="11">
        <v>0.09</v>
      </c>
      <c r="H195" t="b">
        <f>(COUNTIFS(OrderLines!$A:$A,A195,OrderLines!$F:$F,"Beverage")&gt;0)</f>
        <v>1</v>
      </c>
      <c r="I195">
        <f>SUMIFS(OrderLines!$I:$I,OrderLines!$A:$A,A195)</f>
        <v>227.2088</v>
      </c>
      <c r="J195" t="str">
        <f>IF(AND(COUNTIFS(OrderLines!$A$2:$A$925,A195,OrderLines!$F$2:$F$925,"Hot Meal")&gt;0,COUNTIFS(OrderLines!$A$2:$A$925,A195,OrderLines!$F$2:$F$925,"Beverage")&gt;0),"Combo","Single")</f>
        <v>Single</v>
      </c>
      <c r="K195" t="str">
        <f>IF(SUMPRODUCT((OrderLines!$A$2:$A$925=A195)*OrderLines!$C$2:$C$925*OrderLines!$D$2:$D$925)*G195&gt;40,"HighDisc","OK")</f>
        <v>OK</v>
      </c>
    </row>
    <row r="196" spans="1:11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 s="11">
        <v>0</v>
      </c>
      <c r="H196" t="b">
        <f>(COUNTIFS(OrderLines!$A:$A,A196,OrderLines!$F:$F,"Beverage")&gt;0)</f>
        <v>0</v>
      </c>
      <c r="I196">
        <f>SUMIFS(OrderLines!$I:$I,OrderLines!$A:$A,A196)</f>
        <v>731</v>
      </c>
      <c r="J196" t="str">
        <f>IF(AND(COUNTIFS(OrderLines!$A$2:$A$925,A196,OrderLines!$F$2:$F$925,"Hot Meal")&gt;0,COUNTIFS(OrderLines!$A$2:$A$925,A196,OrderLines!$F$2:$F$925,"Beverage")&gt;0),"Combo","Single")</f>
        <v>Single</v>
      </c>
      <c r="K196" t="str">
        <f>IF(SUMPRODUCT((OrderLines!$A$2:$A$925=A196)*OrderLines!$C$2:$C$925*OrderLines!$D$2:$D$925)*G196&gt;40,"HighDisc","OK")</f>
        <v>OK</v>
      </c>
    </row>
    <row r="197" spans="1:11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 s="11">
        <v>7.0000000000000007E-2</v>
      </c>
      <c r="H197" t="b">
        <f>(COUNTIFS(OrderLines!$A:$A,A197,OrderLines!$F:$F,"Beverage")&gt;0)</f>
        <v>0</v>
      </c>
      <c r="I197">
        <f>SUMIFS(OrderLines!$I:$I,OrderLines!$A:$A,A197)</f>
        <v>318.80399999999997</v>
      </c>
      <c r="J197" t="str">
        <f>IF(AND(COUNTIFS(OrderLines!$A$2:$A$925,A197,OrderLines!$F$2:$F$925,"Hot Meal")&gt;0,COUNTIFS(OrderLines!$A$2:$A$925,A197,OrderLines!$F$2:$F$925,"Beverage")&gt;0),"Combo","Single")</f>
        <v>Single</v>
      </c>
      <c r="K197" t="str">
        <f>IF(SUMPRODUCT((OrderLines!$A$2:$A$925=A197)*OrderLines!$C$2:$C$925*OrderLines!$D$2:$D$925)*G197&gt;40,"HighDisc","OK")</f>
        <v>OK</v>
      </c>
    </row>
    <row r="198" spans="1:11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 s="11">
        <v>0.03</v>
      </c>
      <c r="H198" t="b">
        <f>(COUNTIFS(OrderLines!$A:$A,A198,OrderLines!$F:$F,"Beverage")&gt;0)</f>
        <v>1</v>
      </c>
      <c r="I198">
        <f>SUMIFS(OrderLines!$I:$I,OrderLines!$A:$A,A198)</f>
        <v>308.06230000000005</v>
      </c>
      <c r="J198" t="str">
        <f>IF(AND(COUNTIFS(OrderLines!$A$2:$A$925,A198,OrderLines!$F$2:$F$925,"Hot Meal")&gt;0,COUNTIFS(OrderLines!$A$2:$A$925,A198,OrderLines!$F$2:$F$925,"Beverage")&gt;0),"Combo","Single")</f>
        <v>Combo</v>
      </c>
      <c r="K198" t="str">
        <f>IF(SUMPRODUCT((OrderLines!$A$2:$A$925=A198)*OrderLines!$C$2:$C$925*OrderLines!$D$2:$D$925)*G198&gt;40,"HighDisc","OK")</f>
        <v>OK</v>
      </c>
    </row>
    <row r="199" spans="1:11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 s="11">
        <v>0.09</v>
      </c>
      <c r="H199" t="b">
        <f>(COUNTIFS(OrderLines!$A:$A,A199,OrderLines!$F:$F,"Beverage")&gt;0)</f>
        <v>1</v>
      </c>
      <c r="I199">
        <f>SUMIFS(OrderLines!$I:$I,OrderLines!$A:$A,A199)</f>
        <v>107.1525</v>
      </c>
      <c r="J199" t="str">
        <f>IF(AND(COUNTIFS(OrderLines!$A$2:$A$925,A199,OrderLines!$F$2:$F$925,"Hot Meal")&gt;0,COUNTIFS(OrderLines!$A$2:$A$925,A199,OrderLines!$F$2:$F$925,"Beverage")&gt;0),"Combo","Single")</f>
        <v>Single</v>
      </c>
      <c r="K199" t="str">
        <f>IF(SUMPRODUCT((OrderLines!$A$2:$A$925=A199)*OrderLines!$C$2:$C$925*OrderLines!$D$2:$D$925)*G199&gt;40,"HighDisc","OK")</f>
        <v>OK</v>
      </c>
    </row>
    <row r="200" spans="1:11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 s="11">
        <v>0.03</v>
      </c>
      <c r="H200" t="b">
        <f>(COUNTIFS(OrderLines!$A:$A,A200,OrderLines!$F:$F,"Beverage")&gt;0)</f>
        <v>1</v>
      </c>
      <c r="I200">
        <f>SUMIFS(OrderLines!$I:$I,OrderLines!$A:$A,A200)</f>
        <v>851.31080000000009</v>
      </c>
      <c r="J200" t="str">
        <f>IF(AND(COUNTIFS(OrderLines!$A$2:$A$925,A200,OrderLines!$F$2:$F$925,"Hot Meal")&gt;0,COUNTIFS(OrderLines!$A$2:$A$925,A200,OrderLines!$F$2:$F$925,"Beverage")&gt;0),"Combo","Single")</f>
        <v>Combo</v>
      </c>
      <c r="K200" t="str">
        <f>IF(SUMPRODUCT((OrderLines!$A$2:$A$925=A200)*OrderLines!$C$2:$C$925*OrderLines!$D$2:$D$925)*G200&gt;40,"HighDisc","OK")</f>
        <v>OK</v>
      </c>
    </row>
    <row r="201" spans="1:11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 s="11">
        <v>0.06</v>
      </c>
      <c r="H201" t="b">
        <f>(COUNTIFS(OrderLines!$A:$A,A201,OrderLines!$F:$F,"Beverage")&gt;0)</f>
        <v>0</v>
      </c>
      <c r="I201">
        <f>SUMIFS(OrderLines!$I:$I,OrderLines!$A:$A,A201)</f>
        <v>37.552999999999997</v>
      </c>
      <c r="J201" t="str">
        <f>IF(AND(COUNTIFS(OrderLines!$A$2:$A$925,A201,OrderLines!$F$2:$F$925,"Hot Meal")&gt;0,COUNTIFS(OrderLines!$A$2:$A$925,A201,OrderLines!$F$2:$F$925,"Beverage")&gt;0),"Combo","Single")</f>
        <v>Single</v>
      </c>
      <c r="K201" t="str">
        <f>IF(SUMPRODUCT((OrderLines!$A$2:$A$925=A201)*OrderLines!$C$2:$C$925*OrderLines!$D$2:$D$925)*G201&gt;40,"HighDisc","OK")</f>
        <v>OK</v>
      </c>
    </row>
    <row r="202" spans="1:11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 s="11">
        <v>0.08</v>
      </c>
      <c r="H202" t="b">
        <f>(COUNTIFS(OrderLines!$A:$A,A202,OrderLines!$F:$F,"Beverage")&gt;0)</f>
        <v>0</v>
      </c>
      <c r="I202">
        <f>SUMIFS(OrderLines!$I:$I,OrderLines!$A:$A,A202)</f>
        <v>35.0152</v>
      </c>
      <c r="J202" t="str">
        <f>IF(AND(COUNTIFS(OrderLines!$A$2:$A$925,A202,OrderLines!$F$2:$F$925,"Hot Meal")&gt;0,COUNTIFS(OrderLines!$A$2:$A$925,A202,OrderLines!$F$2:$F$925,"Beverage")&gt;0),"Combo","Single")</f>
        <v>Single</v>
      </c>
      <c r="K202" t="str">
        <f>IF(SUMPRODUCT((OrderLines!$A$2:$A$925=A202)*OrderLines!$C$2:$C$925*OrderLines!$D$2:$D$925)*G202&gt;40,"HighDisc","OK")</f>
        <v>OK</v>
      </c>
    </row>
    <row r="203" spans="1:11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 s="11">
        <v>0.09</v>
      </c>
      <c r="H203" t="b">
        <f>(COUNTIFS(OrderLines!$A:$A,A203,OrderLines!$F:$F,"Beverage")&gt;0)</f>
        <v>0</v>
      </c>
      <c r="I203">
        <f>SUMIFS(OrderLines!$I:$I,OrderLines!$A:$A,A203)</f>
        <v>155.45530000000002</v>
      </c>
      <c r="J203" t="str">
        <f>IF(AND(COUNTIFS(OrderLines!$A$2:$A$925,A203,OrderLines!$F$2:$F$925,"Hot Meal")&gt;0,COUNTIFS(OrderLines!$A$2:$A$925,A203,OrderLines!$F$2:$F$925,"Beverage")&gt;0),"Combo","Single")</f>
        <v>Single</v>
      </c>
      <c r="K203" t="str">
        <f>IF(SUMPRODUCT((OrderLines!$A$2:$A$925=A203)*OrderLines!$C$2:$C$925*OrderLines!$D$2:$D$925)*G203&gt;40,"HighDisc","OK")</f>
        <v>OK</v>
      </c>
    </row>
    <row r="204" spans="1:11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 s="11">
        <v>0.01</v>
      </c>
      <c r="H204" t="b">
        <f>(COUNTIFS(OrderLines!$A:$A,A204,OrderLines!$F:$F,"Beverage")&gt;0)</f>
        <v>0</v>
      </c>
      <c r="I204">
        <f>SUMIFS(OrderLines!$I:$I,OrderLines!$A:$A,A204)</f>
        <v>252.25200000000001</v>
      </c>
      <c r="J204" t="str">
        <f>IF(AND(COUNTIFS(OrderLines!$A$2:$A$925,A204,OrderLines!$F$2:$F$925,"Hot Meal")&gt;0,COUNTIFS(OrderLines!$A$2:$A$925,A204,OrderLines!$F$2:$F$925,"Beverage")&gt;0),"Combo","Single")</f>
        <v>Single</v>
      </c>
      <c r="K204" t="str">
        <f>IF(SUMPRODUCT((OrderLines!$A$2:$A$925=A204)*OrderLines!$C$2:$C$925*OrderLines!$D$2:$D$925)*G204&gt;40,"HighDisc","OK")</f>
        <v>OK</v>
      </c>
    </row>
    <row r="205" spans="1:11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 s="11">
        <v>0.05</v>
      </c>
      <c r="H205" t="b">
        <f>(COUNTIFS(OrderLines!$A:$A,A205,OrderLines!$F:$F,"Beverage")&gt;0)</f>
        <v>1</v>
      </c>
      <c r="I205">
        <f>SUMIFS(OrderLines!$I:$I,OrderLines!$A:$A,A205)</f>
        <v>903.56399999999996</v>
      </c>
      <c r="J205" t="str">
        <f>IF(AND(COUNTIFS(OrderLines!$A$2:$A$925,A205,OrderLines!$F$2:$F$925,"Hot Meal")&gt;0,COUNTIFS(OrderLines!$A$2:$A$925,A205,OrderLines!$F$2:$F$925,"Beverage")&gt;0),"Combo","Single")</f>
        <v>Combo</v>
      </c>
      <c r="K205" t="str">
        <f>IF(SUMPRODUCT((OrderLines!$A$2:$A$925=A205)*OrderLines!$C$2:$C$925*OrderLines!$D$2:$D$925)*G205&gt;40,"HighDisc","OK")</f>
        <v>HighDisc</v>
      </c>
    </row>
    <row r="206" spans="1:11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 s="11">
        <v>0.04</v>
      </c>
      <c r="H206" t="b">
        <f>(COUNTIFS(OrderLines!$A:$A,A206,OrderLines!$F:$F,"Beverage")&gt;0)</f>
        <v>1</v>
      </c>
      <c r="I206">
        <f>SUMIFS(OrderLines!$I:$I,OrderLines!$A:$A,A206)</f>
        <v>296.72640000000001</v>
      </c>
      <c r="J206" t="str">
        <f>IF(AND(COUNTIFS(OrderLines!$A$2:$A$925,A206,OrderLines!$F$2:$F$925,"Hot Meal")&gt;0,COUNTIFS(OrderLines!$A$2:$A$925,A206,OrderLines!$F$2:$F$925,"Beverage")&gt;0),"Combo","Single")</f>
        <v>Combo</v>
      </c>
      <c r="K206" t="str">
        <f>IF(SUMPRODUCT((OrderLines!$A$2:$A$925=A206)*OrderLines!$C$2:$C$925*OrderLines!$D$2:$D$925)*G206&gt;40,"HighDisc","OK")</f>
        <v>OK</v>
      </c>
    </row>
    <row r="207" spans="1:11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 s="11">
        <v>0.03</v>
      </c>
      <c r="H207" t="b">
        <f>(COUNTIFS(OrderLines!$A:$A,A207,OrderLines!$F:$F,"Beverage")&gt;0)</f>
        <v>1</v>
      </c>
      <c r="I207">
        <f>SUMIFS(OrderLines!$I:$I,OrderLines!$A:$A,A207)</f>
        <v>213.06049999999999</v>
      </c>
      <c r="J207" t="str">
        <f>IF(AND(COUNTIFS(OrderLines!$A$2:$A$925,A207,OrderLines!$F$2:$F$925,"Hot Meal")&gt;0,COUNTIFS(OrderLines!$A$2:$A$925,A207,OrderLines!$F$2:$F$925,"Beverage")&gt;0),"Combo","Single")</f>
        <v>Single</v>
      </c>
      <c r="K207" t="str">
        <f>IF(SUMPRODUCT((OrderLines!$A$2:$A$925=A207)*OrderLines!$C$2:$C$925*OrderLines!$D$2:$D$925)*G207&gt;40,"HighDisc","OK")</f>
        <v>OK</v>
      </c>
    </row>
    <row r="208" spans="1:11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 s="11">
        <v>0.13</v>
      </c>
      <c r="H208" t="b">
        <f>(COUNTIFS(OrderLines!$A:$A,A208,OrderLines!$F:$F,"Beverage")&gt;0)</f>
        <v>0</v>
      </c>
      <c r="I208">
        <f>SUMIFS(OrderLines!$I:$I,OrderLines!$A:$A,A208)</f>
        <v>363.05099999999999</v>
      </c>
      <c r="J208" t="str">
        <f>IF(AND(COUNTIFS(OrderLines!$A$2:$A$925,A208,OrderLines!$F$2:$F$925,"Hot Meal")&gt;0,COUNTIFS(OrderLines!$A$2:$A$925,A208,OrderLines!$F$2:$F$925,"Beverage")&gt;0),"Combo","Single")</f>
        <v>Single</v>
      </c>
      <c r="K208" t="str">
        <f>IF(SUMPRODUCT((OrderLines!$A$2:$A$925=A208)*OrderLines!$C$2:$C$925*OrderLines!$D$2:$D$925)*G208&gt;40,"HighDisc","OK")</f>
        <v>HighDisc</v>
      </c>
    </row>
    <row r="209" spans="1:11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 s="11">
        <v>0.08</v>
      </c>
      <c r="H209" t="b">
        <f>(COUNTIFS(OrderLines!$A:$A,A209,OrderLines!$F:$F,"Beverage")&gt;0)</f>
        <v>1</v>
      </c>
      <c r="I209">
        <f>SUMIFS(OrderLines!$I:$I,OrderLines!$A:$A,A209)</f>
        <v>131.30240000000001</v>
      </c>
      <c r="J209" t="str">
        <f>IF(AND(COUNTIFS(OrderLines!$A$2:$A$925,A209,OrderLines!$F$2:$F$925,"Hot Meal")&gt;0,COUNTIFS(OrderLines!$A$2:$A$925,A209,OrderLines!$F$2:$F$925,"Beverage")&gt;0),"Combo","Single")</f>
        <v>Single</v>
      </c>
      <c r="K209" t="str">
        <f>IF(SUMPRODUCT((OrderLines!$A$2:$A$925=A209)*OrderLines!$C$2:$C$925*OrderLines!$D$2:$D$925)*G209&gt;40,"HighDisc","OK")</f>
        <v>OK</v>
      </c>
    </row>
    <row r="210" spans="1:11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 s="11">
        <v>0.01</v>
      </c>
      <c r="H210" t="b">
        <f>(COUNTIFS(OrderLines!$A:$A,A210,OrderLines!$F:$F,"Beverage")&gt;0)</f>
        <v>1</v>
      </c>
      <c r="I210">
        <f>SUMIFS(OrderLines!$I:$I,OrderLines!$A:$A,A210)</f>
        <v>225.26459999999997</v>
      </c>
      <c r="J210" t="str">
        <f>IF(AND(COUNTIFS(OrderLines!$A$2:$A$925,A210,OrderLines!$F$2:$F$925,"Hot Meal")&gt;0,COUNTIFS(OrderLines!$A$2:$A$925,A210,OrderLines!$F$2:$F$925,"Beverage")&gt;0),"Combo","Single")</f>
        <v>Single</v>
      </c>
      <c r="K210" t="str">
        <f>IF(SUMPRODUCT((OrderLines!$A$2:$A$925=A210)*OrderLines!$C$2:$C$925*OrderLines!$D$2:$D$925)*G210&gt;40,"HighDisc","OK")</f>
        <v>OK</v>
      </c>
    </row>
    <row r="211" spans="1:11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 s="11">
        <v>0.1</v>
      </c>
      <c r="H211" t="b">
        <f>(COUNTIFS(OrderLines!$A:$A,A211,OrderLines!$F:$F,"Beverage")&gt;0)</f>
        <v>1</v>
      </c>
      <c r="I211">
        <f>SUMIFS(OrderLines!$I:$I,OrderLines!$A:$A,A211)</f>
        <v>481.041</v>
      </c>
      <c r="J211" t="str">
        <f>IF(AND(COUNTIFS(OrderLines!$A$2:$A$925,A211,OrderLines!$F$2:$F$925,"Hot Meal")&gt;0,COUNTIFS(OrderLines!$A$2:$A$925,A211,OrderLines!$F$2:$F$925,"Beverage")&gt;0),"Combo","Single")</f>
        <v>Combo</v>
      </c>
      <c r="K211" t="str">
        <f>IF(SUMPRODUCT((OrderLines!$A$2:$A$925=A211)*OrderLines!$C$2:$C$925*OrderLines!$D$2:$D$925)*G211&gt;40,"HighDisc","OK")</f>
        <v>HighDisc</v>
      </c>
    </row>
    <row r="212" spans="1:11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 s="11">
        <v>0.14000000000000001</v>
      </c>
      <c r="H212" t="b">
        <f>(COUNTIFS(OrderLines!$A:$A,A212,OrderLines!$F:$F,"Beverage")&gt;0)</f>
        <v>0</v>
      </c>
      <c r="I212">
        <f>SUMIFS(OrderLines!$I:$I,OrderLines!$A:$A,A212)</f>
        <v>844.82100000000003</v>
      </c>
      <c r="J212" t="str">
        <f>IF(AND(COUNTIFS(OrderLines!$A$2:$A$925,A212,OrderLines!$F$2:$F$925,"Hot Meal")&gt;0,COUNTIFS(OrderLines!$A$2:$A$925,A212,OrderLines!$F$2:$F$925,"Beverage")&gt;0),"Combo","Single")</f>
        <v>Single</v>
      </c>
      <c r="K212" t="str">
        <f>IF(SUMPRODUCT((OrderLines!$A$2:$A$925=A212)*OrderLines!$C$2:$C$925*OrderLines!$D$2:$D$925)*G212&gt;40,"HighDisc","OK")</f>
        <v>HighDisc</v>
      </c>
    </row>
    <row r="213" spans="1:11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 s="11">
        <v>0.1</v>
      </c>
      <c r="H213" t="b">
        <f>(COUNTIFS(OrderLines!$A:$A,A213,OrderLines!$F:$F,"Beverage")&gt;0)</f>
        <v>1</v>
      </c>
      <c r="I213">
        <f>SUMIFS(OrderLines!$I:$I,OrderLines!$A:$A,A213)</f>
        <v>317.75400000000002</v>
      </c>
      <c r="J213" t="str">
        <f>IF(AND(COUNTIFS(OrderLines!$A$2:$A$925,A213,OrderLines!$F$2:$F$925,"Hot Meal")&gt;0,COUNTIFS(OrderLines!$A$2:$A$925,A213,OrderLines!$F$2:$F$925,"Beverage")&gt;0),"Combo","Single")</f>
        <v>Combo</v>
      </c>
      <c r="K213" t="str">
        <f>IF(SUMPRODUCT((OrderLines!$A$2:$A$925=A213)*OrderLines!$C$2:$C$925*OrderLines!$D$2:$D$925)*G213&gt;40,"HighDisc","OK")</f>
        <v>OK</v>
      </c>
    </row>
    <row r="214" spans="1:11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 s="11">
        <v>0</v>
      </c>
      <c r="H214" t="b">
        <f>(COUNTIFS(OrderLines!$A:$A,A214,OrderLines!$F:$F,"Beverage")&gt;0)</f>
        <v>0</v>
      </c>
      <c r="I214">
        <f>SUMIFS(OrderLines!$I:$I,OrderLines!$A:$A,A214)</f>
        <v>442.17</v>
      </c>
      <c r="J214" t="str">
        <f>IF(AND(COUNTIFS(OrderLines!$A$2:$A$925,A214,OrderLines!$F$2:$F$925,"Hot Meal")&gt;0,COUNTIFS(OrderLines!$A$2:$A$925,A214,OrderLines!$F$2:$F$925,"Beverage")&gt;0),"Combo","Single")</f>
        <v>Single</v>
      </c>
      <c r="K214" t="str">
        <f>IF(SUMPRODUCT((OrderLines!$A$2:$A$925=A214)*OrderLines!$C$2:$C$925*OrderLines!$D$2:$D$925)*G214&gt;40,"HighDisc","OK")</f>
        <v>OK</v>
      </c>
    </row>
    <row r="215" spans="1:11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 s="11">
        <v>0.04</v>
      </c>
      <c r="H215" t="b">
        <f>(COUNTIFS(OrderLines!$A:$A,A215,OrderLines!$F:$F,"Beverage")&gt;0)</f>
        <v>1</v>
      </c>
      <c r="I215">
        <f>SUMIFS(OrderLines!$I:$I,OrderLines!$A:$A,A215)</f>
        <v>731.61599999999999</v>
      </c>
      <c r="J215" t="str">
        <f>IF(AND(COUNTIFS(OrderLines!$A$2:$A$925,A215,OrderLines!$F$2:$F$925,"Hot Meal")&gt;0,COUNTIFS(OrderLines!$A$2:$A$925,A215,OrderLines!$F$2:$F$925,"Beverage")&gt;0),"Combo","Single")</f>
        <v>Combo</v>
      </c>
      <c r="K215" t="str">
        <f>IF(SUMPRODUCT((OrderLines!$A$2:$A$925=A215)*OrderLines!$C$2:$C$925*OrderLines!$D$2:$D$925)*G215&gt;40,"HighDisc","OK")</f>
        <v>OK</v>
      </c>
    </row>
    <row r="216" spans="1:11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 s="11">
        <v>0.11</v>
      </c>
      <c r="H216" t="b">
        <f>(COUNTIFS(OrderLines!$A:$A,A216,OrderLines!$F:$F,"Beverage")&gt;0)</f>
        <v>1</v>
      </c>
      <c r="I216">
        <f>SUMIFS(OrderLines!$I:$I,OrderLines!$A:$A,A216)</f>
        <v>329.12199999999996</v>
      </c>
      <c r="J216" t="str">
        <f>IF(AND(COUNTIFS(OrderLines!$A$2:$A$925,A216,OrderLines!$F$2:$F$925,"Hot Meal")&gt;0,COUNTIFS(OrderLines!$A$2:$A$925,A216,OrderLines!$F$2:$F$925,"Beverage")&gt;0),"Combo","Single")</f>
        <v>Combo</v>
      </c>
      <c r="K216" t="str">
        <f>IF(SUMPRODUCT((OrderLines!$A$2:$A$925=A216)*OrderLines!$C$2:$C$925*OrderLines!$D$2:$D$925)*G216&gt;40,"HighDisc","OK")</f>
        <v>HighDisc</v>
      </c>
    </row>
    <row r="217" spans="1:11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 s="11">
        <v>0.03</v>
      </c>
      <c r="H217" t="b">
        <f>(COUNTIFS(OrderLines!$A:$A,A217,OrderLines!$F:$F,"Beverage")&gt;0)</f>
        <v>1</v>
      </c>
      <c r="I217">
        <f>SUMIFS(OrderLines!$I:$I,OrderLines!$A:$A,A217)</f>
        <v>166.29679999999999</v>
      </c>
      <c r="J217" t="str">
        <f>IF(AND(COUNTIFS(OrderLines!$A$2:$A$925,A217,OrderLines!$F$2:$F$925,"Hot Meal")&gt;0,COUNTIFS(OrderLines!$A$2:$A$925,A217,OrderLines!$F$2:$F$925,"Beverage")&gt;0),"Combo","Single")</f>
        <v>Single</v>
      </c>
      <c r="K217" t="str">
        <f>IF(SUMPRODUCT((OrderLines!$A$2:$A$925=A217)*OrderLines!$C$2:$C$925*OrderLines!$D$2:$D$925)*G217&gt;40,"HighDisc","OK")</f>
        <v>OK</v>
      </c>
    </row>
    <row r="218" spans="1:11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 s="11">
        <v>0.08</v>
      </c>
      <c r="H218" t="b">
        <f>(COUNTIFS(OrderLines!$A:$A,A218,OrderLines!$F:$F,"Beverage")&gt;0)</f>
        <v>0</v>
      </c>
      <c r="I218">
        <f>SUMIFS(OrderLines!$I:$I,OrderLines!$A:$A,A218)</f>
        <v>611.7908000000001</v>
      </c>
      <c r="J218" t="str">
        <f>IF(AND(COUNTIFS(OrderLines!$A$2:$A$925,A218,OrderLines!$F$2:$F$925,"Hot Meal")&gt;0,COUNTIFS(OrderLines!$A$2:$A$925,A218,OrderLines!$F$2:$F$925,"Beverage")&gt;0),"Combo","Single")</f>
        <v>Single</v>
      </c>
      <c r="K218" t="str">
        <f>IF(SUMPRODUCT((OrderLines!$A$2:$A$925=A218)*OrderLines!$C$2:$C$925*OrderLines!$D$2:$D$925)*G218&gt;40,"HighDisc","OK")</f>
        <v>HighDisc</v>
      </c>
    </row>
    <row r="219" spans="1:11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 s="11">
        <v>0.09</v>
      </c>
      <c r="H219" t="b">
        <f>(COUNTIFS(OrderLines!$A:$A,A219,OrderLines!$F:$F,"Beverage")&gt;0)</f>
        <v>1</v>
      </c>
      <c r="I219">
        <f>SUMIFS(OrderLines!$I:$I,OrderLines!$A:$A,A219)</f>
        <v>25.871300000000002</v>
      </c>
      <c r="J219" t="str">
        <f>IF(AND(COUNTIFS(OrderLines!$A$2:$A$925,A219,OrderLines!$F$2:$F$925,"Hot Meal")&gt;0,COUNTIFS(OrderLines!$A$2:$A$925,A219,OrderLines!$F$2:$F$925,"Beverage")&gt;0),"Combo","Single")</f>
        <v>Single</v>
      </c>
      <c r="K219" t="str">
        <f>IF(SUMPRODUCT((OrderLines!$A$2:$A$925=A219)*OrderLines!$C$2:$C$925*OrderLines!$D$2:$D$925)*G219&gt;40,"HighDisc","OK")</f>
        <v>OK</v>
      </c>
    </row>
    <row r="220" spans="1:11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 s="11">
        <v>0.02</v>
      </c>
      <c r="H220" t="b">
        <f>(COUNTIFS(OrderLines!$A:$A,A220,OrderLines!$F:$F,"Beverage")&gt;0)</f>
        <v>0</v>
      </c>
      <c r="I220">
        <f>SUMIFS(OrderLines!$I:$I,OrderLines!$A:$A,A220)</f>
        <v>669.74180000000001</v>
      </c>
      <c r="J220" t="str">
        <f>IF(AND(COUNTIFS(OrderLines!$A$2:$A$925,A220,OrderLines!$F$2:$F$925,"Hot Meal")&gt;0,COUNTIFS(OrderLines!$A$2:$A$925,A220,OrderLines!$F$2:$F$925,"Beverage")&gt;0),"Combo","Single")</f>
        <v>Single</v>
      </c>
      <c r="K220" t="str">
        <f>IF(SUMPRODUCT((OrderLines!$A$2:$A$925=A220)*OrderLines!$C$2:$C$925*OrderLines!$D$2:$D$925)*G220&gt;40,"HighDisc","OK")</f>
        <v>OK</v>
      </c>
    </row>
    <row r="221" spans="1:11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 s="11">
        <v>0.06</v>
      </c>
      <c r="H221" t="b">
        <f>(COUNTIFS(OrderLines!$A:$A,A221,OrderLines!$F:$F,"Beverage")&gt;0)</f>
        <v>0</v>
      </c>
      <c r="I221">
        <f>SUMIFS(OrderLines!$I:$I,OrderLines!$A:$A,A221)</f>
        <v>582.66840000000002</v>
      </c>
      <c r="J221" t="str">
        <f>IF(AND(COUNTIFS(OrderLines!$A$2:$A$925,A221,OrderLines!$F$2:$F$925,"Hot Meal")&gt;0,COUNTIFS(OrderLines!$A$2:$A$925,A221,OrderLines!$F$2:$F$925,"Beverage")&gt;0),"Combo","Single")</f>
        <v>Single</v>
      </c>
      <c r="K221" t="str">
        <f>IF(SUMPRODUCT((OrderLines!$A$2:$A$925=A221)*OrderLines!$C$2:$C$925*OrderLines!$D$2:$D$925)*G221&gt;40,"HighDisc","OK")</f>
        <v>OK</v>
      </c>
    </row>
    <row r="222" spans="1:11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 s="11">
        <v>0</v>
      </c>
      <c r="H222" t="b">
        <f>(COUNTIFS(OrderLines!$A:$A,A222,OrderLines!$F:$F,"Beverage")&gt;0)</f>
        <v>0</v>
      </c>
      <c r="I222">
        <f>SUMIFS(OrderLines!$I:$I,OrderLines!$A:$A,A222)</f>
        <v>57.07</v>
      </c>
      <c r="J222" t="str">
        <f>IF(AND(COUNTIFS(OrderLines!$A$2:$A$925,A222,OrderLines!$F$2:$F$925,"Hot Meal")&gt;0,COUNTIFS(OrderLines!$A$2:$A$925,A222,OrderLines!$F$2:$F$925,"Beverage")&gt;0),"Combo","Single")</f>
        <v>Single</v>
      </c>
      <c r="K222" t="str">
        <f>IF(SUMPRODUCT((OrderLines!$A$2:$A$925=A222)*OrderLines!$C$2:$C$925*OrderLines!$D$2:$D$925)*G222&gt;40,"HighDisc","OK")</f>
        <v>OK</v>
      </c>
    </row>
    <row r="223" spans="1:11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 s="11">
        <v>0.02</v>
      </c>
      <c r="H223" t="b">
        <f>(COUNTIFS(OrderLines!$A:$A,A223,OrderLines!$F:$F,"Beverage")&gt;0)</f>
        <v>1</v>
      </c>
      <c r="I223">
        <f>SUMIFS(OrderLines!$I:$I,OrderLines!$A:$A,A223)</f>
        <v>297.38099999999997</v>
      </c>
      <c r="J223" t="str">
        <f>IF(AND(COUNTIFS(OrderLines!$A$2:$A$925,A223,OrderLines!$F$2:$F$925,"Hot Meal")&gt;0,COUNTIFS(OrderLines!$A$2:$A$925,A223,OrderLines!$F$2:$F$925,"Beverage")&gt;0),"Combo","Single")</f>
        <v>Single</v>
      </c>
      <c r="K223" t="str">
        <f>IF(SUMPRODUCT((OrderLines!$A$2:$A$925=A223)*OrderLines!$C$2:$C$925*OrderLines!$D$2:$D$925)*G223&gt;40,"HighDisc","OK")</f>
        <v>OK</v>
      </c>
    </row>
    <row r="224" spans="1:11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 s="11">
        <v>0.05</v>
      </c>
      <c r="H224" t="b">
        <f>(COUNTIFS(OrderLines!$A:$A,A224,OrderLines!$F:$F,"Beverage")&gt;0)</f>
        <v>1</v>
      </c>
      <c r="I224">
        <f>SUMIFS(OrderLines!$I:$I,OrderLines!$A:$A,A224)</f>
        <v>178.08699999999999</v>
      </c>
      <c r="J224" t="str">
        <f>IF(AND(COUNTIFS(OrderLines!$A$2:$A$925,A224,OrderLines!$F$2:$F$925,"Hot Meal")&gt;0,COUNTIFS(OrderLines!$A$2:$A$925,A224,OrderLines!$F$2:$F$925,"Beverage")&gt;0),"Combo","Single")</f>
        <v>Single</v>
      </c>
      <c r="K224" t="str">
        <f>IF(SUMPRODUCT((OrderLines!$A$2:$A$925=A224)*OrderLines!$C$2:$C$925*OrderLines!$D$2:$D$925)*G224&gt;40,"HighDisc","OK")</f>
        <v>OK</v>
      </c>
    </row>
    <row r="225" spans="1:11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 s="11">
        <v>0.01</v>
      </c>
      <c r="H225" t="b">
        <f>(COUNTIFS(OrderLines!$A:$A,A225,OrderLines!$F:$F,"Beverage")&gt;0)</f>
        <v>0</v>
      </c>
      <c r="I225">
        <f>SUMIFS(OrderLines!$I:$I,OrderLines!$A:$A,A225)</f>
        <v>155.77650000000003</v>
      </c>
      <c r="J225" t="str">
        <f>IF(AND(COUNTIFS(OrderLines!$A$2:$A$925,A225,OrderLines!$F$2:$F$925,"Hot Meal")&gt;0,COUNTIFS(OrderLines!$A$2:$A$925,A225,OrderLines!$F$2:$F$925,"Beverage")&gt;0),"Combo","Single")</f>
        <v>Single</v>
      </c>
      <c r="K225" t="str">
        <f>IF(SUMPRODUCT((OrderLines!$A$2:$A$925=A225)*OrderLines!$C$2:$C$925*OrderLines!$D$2:$D$925)*G225&gt;40,"HighDisc","OK")</f>
        <v>OK</v>
      </c>
    </row>
    <row r="226" spans="1:11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 s="11">
        <v>0.13</v>
      </c>
      <c r="H226" t="b">
        <f>(COUNTIFS(OrderLines!$A:$A,A226,OrderLines!$F:$F,"Beverage")&gt;0)</f>
        <v>1</v>
      </c>
      <c r="I226">
        <f>SUMIFS(OrderLines!$I:$I,OrderLines!$A:$A,A226)</f>
        <v>834.16470000000004</v>
      </c>
      <c r="J226" t="str">
        <f>IF(AND(COUNTIFS(OrderLines!$A$2:$A$925,A226,OrderLines!$F$2:$F$925,"Hot Meal")&gt;0,COUNTIFS(OrderLines!$A$2:$A$925,A226,OrderLines!$F$2:$F$925,"Beverage")&gt;0),"Combo","Single")</f>
        <v>Combo</v>
      </c>
      <c r="K226" t="str">
        <f>IF(SUMPRODUCT((OrderLines!$A$2:$A$925=A226)*OrderLines!$C$2:$C$925*OrderLines!$D$2:$D$925)*G226&gt;40,"HighDisc","OK")</f>
        <v>HighDisc</v>
      </c>
    </row>
    <row r="227" spans="1:11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 s="11">
        <v>0</v>
      </c>
      <c r="H227" t="b">
        <f>(COUNTIFS(OrderLines!$A:$A,A227,OrderLines!$F:$F,"Beverage")&gt;0)</f>
        <v>1</v>
      </c>
      <c r="I227">
        <f>SUMIFS(OrderLines!$I:$I,OrderLines!$A:$A,A227)</f>
        <v>329.84000000000003</v>
      </c>
      <c r="J227" t="str">
        <f>IF(AND(COUNTIFS(OrderLines!$A$2:$A$925,A227,OrderLines!$F$2:$F$925,"Hot Meal")&gt;0,COUNTIFS(OrderLines!$A$2:$A$925,A227,OrderLines!$F$2:$F$925,"Beverage")&gt;0),"Combo","Single")</f>
        <v>Combo</v>
      </c>
      <c r="K227" t="str">
        <f>IF(SUMPRODUCT((OrderLines!$A$2:$A$925=A227)*OrderLines!$C$2:$C$925*OrderLines!$D$2:$D$925)*G227&gt;40,"HighDisc","OK")</f>
        <v>OK</v>
      </c>
    </row>
    <row r="228" spans="1:11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 s="11">
        <v>0.04</v>
      </c>
      <c r="H228" t="b">
        <f>(COUNTIFS(OrderLines!$A:$A,A228,OrderLines!$F:$F,"Beverage")&gt;0)</f>
        <v>0</v>
      </c>
      <c r="I228">
        <f>SUMIFS(OrderLines!$I:$I,OrderLines!$A:$A,A228)</f>
        <v>380.0256</v>
      </c>
      <c r="J228" t="str">
        <f>IF(AND(COUNTIFS(OrderLines!$A$2:$A$925,A228,OrderLines!$F$2:$F$925,"Hot Meal")&gt;0,COUNTIFS(OrderLines!$A$2:$A$925,A228,OrderLines!$F$2:$F$925,"Beverage")&gt;0),"Combo","Single")</f>
        <v>Single</v>
      </c>
      <c r="K228" t="str">
        <f>IF(SUMPRODUCT((OrderLines!$A$2:$A$925=A228)*OrderLines!$C$2:$C$925*OrderLines!$D$2:$D$925)*G228&gt;40,"HighDisc","OK")</f>
        <v>OK</v>
      </c>
    </row>
    <row r="229" spans="1:11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 s="11">
        <v>7.0000000000000007E-2</v>
      </c>
      <c r="H229" t="b">
        <f>(COUNTIFS(OrderLines!$A:$A,A229,OrderLines!$F:$F,"Beverage")&gt;0)</f>
        <v>0</v>
      </c>
      <c r="I229">
        <f>SUMIFS(OrderLines!$I:$I,OrderLines!$A:$A,A229)</f>
        <v>100.812</v>
      </c>
      <c r="J229" t="str">
        <f>IF(AND(COUNTIFS(OrderLines!$A$2:$A$925,A229,OrderLines!$F$2:$F$925,"Hot Meal")&gt;0,COUNTIFS(OrderLines!$A$2:$A$925,A229,OrderLines!$F$2:$F$925,"Beverage")&gt;0),"Combo","Single")</f>
        <v>Single</v>
      </c>
      <c r="K229" t="str">
        <f>IF(SUMPRODUCT((OrderLines!$A$2:$A$925=A229)*OrderLines!$C$2:$C$925*OrderLines!$D$2:$D$925)*G229&gt;40,"HighDisc","OK")</f>
        <v>OK</v>
      </c>
    </row>
    <row r="230" spans="1:11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 s="11">
        <v>0.12</v>
      </c>
      <c r="H230" t="b">
        <f>(COUNTIFS(OrderLines!$A:$A,A230,OrderLines!$F:$F,"Beverage")&gt;0)</f>
        <v>0</v>
      </c>
      <c r="I230">
        <f>SUMIFS(OrderLines!$I:$I,OrderLines!$A:$A,A230)</f>
        <v>455.21519999999998</v>
      </c>
      <c r="J230" t="str">
        <f>IF(AND(COUNTIFS(OrderLines!$A$2:$A$925,A230,OrderLines!$F$2:$F$925,"Hot Meal")&gt;0,COUNTIFS(OrderLines!$A$2:$A$925,A230,OrderLines!$F$2:$F$925,"Beverage")&gt;0),"Combo","Single")</f>
        <v>Single</v>
      </c>
      <c r="K230" t="str">
        <f>IF(SUMPRODUCT((OrderLines!$A$2:$A$925=A230)*OrderLines!$C$2:$C$925*OrderLines!$D$2:$D$925)*G230&gt;40,"HighDisc","OK")</f>
        <v>HighDisc</v>
      </c>
    </row>
    <row r="231" spans="1:11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 s="11">
        <v>0</v>
      </c>
      <c r="H231" t="b">
        <f>(COUNTIFS(OrderLines!$A:$A,A231,OrderLines!$F:$F,"Beverage")&gt;0)</f>
        <v>1</v>
      </c>
      <c r="I231">
        <f>SUMIFS(OrderLines!$I:$I,OrderLines!$A:$A,A231)</f>
        <v>199.26000000000002</v>
      </c>
      <c r="J231" t="str">
        <f>IF(AND(COUNTIFS(OrderLines!$A$2:$A$925,A231,OrderLines!$F$2:$F$925,"Hot Meal")&gt;0,COUNTIFS(OrderLines!$A$2:$A$925,A231,OrderLines!$F$2:$F$925,"Beverage")&gt;0),"Combo","Single")</f>
        <v>Combo</v>
      </c>
      <c r="K231" t="str">
        <f>IF(SUMPRODUCT((OrderLines!$A$2:$A$925=A231)*OrderLines!$C$2:$C$925*OrderLines!$D$2:$D$925)*G231&gt;40,"HighDisc","OK")</f>
        <v>OK</v>
      </c>
    </row>
    <row r="232" spans="1:11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 s="11">
        <v>0.11</v>
      </c>
      <c r="H232" t="b">
        <f>(COUNTIFS(OrderLines!$A:$A,A232,OrderLines!$F:$F,"Beverage")&gt;0)</f>
        <v>1</v>
      </c>
      <c r="I232">
        <f>SUMIFS(OrderLines!$I:$I,OrderLines!$A:$A,A232)</f>
        <v>460.40589999999997</v>
      </c>
      <c r="J232" t="str">
        <f>IF(AND(COUNTIFS(OrderLines!$A$2:$A$925,A232,OrderLines!$F$2:$F$925,"Hot Meal")&gt;0,COUNTIFS(OrderLines!$A$2:$A$925,A232,OrderLines!$F$2:$F$925,"Beverage")&gt;0),"Combo","Single")</f>
        <v>Single</v>
      </c>
      <c r="K232" t="str">
        <f>IF(SUMPRODUCT((OrderLines!$A$2:$A$925=A232)*OrderLines!$C$2:$C$925*OrderLines!$D$2:$D$925)*G232&gt;40,"HighDisc","OK")</f>
        <v>HighDisc</v>
      </c>
    </row>
    <row r="233" spans="1:11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 s="11">
        <v>0.06</v>
      </c>
      <c r="H233" t="b">
        <f>(COUNTIFS(OrderLines!$A:$A,A233,OrderLines!$F:$F,"Beverage")&gt;0)</f>
        <v>1</v>
      </c>
      <c r="I233">
        <f>SUMIFS(OrderLines!$I:$I,OrderLines!$A:$A,A233)</f>
        <v>483.5172</v>
      </c>
      <c r="J233" t="str">
        <f>IF(AND(COUNTIFS(OrderLines!$A$2:$A$925,A233,OrderLines!$F$2:$F$925,"Hot Meal")&gt;0,COUNTIFS(OrderLines!$A$2:$A$925,A233,OrderLines!$F$2:$F$925,"Beverage")&gt;0),"Combo","Single")</f>
        <v>Combo</v>
      </c>
      <c r="K233" t="str">
        <f>IF(SUMPRODUCT((OrderLines!$A$2:$A$925=A233)*OrderLines!$C$2:$C$925*OrderLines!$D$2:$D$925)*G233&gt;40,"HighDisc","OK")</f>
        <v>OK</v>
      </c>
    </row>
    <row r="234" spans="1:11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 s="11">
        <v>0.02</v>
      </c>
      <c r="H234" t="b">
        <f>(COUNTIFS(OrderLines!$A:$A,A234,OrderLines!$F:$F,"Beverage")&gt;0)</f>
        <v>1</v>
      </c>
      <c r="I234">
        <f>SUMIFS(OrderLines!$I:$I,OrderLines!$A:$A,A234)</f>
        <v>128.10560000000001</v>
      </c>
      <c r="J234" t="str">
        <f>IF(AND(COUNTIFS(OrderLines!$A$2:$A$925,A234,OrderLines!$F$2:$F$925,"Hot Meal")&gt;0,COUNTIFS(OrderLines!$A$2:$A$925,A234,OrderLines!$F$2:$F$925,"Beverage")&gt;0),"Combo","Single")</f>
        <v>Single</v>
      </c>
      <c r="K234" t="str">
        <f>IF(SUMPRODUCT((OrderLines!$A$2:$A$925=A234)*OrderLines!$C$2:$C$925*OrderLines!$D$2:$D$925)*G234&gt;40,"HighDisc","OK")</f>
        <v>OK</v>
      </c>
    </row>
    <row r="235" spans="1:11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 s="11">
        <v>0.08</v>
      </c>
      <c r="H235" t="b">
        <f>(COUNTIFS(OrderLines!$A:$A,A235,OrderLines!$F:$F,"Beverage")&gt;0)</f>
        <v>0</v>
      </c>
      <c r="I235">
        <f>SUMIFS(OrderLines!$I:$I,OrderLines!$A:$A,A235)</f>
        <v>36.754000000000005</v>
      </c>
      <c r="J235" t="str">
        <f>IF(AND(COUNTIFS(OrderLines!$A$2:$A$925,A235,OrderLines!$F$2:$F$925,"Hot Meal")&gt;0,COUNTIFS(OrderLines!$A$2:$A$925,A235,OrderLines!$F$2:$F$925,"Beverage")&gt;0),"Combo","Single")</f>
        <v>Single</v>
      </c>
      <c r="K235" t="str">
        <f>IF(SUMPRODUCT((OrderLines!$A$2:$A$925=A235)*OrderLines!$C$2:$C$925*OrderLines!$D$2:$D$925)*G235&gt;40,"HighDisc","OK")</f>
        <v>OK</v>
      </c>
    </row>
    <row r="236" spans="1:11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 s="11">
        <v>7.0000000000000007E-2</v>
      </c>
      <c r="H236" t="b">
        <f>(COUNTIFS(OrderLines!$A:$A,A236,OrderLines!$F:$F,"Beverage")&gt;0)</f>
        <v>0</v>
      </c>
      <c r="I236">
        <f>SUMIFS(OrderLines!$I:$I,OrderLines!$A:$A,A236)</f>
        <v>136.15199999999999</v>
      </c>
      <c r="J236" t="str">
        <f>IF(AND(COUNTIFS(OrderLines!$A$2:$A$925,A236,OrderLines!$F$2:$F$925,"Hot Meal")&gt;0,COUNTIFS(OrderLines!$A$2:$A$925,A236,OrderLines!$F$2:$F$925,"Beverage")&gt;0),"Combo","Single")</f>
        <v>Single</v>
      </c>
      <c r="K236" t="str">
        <f>IF(SUMPRODUCT((OrderLines!$A$2:$A$925=A236)*OrderLines!$C$2:$C$925*OrderLines!$D$2:$D$925)*G236&gt;40,"HighDisc","OK")</f>
        <v>OK</v>
      </c>
    </row>
    <row r="237" spans="1:11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 s="11">
        <v>0.04</v>
      </c>
      <c r="H237" t="b">
        <f>(COUNTIFS(OrderLines!$A:$A,A237,OrderLines!$F:$F,"Beverage")&gt;0)</f>
        <v>0</v>
      </c>
      <c r="I237">
        <f>SUMIFS(OrderLines!$I:$I,OrderLines!$A:$A,A237)</f>
        <v>190.22399999999999</v>
      </c>
      <c r="J237" t="str">
        <f>IF(AND(COUNTIFS(OrderLines!$A$2:$A$925,A237,OrderLines!$F$2:$F$925,"Hot Meal")&gt;0,COUNTIFS(OrderLines!$A$2:$A$925,A237,OrderLines!$F$2:$F$925,"Beverage")&gt;0),"Combo","Single")</f>
        <v>Single</v>
      </c>
      <c r="K237" t="str">
        <f>IF(SUMPRODUCT((OrderLines!$A$2:$A$925=A237)*OrderLines!$C$2:$C$925*OrderLines!$D$2:$D$925)*G237&gt;40,"HighDisc","OK")</f>
        <v>OK</v>
      </c>
    </row>
    <row r="238" spans="1:11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 s="11">
        <v>0.06</v>
      </c>
      <c r="H238" t="b">
        <f>(COUNTIFS(OrderLines!$A:$A,A238,OrderLines!$F:$F,"Beverage")&gt;0)</f>
        <v>0</v>
      </c>
      <c r="I238">
        <f>SUMIFS(OrderLines!$I:$I,OrderLines!$A:$A,A238)</f>
        <v>75.105999999999995</v>
      </c>
      <c r="J238" t="str">
        <f>IF(AND(COUNTIFS(OrderLines!$A$2:$A$925,A238,OrderLines!$F$2:$F$925,"Hot Meal")&gt;0,COUNTIFS(OrderLines!$A$2:$A$925,A238,OrderLines!$F$2:$F$925,"Beverage")&gt;0),"Combo","Single")</f>
        <v>Single</v>
      </c>
      <c r="K238" t="str">
        <f>IF(SUMPRODUCT((OrderLines!$A$2:$A$925=A238)*OrderLines!$C$2:$C$925*OrderLines!$D$2:$D$925)*G238&gt;40,"HighDisc","OK")</f>
        <v>OK</v>
      </c>
    </row>
    <row r="239" spans="1:11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 s="11">
        <v>0.04</v>
      </c>
      <c r="H239" t="b">
        <f>(COUNTIFS(OrderLines!$A:$A,A239,OrderLines!$F:$F,"Beverage")&gt;0)</f>
        <v>1</v>
      </c>
      <c r="I239">
        <f>SUMIFS(OrderLines!$I:$I,OrderLines!$A:$A,A239)</f>
        <v>358.31040000000002</v>
      </c>
      <c r="J239" t="str">
        <f>IF(AND(COUNTIFS(OrderLines!$A$2:$A$925,A239,OrderLines!$F$2:$F$925,"Hot Meal")&gt;0,COUNTIFS(OrderLines!$A$2:$A$925,A239,OrderLines!$F$2:$F$925,"Beverage")&gt;0),"Combo","Single")</f>
        <v>Single</v>
      </c>
      <c r="K239" t="str">
        <f>IF(SUMPRODUCT((OrderLines!$A$2:$A$925=A239)*OrderLines!$C$2:$C$925*OrderLines!$D$2:$D$925)*G239&gt;40,"HighDisc","OK")</f>
        <v>OK</v>
      </c>
    </row>
    <row r="240" spans="1:11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 s="11">
        <v>0.06</v>
      </c>
      <c r="H240" t="b">
        <f>(COUNTIFS(OrderLines!$A:$A,A240,OrderLines!$F:$F,"Beverage")&gt;0)</f>
        <v>1</v>
      </c>
      <c r="I240">
        <f>SUMIFS(OrderLines!$I:$I,OrderLines!$A:$A,A240)</f>
        <v>403.89919999999995</v>
      </c>
      <c r="J240" t="str">
        <f>IF(AND(COUNTIFS(OrderLines!$A$2:$A$925,A240,OrderLines!$F$2:$F$925,"Hot Meal")&gt;0,COUNTIFS(OrderLines!$A$2:$A$925,A240,OrderLines!$F$2:$F$925,"Beverage")&gt;0),"Combo","Single")</f>
        <v>Combo</v>
      </c>
      <c r="K240" t="str">
        <f>IF(SUMPRODUCT((OrderLines!$A$2:$A$925=A240)*OrderLines!$C$2:$C$925*OrderLines!$D$2:$D$925)*G240&gt;40,"HighDisc","OK")</f>
        <v>OK</v>
      </c>
    </row>
    <row r="241" spans="1:11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 s="11">
        <v>0.09</v>
      </c>
      <c r="H241" t="b">
        <f>(COUNTIFS(OrderLines!$A:$A,A241,OrderLines!$F:$F,"Beverage")&gt;0)</f>
        <v>0</v>
      </c>
      <c r="I241">
        <f>SUMIFS(OrderLines!$I:$I,OrderLines!$A:$A,A241)</f>
        <v>1180.0425</v>
      </c>
      <c r="J241" t="str">
        <f>IF(AND(COUNTIFS(OrderLines!$A$2:$A$925,A241,OrderLines!$F$2:$F$925,"Hot Meal")&gt;0,COUNTIFS(OrderLines!$A$2:$A$925,A241,OrderLines!$F$2:$F$925,"Beverage")&gt;0),"Combo","Single")</f>
        <v>Single</v>
      </c>
      <c r="K241" t="str">
        <f>IF(SUMPRODUCT((OrderLines!$A$2:$A$925=A241)*OrderLines!$C$2:$C$925*OrderLines!$D$2:$D$925)*G241&gt;40,"HighDisc","OK")</f>
        <v>HighDisc</v>
      </c>
    </row>
    <row r="242" spans="1:11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 s="11">
        <v>0.12</v>
      </c>
      <c r="H242" t="b">
        <f>(COUNTIFS(OrderLines!$A:$A,A242,OrderLines!$F:$F,"Beverage")&gt;0)</f>
        <v>1</v>
      </c>
      <c r="I242">
        <f>SUMIFS(OrderLines!$I:$I,OrderLines!$A:$A,A242)</f>
        <v>129.48319999999998</v>
      </c>
      <c r="J242" t="str">
        <f>IF(AND(COUNTIFS(OrderLines!$A$2:$A$925,A242,OrderLines!$F$2:$F$925,"Hot Meal")&gt;0,COUNTIFS(OrderLines!$A$2:$A$925,A242,OrderLines!$F$2:$F$925,"Beverage")&gt;0),"Combo","Single")</f>
        <v>Single</v>
      </c>
      <c r="K242" t="str">
        <f>IF(SUMPRODUCT((OrderLines!$A$2:$A$925=A242)*OrderLines!$C$2:$C$925*OrderLines!$D$2:$D$925)*G242&gt;40,"HighDisc","OK")</f>
        <v>OK</v>
      </c>
    </row>
    <row r="243" spans="1:11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 s="11">
        <v>0.01</v>
      </c>
      <c r="H243" t="b">
        <f>(COUNTIFS(OrderLines!$A:$A,A243,OrderLines!$F:$F,"Beverage")&gt;0)</f>
        <v>0</v>
      </c>
      <c r="I243">
        <f>SUMIFS(OrderLines!$I:$I,OrderLines!$A:$A,A243)</f>
        <v>1112.7204000000002</v>
      </c>
      <c r="J243" t="str">
        <f>IF(AND(COUNTIFS(OrderLines!$A$2:$A$925,A243,OrderLines!$F$2:$F$925,"Hot Meal")&gt;0,COUNTIFS(OrderLines!$A$2:$A$925,A243,OrderLines!$F$2:$F$925,"Beverage")&gt;0),"Combo","Single")</f>
        <v>Single</v>
      </c>
      <c r="K243" t="str">
        <f>IF(SUMPRODUCT((OrderLines!$A$2:$A$925=A243)*OrderLines!$C$2:$C$925*OrderLines!$D$2:$D$925)*G243&gt;40,"HighDisc","OK")</f>
        <v>OK</v>
      </c>
    </row>
    <row r="244" spans="1:11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 s="11">
        <v>0.15</v>
      </c>
      <c r="H244" t="b">
        <f>(COUNTIFS(OrderLines!$A:$A,A244,OrderLines!$F:$F,"Beverage")&gt;0)</f>
        <v>0</v>
      </c>
      <c r="I244">
        <f>SUMIFS(OrderLines!$I:$I,OrderLines!$A:$A,A244)</f>
        <v>196.29899999999998</v>
      </c>
      <c r="J244" t="str">
        <f>IF(AND(COUNTIFS(OrderLines!$A$2:$A$925,A244,OrderLines!$F$2:$F$925,"Hot Meal")&gt;0,COUNTIFS(OrderLines!$A$2:$A$925,A244,OrderLines!$F$2:$F$925,"Beverage")&gt;0),"Combo","Single")</f>
        <v>Single</v>
      </c>
      <c r="K244" t="str">
        <f>IF(SUMPRODUCT((OrderLines!$A$2:$A$925=A244)*OrderLines!$C$2:$C$925*OrderLines!$D$2:$D$925)*G244&gt;40,"HighDisc","OK")</f>
        <v>OK</v>
      </c>
    </row>
    <row r="245" spans="1:11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 s="11">
        <v>0</v>
      </c>
      <c r="H245" t="b">
        <f>(COUNTIFS(OrderLines!$A:$A,A245,OrderLines!$F:$F,"Beverage")&gt;0)</f>
        <v>1</v>
      </c>
      <c r="I245">
        <f>SUMIFS(OrderLines!$I:$I,OrderLines!$A:$A,A245)</f>
        <v>420.02000000000004</v>
      </c>
      <c r="J245" t="str">
        <f>IF(AND(COUNTIFS(OrderLines!$A$2:$A$925,A245,OrderLines!$F$2:$F$925,"Hot Meal")&gt;0,COUNTIFS(OrderLines!$A$2:$A$925,A245,OrderLines!$F$2:$F$925,"Beverage")&gt;0),"Combo","Single")</f>
        <v>Combo</v>
      </c>
      <c r="K245" t="str">
        <f>IF(SUMPRODUCT((OrderLines!$A$2:$A$925=A245)*OrderLines!$C$2:$C$925*OrderLines!$D$2:$D$925)*G245&gt;40,"HighDisc","OK")</f>
        <v>OK</v>
      </c>
    </row>
    <row r="246" spans="1:11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 s="11">
        <v>0.05</v>
      </c>
      <c r="H246" t="b">
        <f>(COUNTIFS(OrderLines!$A:$A,A246,OrderLines!$F:$F,"Beverage")&gt;0)</f>
        <v>0</v>
      </c>
      <c r="I246">
        <f>SUMIFS(OrderLines!$I:$I,OrderLines!$A:$A,A246)</f>
        <v>591.89749999999992</v>
      </c>
      <c r="J246" t="str">
        <f>IF(AND(COUNTIFS(OrderLines!$A$2:$A$925,A246,OrderLines!$F$2:$F$925,"Hot Meal")&gt;0,COUNTIFS(OrderLines!$A$2:$A$925,A246,OrderLines!$F$2:$F$925,"Beverage")&gt;0),"Combo","Single")</f>
        <v>Single</v>
      </c>
      <c r="K246" t="str">
        <f>IF(SUMPRODUCT((OrderLines!$A$2:$A$925=A246)*OrderLines!$C$2:$C$925*OrderLines!$D$2:$D$925)*G246&gt;40,"HighDisc","OK")</f>
        <v>OK</v>
      </c>
    </row>
    <row r="247" spans="1:11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 s="11">
        <v>0.08</v>
      </c>
      <c r="H247" t="b">
        <f>(COUNTIFS(OrderLines!$A:$A,A247,OrderLines!$F:$F,"Beverage")&gt;0)</f>
        <v>0</v>
      </c>
      <c r="I247">
        <f>SUMIFS(OrderLines!$I:$I,OrderLines!$A:$A,A247)</f>
        <v>194.69040000000001</v>
      </c>
      <c r="J247" t="str">
        <f>IF(AND(COUNTIFS(OrderLines!$A$2:$A$925,A247,OrderLines!$F$2:$F$925,"Hot Meal")&gt;0,COUNTIFS(OrderLines!$A$2:$A$925,A247,OrderLines!$F$2:$F$925,"Beverage")&gt;0),"Combo","Single")</f>
        <v>Single</v>
      </c>
      <c r="K247" t="str">
        <f>IF(SUMPRODUCT((OrderLines!$A$2:$A$925=A247)*OrderLines!$C$2:$C$925*OrderLines!$D$2:$D$925)*G247&gt;40,"HighDisc","OK")</f>
        <v>OK</v>
      </c>
    </row>
    <row r="248" spans="1:11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 s="11">
        <v>7.0000000000000007E-2</v>
      </c>
      <c r="H248" t="b">
        <f>(COUNTIFS(OrderLines!$A:$A,A248,OrderLines!$F:$F,"Beverage")&gt;0)</f>
        <v>0</v>
      </c>
      <c r="I248">
        <f>SUMIFS(OrderLines!$I:$I,OrderLines!$A:$A,A248)</f>
        <v>775.47119999999995</v>
      </c>
      <c r="J248" t="str">
        <f>IF(AND(COUNTIFS(OrderLines!$A$2:$A$925,A248,OrderLines!$F$2:$F$925,"Hot Meal")&gt;0,COUNTIFS(OrderLines!$A$2:$A$925,A248,OrderLines!$F$2:$F$925,"Beverage")&gt;0),"Combo","Single")</f>
        <v>Single</v>
      </c>
      <c r="K248" t="str">
        <f>IF(SUMPRODUCT((OrderLines!$A$2:$A$925=A248)*OrderLines!$C$2:$C$925*OrderLines!$D$2:$D$925)*G248&gt;40,"HighDisc","OK")</f>
        <v>HighDisc</v>
      </c>
    </row>
    <row r="249" spans="1:11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 s="11">
        <v>0.04</v>
      </c>
      <c r="H249" t="b">
        <f>(COUNTIFS(OrderLines!$A:$A,A249,OrderLines!$F:$F,"Beverage")&gt;0)</f>
        <v>0</v>
      </c>
      <c r="I249">
        <f>SUMIFS(OrderLines!$I:$I,OrderLines!$A:$A,A249)</f>
        <v>274.59839999999997</v>
      </c>
      <c r="J249" t="str">
        <f>IF(AND(COUNTIFS(OrderLines!$A$2:$A$925,A249,OrderLines!$F$2:$F$925,"Hot Meal")&gt;0,COUNTIFS(OrderLines!$A$2:$A$925,A249,OrderLines!$F$2:$F$925,"Beverage")&gt;0),"Combo","Single")</f>
        <v>Single</v>
      </c>
      <c r="K249" t="str">
        <f>IF(SUMPRODUCT((OrderLines!$A$2:$A$925=A249)*OrderLines!$C$2:$C$925*OrderLines!$D$2:$D$925)*G249&gt;40,"HighDisc","OK")</f>
        <v>OK</v>
      </c>
    </row>
    <row r="250" spans="1:11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 s="11">
        <v>0.05</v>
      </c>
      <c r="H250" t="b">
        <f>(COUNTIFS(OrderLines!$A:$A,A250,OrderLines!$F:$F,"Beverage")&gt;0)</f>
        <v>0</v>
      </c>
      <c r="I250">
        <f>SUMIFS(OrderLines!$I:$I,OrderLines!$A:$A,A250)</f>
        <v>612.57899999999995</v>
      </c>
      <c r="J250" t="str">
        <f>IF(AND(COUNTIFS(OrderLines!$A$2:$A$925,A250,OrderLines!$F$2:$F$925,"Hot Meal")&gt;0,COUNTIFS(OrderLines!$A$2:$A$925,A250,OrderLines!$F$2:$F$925,"Beverage")&gt;0),"Combo","Single")</f>
        <v>Single</v>
      </c>
      <c r="K250" t="str">
        <f>IF(SUMPRODUCT((OrderLines!$A$2:$A$925=A250)*OrderLines!$C$2:$C$925*OrderLines!$D$2:$D$925)*G250&gt;40,"HighDisc","OK")</f>
        <v>OK</v>
      </c>
    </row>
    <row r="251" spans="1:11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 s="11">
        <v>0.04</v>
      </c>
      <c r="H251" t="b">
        <f>(COUNTIFS(OrderLines!$A:$A,A251,OrderLines!$F:$F,"Beverage")&gt;0)</f>
        <v>1</v>
      </c>
      <c r="I251">
        <f>SUMIFS(OrderLines!$I:$I,OrderLines!$A:$A,A251)</f>
        <v>1076.9951999999998</v>
      </c>
      <c r="J251" t="str">
        <f>IF(AND(COUNTIFS(OrderLines!$A$2:$A$925,A251,OrderLines!$F$2:$F$925,"Hot Meal")&gt;0,COUNTIFS(OrderLines!$A$2:$A$925,A251,OrderLines!$F$2:$F$925,"Beverage")&gt;0),"Combo","Single")</f>
        <v>Combo</v>
      </c>
      <c r="K251" t="str">
        <f>IF(SUMPRODUCT((OrderLines!$A$2:$A$925=A251)*OrderLines!$C$2:$C$925*OrderLines!$D$2:$D$925)*G251&gt;40,"HighDisc","OK")</f>
        <v>HighDisc</v>
      </c>
    </row>
    <row r="252" spans="1:11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 s="11">
        <v>0.04</v>
      </c>
      <c r="H252" t="b">
        <f>(COUNTIFS(OrderLines!$A:$A,A252,OrderLines!$F:$F,"Beverage")&gt;0)</f>
        <v>0</v>
      </c>
      <c r="I252">
        <f>SUMIFS(OrderLines!$I:$I,OrderLines!$A:$A,A252)</f>
        <v>1478.0544</v>
      </c>
      <c r="J252" t="str">
        <f>IF(AND(COUNTIFS(OrderLines!$A$2:$A$925,A252,OrderLines!$F$2:$F$925,"Hot Meal")&gt;0,COUNTIFS(OrderLines!$A$2:$A$925,A252,OrderLines!$F$2:$F$925,"Beverage")&gt;0),"Combo","Single")</f>
        <v>Single</v>
      </c>
      <c r="K252" t="str">
        <f>IF(SUMPRODUCT((OrderLines!$A$2:$A$925=A252)*OrderLines!$C$2:$C$925*OrderLines!$D$2:$D$925)*G252&gt;40,"HighDisc","OK")</f>
        <v>HighDisc</v>
      </c>
    </row>
    <row r="253" spans="1:11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 s="11">
        <v>0.09</v>
      </c>
      <c r="H253" t="b">
        <f>(COUNTIFS(OrderLines!$A:$A,A253,OrderLines!$F:$F,"Beverage")&gt;0)</f>
        <v>0</v>
      </c>
      <c r="I253">
        <f>SUMIFS(OrderLines!$I:$I,OrderLines!$A:$A,A253)</f>
        <v>924.43260000000009</v>
      </c>
      <c r="J253" t="str">
        <f>IF(AND(COUNTIFS(OrderLines!$A$2:$A$925,A253,OrderLines!$F$2:$F$925,"Hot Meal")&gt;0,COUNTIFS(OrderLines!$A$2:$A$925,A253,OrderLines!$F$2:$F$925,"Beverage")&gt;0),"Combo","Single")</f>
        <v>Single</v>
      </c>
      <c r="K253" t="str">
        <f>IF(SUMPRODUCT((OrderLines!$A$2:$A$925=A253)*OrderLines!$C$2:$C$925*OrderLines!$D$2:$D$925)*G253&gt;40,"HighDisc","OK")</f>
        <v>HighDisc</v>
      </c>
    </row>
    <row r="254" spans="1:11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 s="11">
        <v>7.0000000000000007E-2</v>
      </c>
      <c r="H254" t="b">
        <f>(COUNTIFS(OrderLines!$A:$A,A254,OrderLines!$F:$F,"Beverage")&gt;0)</f>
        <v>0</v>
      </c>
      <c r="I254">
        <f>SUMIFS(OrderLines!$I:$I,OrderLines!$A:$A,A254)</f>
        <v>260.45580000000001</v>
      </c>
      <c r="J254" t="str">
        <f>IF(AND(COUNTIFS(OrderLines!$A$2:$A$925,A254,OrderLines!$F$2:$F$925,"Hot Meal")&gt;0,COUNTIFS(OrderLines!$A$2:$A$925,A254,OrderLines!$F$2:$F$925,"Beverage")&gt;0),"Combo","Single")</f>
        <v>Single</v>
      </c>
      <c r="K254" t="str">
        <f>IF(SUMPRODUCT((OrderLines!$A$2:$A$925=A254)*OrderLines!$C$2:$C$925*OrderLines!$D$2:$D$925)*G254&gt;40,"HighDisc","OK")</f>
        <v>OK</v>
      </c>
    </row>
    <row r="255" spans="1:11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 s="11">
        <v>0.03</v>
      </c>
      <c r="H255" t="b">
        <f>(COUNTIFS(OrderLines!$A:$A,A255,OrderLines!$F:$F,"Beverage")&gt;0)</f>
        <v>1</v>
      </c>
      <c r="I255">
        <f>SUMIFS(OrderLines!$I:$I,OrderLines!$A:$A,A255)</f>
        <v>474.53370000000001</v>
      </c>
      <c r="J255" t="str">
        <f>IF(AND(COUNTIFS(OrderLines!$A$2:$A$925,A255,OrderLines!$F$2:$F$925,"Hot Meal")&gt;0,COUNTIFS(OrderLines!$A$2:$A$925,A255,OrderLines!$F$2:$F$925,"Beverage")&gt;0),"Combo","Single")</f>
        <v>Combo</v>
      </c>
      <c r="K255" t="str">
        <f>IF(SUMPRODUCT((OrderLines!$A$2:$A$925=A255)*OrderLines!$C$2:$C$925*OrderLines!$D$2:$D$925)*G255&gt;40,"HighDisc","OK")</f>
        <v>OK</v>
      </c>
    </row>
    <row r="256" spans="1:11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 s="11">
        <v>0.1</v>
      </c>
      <c r="H256" t="b">
        <f>(COUNTIFS(OrderLines!$A:$A,A256,OrderLines!$F:$F,"Beverage")&gt;0)</f>
        <v>0</v>
      </c>
      <c r="I256">
        <f>SUMIFS(OrderLines!$I:$I,OrderLines!$A:$A,A256)</f>
        <v>507.97800000000007</v>
      </c>
      <c r="J256" t="str">
        <f>IF(AND(COUNTIFS(OrderLines!$A$2:$A$925,A256,OrderLines!$F$2:$F$925,"Hot Meal")&gt;0,COUNTIFS(OrderLines!$A$2:$A$925,A256,OrderLines!$F$2:$F$925,"Beverage")&gt;0),"Combo","Single")</f>
        <v>Single</v>
      </c>
      <c r="K256" t="str">
        <f>IF(SUMPRODUCT((OrderLines!$A$2:$A$925=A256)*OrderLines!$C$2:$C$925*OrderLines!$D$2:$D$925)*G256&gt;40,"HighDisc","OK")</f>
        <v>HighDisc</v>
      </c>
    </row>
    <row r="257" spans="1:11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 s="11">
        <v>7.0000000000000007E-2</v>
      </c>
      <c r="H257" t="b">
        <f>(COUNTIFS(OrderLines!$A:$A,A257,OrderLines!$F:$F,"Beverage")&gt;0)</f>
        <v>1</v>
      </c>
      <c r="I257">
        <f>SUMIFS(OrderLines!$I:$I,OrderLines!$A:$A,A257)</f>
        <v>341.72849999999994</v>
      </c>
      <c r="J257" t="str">
        <f>IF(AND(COUNTIFS(OrderLines!$A$2:$A$925,A257,OrderLines!$F$2:$F$925,"Hot Meal")&gt;0,COUNTIFS(OrderLines!$A$2:$A$925,A257,OrderLines!$F$2:$F$925,"Beverage")&gt;0),"Combo","Single")</f>
        <v>Combo</v>
      </c>
      <c r="K257" t="str">
        <f>IF(SUMPRODUCT((OrderLines!$A$2:$A$925=A257)*OrderLines!$C$2:$C$925*OrderLines!$D$2:$D$925)*G257&gt;40,"HighDisc","OK")</f>
        <v>OK</v>
      </c>
    </row>
    <row r="258" spans="1:11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 s="11">
        <v>0.09</v>
      </c>
      <c r="H258" t="b">
        <f>(COUNTIFS(OrderLines!$A:$A,A258,OrderLines!$F:$F,"Beverage")&gt;0)</f>
        <v>1</v>
      </c>
      <c r="I258">
        <f>SUMIFS(OrderLines!$I:$I,OrderLines!$A:$A,A258)</f>
        <v>158.21260000000001</v>
      </c>
      <c r="J258" t="str">
        <f>IF(AND(COUNTIFS(OrderLines!$A$2:$A$925,A258,OrderLines!$F$2:$F$925,"Hot Meal")&gt;0,COUNTIFS(OrderLines!$A$2:$A$925,A258,OrderLines!$F$2:$F$925,"Beverage")&gt;0),"Combo","Single")</f>
        <v>Single</v>
      </c>
      <c r="K258" t="str">
        <f>IF(SUMPRODUCT((OrderLines!$A$2:$A$925=A258)*OrderLines!$C$2:$C$925*OrderLines!$D$2:$D$925)*G258&gt;40,"HighDisc","OK")</f>
        <v>OK</v>
      </c>
    </row>
    <row r="259" spans="1:11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 s="11">
        <v>0.09</v>
      </c>
      <c r="H259" t="b">
        <f>(COUNTIFS(OrderLines!$A:$A,A259,OrderLines!$F:$F,"Beverage")&gt;0)</f>
        <v>1</v>
      </c>
      <c r="I259">
        <f>SUMIFS(OrderLines!$I:$I,OrderLines!$A:$A,A259)</f>
        <v>544.91710000000012</v>
      </c>
      <c r="J259" t="str">
        <f>IF(AND(COUNTIFS(OrderLines!$A$2:$A$925,A259,OrderLines!$F$2:$F$925,"Hot Meal")&gt;0,COUNTIFS(OrderLines!$A$2:$A$925,A259,OrderLines!$F$2:$F$925,"Beverage")&gt;0),"Combo","Single")</f>
        <v>Combo</v>
      </c>
      <c r="K259" t="str">
        <f>IF(SUMPRODUCT((OrderLines!$A$2:$A$925=A259)*OrderLines!$C$2:$C$925*OrderLines!$D$2:$D$925)*G259&gt;40,"HighDisc","OK")</f>
        <v>HighDisc</v>
      </c>
    </row>
    <row r="260" spans="1:11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 s="11">
        <v>0.03</v>
      </c>
      <c r="H260" t="b">
        <f>(COUNTIFS(OrderLines!$A:$A,A260,OrderLines!$F:$F,"Beverage")&gt;0)</f>
        <v>0</v>
      </c>
      <c r="I260">
        <f>SUMIFS(OrderLines!$I:$I,OrderLines!$A:$A,A260)</f>
        <v>375.55489999999998</v>
      </c>
      <c r="J260" t="str">
        <f>IF(AND(COUNTIFS(OrderLines!$A$2:$A$925,A260,OrderLines!$F$2:$F$925,"Hot Meal")&gt;0,COUNTIFS(OrderLines!$A$2:$A$925,A260,OrderLines!$F$2:$F$925,"Beverage")&gt;0),"Combo","Single")</f>
        <v>Single</v>
      </c>
      <c r="K260" t="str">
        <f>IF(SUMPRODUCT((OrderLines!$A$2:$A$925=A260)*OrderLines!$C$2:$C$925*OrderLines!$D$2:$D$925)*G260&gt;40,"HighDisc","OK")</f>
        <v>OK</v>
      </c>
    </row>
    <row r="261" spans="1:11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 s="11">
        <v>0.04</v>
      </c>
      <c r="H261" t="b">
        <f>(COUNTIFS(OrderLines!$A:$A,A261,OrderLines!$F:$F,"Beverage")&gt;0)</f>
        <v>0</v>
      </c>
      <c r="I261">
        <f>SUMIFS(OrderLines!$I:$I,OrderLines!$A:$A,A261)</f>
        <v>499.59360000000004</v>
      </c>
      <c r="J261" t="str">
        <f>IF(AND(COUNTIFS(OrderLines!$A$2:$A$925,A261,OrderLines!$F$2:$F$925,"Hot Meal")&gt;0,COUNTIFS(OrderLines!$A$2:$A$925,A261,OrderLines!$F$2:$F$925,"Beverage")&gt;0),"Combo","Single")</f>
        <v>Single</v>
      </c>
      <c r="K261" t="str">
        <f>IF(SUMPRODUCT((OrderLines!$A$2:$A$925=A261)*OrderLines!$C$2:$C$925*OrderLines!$D$2:$D$925)*G261&gt;40,"HighDisc","OK")</f>
        <v>OK</v>
      </c>
    </row>
    <row r="262" spans="1:11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 s="11">
        <v>0.09</v>
      </c>
      <c r="H262" t="b">
        <f>(COUNTIFS(OrderLines!$A:$A,A262,OrderLines!$F:$F,"Beverage")&gt;0)</f>
        <v>1</v>
      </c>
      <c r="I262">
        <f>SUMIFS(OrderLines!$I:$I,OrderLines!$A:$A,A262)</f>
        <v>232.69610000000003</v>
      </c>
      <c r="J262" t="str">
        <f>IF(AND(COUNTIFS(OrderLines!$A$2:$A$925,A262,OrderLines!$F$2:$F$925,"Hot Meal")&gt;0,COUNTIFS(OrderLines!$A$2:$A$925,A262,OrderLines!$F$2:$F$925,"Beverage")&gt;0),"Combo","Single")</f>
        <v>Combo</v>
      </c>
      <c r="K262" t="str">
        <f>IF(SUMPRODUCT((OrderLines!$A$2:$A$925=A262)*OrderLines!$C$2:$C$925*OrderLines!$D$2:$D$925)*G262&gt;40,"HighDisc","OK")</f>
        <v>OK</v>
      </c>
    </row>
    <row r="263" spans="1:11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 s="11">
        <v>0.08</v>
      </c>
      <c r="H263" t="b">
        <f>(COUNTIFS(OrderLines!$A:$A,A263,OrderLines!$F:$F,"Beverage")&gt;0)</f>
        <v>0</v>
      </c>
      <c r="I263">
        <f>SUMIFS(OrderLines!$I:$I,OrderLines!$A:$A,A263)</f>
        <v>663.43040000000008</v>
      </c>
      <c r="J263" t="str">
        <f>IF(AND(COUNTIFS(OrderLines!$A$2:$A$925,A263,OrderLines!$F$2:$F$925,"Hot Meal")&gt;0,COUNTIFS(OrderLines!$A$2:$A$925,A263,OrderLines!$F$2:$F$925,"Beverage")&gt;0),"Combo","Single")</f>
        <v>Single</v>
      </c>
      <c r="K263" t="str">
        <f>IF(SUMPRODUCT((OrderLines!$A$2:$A$925=A263)*OrderLines!$C$2:$C$925*OrderLines!$D$2:$D$925)*G263&gt;40,"HighDisc","OK")</f>
        <v>HighDisc</v>
      </c>
    </row>
    <row r="264" spans="1:11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 s="11">
        <v>0.06</v>
      </c>
      <c r="H264" t="b">
        <f>(COUNTIFS(OrderLines!$A:$A,A264,OrderLines!$F:$F,"Beverage")&gt;0)</f>
        <v>0</v>
      </c>
      <c r="I264">
        <f>SUMIFS(OrderLines!$I:$I,OrderLines!$A:$A,A264)</f>
        <v>385.40940000000001</v>
      </c>
      <c r="J264" t="str">
        <f>IF(AND(COUNTIFS(OrderLines!$A$2:$A$925,A264,OrderLines!$F$2:$F$925,"Hot Meal")&gt;0,COUNTIFS(OrderLines!$A$2:$A$925,A264,OrderLines!$F$2:$F$925,"Beverage")&gt;0),"Combo","Single")</f>
        <v>Single</v>
      </c>
      <c r="K264" t="str">
        <f>IF(SUMPRODUCT((OrderLines!$A$2:$A$925=A264)*OrderLines!$C$2:$C$925*OrderLines!$D$2:$D$925)*G264&gt;40,"HighDisc","OK")</f>
        <v>OK</v>
      </c>
    </row>
    <row r="265" spans="1:11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 s="11">
        <v>0.06</v>
      </c>
      <c r="H265" t="b">
        <f>(COUNTIFS(OrderLines!$A:$A,A265,OrderLines!$F:$F,"Beverage")&gt;0)</f>
        <v>1</v>
      </c>
      <c r="I265">
        <f>SUMIFS(OrderLines!$I:$I,OrderLines!$A:$A,A265)</f>
        <v>500.01419999999996</v>
      </c>
      <c r="J265" t="str">
        <f>IF(AND(COUNTIFS(OrderLines!$A$2:$A$925,A265,OrderLines!$F$2:$F$925,"Hot Meal")&gt;0,COUNTIFS(OrderLines!$A$2:$A$925,A265,OrderLines!$F$2:$F$925,"Beverage")&gt;0),"Combo","Single")</f>
        <v>Single</v>
      </c>
      <c r="K265" t="str">
        <f>IF(SUMPRODUCT((OrderLines!$A$2:$A$925=A265)*OrderLines!$C$2:$C$925*OrderLines!$D$2:$D$925)*G265&gt;40,"HighDisc","OK")</f>
        <v>OK</v>
      </c>
    </row>
    <row r="266" spans="1:11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 s="11">
        <v>0.11</v>
      </c>
      <c r="H266" t="b">
        <f>(COUNTIFS(OrderLines!$A:$A,A266,OrderLines!$F:$F,"Beverage")&gt;0)</f>
        <v>1</v>
      </c>
      <c r="I266">
        <f>SUMIFS(OrderLines!$I:$I,OrderLines!$A:$A,A266)</f>
        <v>527.84120000000007</v>
      </c>
      <c r="J266" t="str">
        <f>IF(AND(COUNTIFS(OrderLines!$A$2:$A$925,A266,OrderLines!$F$2:$F$925,"Hot Meal")&gt;0,COUNTIFS(OrderLines!$A$2:$A$925,A266,OrderLines!$F$2:$F$925,"Beverage")&gt;0),"Combo","Single")</f>
        <v>Combo</v>
      </c>
      <c r="K266" t="str">
        <f>IF(SUMPRODUCT((OrderLines!$A$2:$A$925=A266)*OrderLines!$C$2:$C$925*OrderLines!$D$2:$D$925)*G266&gt;40,"HighDisc","OK")</f>
        <v>HighDisc</v>
      </c>
    </row>
    <row r="267" spans="1:11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 s="11">
        <v>0.04</v>
      </c>
      <c r="H267" t="b">
        <f>(COUNTIFS(OrderLines!$A:$A,A267,OrderLines!$F:$F,"Beverage")&gt;0)</f>
        <v>0</v>
      </c>
      <c r="I267">
        <f>SUMIFS(OrderLines!$I:$I,OrderLines!$A:$A,A267)</f>
        <v>442.76160000000004</v>
      </c>
      <c r="J267" t="str">
        <f>IF(AND(COUNTIFS(OrderLines!$A$2:$A$925,A267,OrderLines!$F$2:$F$925,"Hot Meal")&gt;0,COUNTIFS(OrderLines!$A$2:$A$925,A267,OrderLines!$F$2:$F$925,"Beverage")&gt;0),"Combo","Single")</f>
        <v>Single</v>
      </c>
      <c r="K267" t="str">
        <f>IF(SUMPRODUCT((OrderLines!$A$2:$A$925=A267)*OrderLines!$C$2:$C$925*OrderLines!$D$2:$D$925)*G267&gt;40,"HighDisc","OK")</f>
        <v>OK</v>
      </c>
    </row>
    <row r="268" spans="1:11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 s="11">
        <v>0.08</v>
      </c>
      <c r="H268" t="b">
        <f>(COUNTIFS(OrderLines!$A:$A,A268,OrderLines!$F:$F,"Beverage")&gt;0)</f>
        <v>1</v>
      </c>
      <c r="I268">
        <f>SUMIFS(OrderLines!$I:$I,OrderLines!$A:$A,A268)</f>
        <v>532.77200000000005</v>
      </c>
      <c r="J268" t="str">
        <f>IF(AND(COUNTIFS(OrderLines!$A$2:$A$925,A268,OrderLines!$F$2:$F$925,"Hot Meal")&gt;0,COUNTIFS(OrderLines!$A$2:$A$925,A268,OrderLines!$F$2:$F$925,"Beverage")&gt;0),"Combo","Single")</f>
        <v>Combo</v>
      </c>
      <c r="K268" t="str">
        <f>IF(SUMPRODUCT((OrderLines!$A$2:$A$925=A268)*OrderLines!$C$2:$C$925*OrderLines!$D$2:$D$925)*G268&gt;40,"HighDisc","OK")</f>
        <v>HighDisc</v>
      </c>
    </row>
    <row r="269" spans="1:11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 s="11">
        <v>0.05</v>
      </c>
      <c r="H269" t="b">
        <f>(COUNTIFS(OrderLines!$A:$A,A269,OrderLines!$F:$F,"Beverage")&gt;0)</f>
        <v>0</v>
      </c>
      <c r="I269">
        <f>SUMIFS(OrderLines!$I:$I,OrderLines!$A:$A,A269)</f>
        <v>942.52350000000001</v>
      </c>
      <c r="J269" t="str">
        <f>IF(AND(COUNTIFS(OrderLines!$A$2:$A$925,A269,OrderLines!$F$2:$F$925,"Hot Meal")&gt;0,COUNTIFS(OrderLines!$A$2:$A$925,A269,OrderLines!$F$2:$F$925,"Beverage")&gt;0),"Combo","Single")</f>
        <v>Single</v>
      </c>
      <c r="K269" t="str">
        <f>IF(SUMPRODUCT((OrderLines!$A$2:$A$925=A269)*OrderLines!$C$2:$C$925*OrderLines!$D$2:$D$925)*G269&gt;40,"HighDisc","OK")</f>
        <v>HighDisc</v>
      </c>
    </row>
    <row r="270" spans="1:11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 s="11">
        <v>0.05</v>
      </c>
      <c r="H270" t="b">
        <f>(COUNTIFS(OrderLines!$A:$A,A270,OrderLines!$F:$F,"Beverage")&gt;0)</f>
        <v>1</v>
      </c>
      <c r="I270">
        <f>SUMIFS(OrderLines!$I:$I,OrderLines!$A:$A,A270)</f>
        <v>1109.4575</v>
      </c>
      <c r="J270" t="str">
        <f>IF(AND(COUNTIFS(OrderLines!$A$2:$A$925,A270,OrderLines!$F$2:$F$925,"Hot Meal")&gt;0,COUNTIFS(OrderLines!$A$2:$A$925,A270,OrderLines!$F$2:$F$925,"Beverage")&gt;0),"Combo","Single")</f>
        <v>Combo</v>
      </c>
      <c r="K270" t="str">
        <f>IF(SUMPRODUCT((OrderLines!$A$2:$A$925=A270)*OrderLines!$C$2:$C$925*OrderLines!$D$2:$D$925)*G270&gt;40,"HighDisc","OK")</f>
        <v>HighDisc</v>
      </c>
    </row>
    <row r="271" spans="1:11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 s="11">
        <v>0.1</v>
      </c>
      <c r="H271" t="b">
        <f>(COUNTIFS(OrderLines!$A:$A,A271,OrderLines!$F:$F,"Beverage")&gt;0)</f>
        <v>0</v>
      </c>
      <c r="I271">
        <f>SUMIFS(OrderLines!$I:$I,OrderLines!$A:$A,A271)</f>
        <v>1485.0719999999999</v>
      </c>
      <c r="J271" t="str">
        <f>IF(AND(COUNTIFS(OrderLines!$A$2:$A$925,A271,OrderLines!$F$2:$F$925,"Hot Meal")&gt;0,COUNTIFS(OrderLines!$A$2:$A$925,A271,OrderLines!$F$2:$F$925,"Beverage")&gt;0),"Combo","Single")</f>
        <v>Single</v>
      </c>
      <c r="K271" t="str">
        <f>IF(SUMPRODUCT((OrderLines!$A$2:$A$925=A271)*OrderLines!$C$2:$C$925*OrderLines!$D$2:$D$925)*G271&gt;40,"HighDisc","OK")</f>
        <v>HighDisc</v>
      </c>
    </row>
    <row r="272" spans="1:11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 s="11">
        <v>0.09</v>
      </c>
      <c r="H272" t="b">
        <f>(COUNTIFS(OrderLines!$A:$A,A272,OrderLines!$F:$F,"Beverage")&gt;0)</f>
        <v>1</v>
      </c>
      <c r="I272">
        <f>SUMIFS(OrderLines!$I:$I,OrderLines!$A:$A,A272)</f>
        <v>139.18450000000001</v>
      </c>
      <c r="J272" t="str">
        <f>IF(AND(COUNTIFS(OrderLines!$A$2:$A$925,A272,OrderLines!$F$2:$F$925,"Hot Meal")&gt;0,COUNTIFS(OrderLines!$A$2:$A$925,A272,OrderLines!$F$2:$F$925,"Beverage")&gt;0),"Combo","Single")</f>
        <v>Single</v>
      </c>
      <c r="K272" t="str">
        <f>IF(SUMPRODUCT((OrderLines!$A$2:$A$925=A272)*OrderLines!$C$2:$C$925*OrderLines!$D$2:$D$925)*G272&gt;40,"HighDisc","OK")</f>
        <v>OK</v>
      </c>
    </row>
    <row r="273" spans="1:11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 s="11">
        <v>0.09</v>
      </c>
      <c r="H273" t="b">
        <f>(COUNTIFS(OrderLines!$A:$A,A273,OrderLines!$F:$F,"Beverage")&gt;0)</f>
        <v>1</v>
      </c>
      <c r="I273">
        <f>SUMIFS(OrderLines!$I:$I,OrderLines!$A:$A,A273)</f>
        <v>228.46460000000002</v>
      </c>
      <c r="J273" t="str">
        <f>IF(AND(COUNTIFS(OrderLines!$A$2:$A$925,A273,OrderLines!$F$2:$F$925,"Hot Meal")&gt;0,COUNTIFS(OrderLines!$A$2:$A$925,A273,OrderLines!$F$2:$F$925,"Beverage")&gt;0),"Combo","Single")</f>
        <v>Combo</v>
      </c>
      <c r="K273" t="str">
        <f>IF(SUMPRODUCT((OrderLines!$A$2:$A$925=A273)*OrderLines!$C$2:$C$925*OrderLines!$D$2:$D$925)*G273&gt;40,"HighDisc","OK")</f>
        <v>OK</v>
      </c>
    </row>
    <row r="274" spans="1:11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 s="11">
        <v>0.11</v>
      </c>
      <c r="H274" t="b">
        <f>(COUNTIFS(OrderLines!$A:$A,A274,OrderLines!$F:$F,"Beverage")&gt;0)</f>
        <v>0</v>
      </c>
      <c r="I274">
        <f>SUMIFS(OrderLines!$I:$I,OrderLines!$A:$A,A274)</f>
        <v>311.85599999999999</v>
      </c>
      <c r="J274" t="str">
        <f>IF(AND(COUNTIFS(OrderLines!$A$2:$A$925,A274,OrderLines!$F$2:$F$925,"Hot Meal")&gt;0,COUNTIFS(OrderLines!$A$2:$A$925,A274,OrderLines!$F$2:$F$925,"Beverage")&gt;0),"Combo","Single")</f>
        <v>Single</v>
      </c>
      <c r="K274" t="str">
        <f>IF(SUMPRODUCT((OrderLines!$A$2:$A$925=A274)*OrderLines!$C$2:$C$925*OrderLines!$D$2:$D$925)*G274&gt;40,"HighDisc","OK")</f>
        <v>OK</v>
      </c>
    </row>
    <row r="275" spans="1:11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 s="11">
        <v>0.06</v>
      </c>
      <c r="H275" t="b">
        <f>(COUNTIFS(OrderLines!$A:$A,A275,OrderLines!$F:$F,"Beverage")&gt;0)</f>
        <v>1</v>
      </c>
      <c r="I275">
        <f>SUMIFS(OrderLines!$I:$I,OrderLines!$A:$A,A275)</f>
        <v>633.99240000000009</v>
      </c>
      <c r="J275" t="str">
        <f>IF(AND(COUNTIFS(OrderLines!$A$2:$A$925,A275,OrderLines!$F$2:$F$925,"Hot Meal")&gt;0,COUNTIFS(OrderLines!$A$2:$A$925,A275,OrderLines!$F$2:$F$925,"Beverage")&gt;0),"Combo","Single")</f>
        <v>Combo</v>
      </c>
      <c r="K275" t="str">
        <f>IF(SUMPRODUCT((OrderLines!$A$2:$A$925=A275)*OrderLines!$C$2:$C$925*OrderLines!$D$2:$D$925)*G275&gt;40,"HighDisc","OK")</f>
        <v>HighDisc</v>
      </c>
    </row>
    <row r="276" spans="1:11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 s="11">
        <v>0.09</v>
      </c>
      <c r="H276" t="b">
        <f>(COUNTIFS(OrderLines!$A:$A,A276,OrderLines!$F:$F,"Beverage")&gt;0)</f>
        <v>1</v>
      </c>
      <c r="I276">
        <f>SUMIFS(OrderLines!$I:$I,OrderLines!$A:$A,A276)</f>
        <v>822.01210000000003</v>
      </c>
      <c r="J276" t="str">
        <f>IF(AND(COUNTIFS(OrderLines!$A$2:$A$925,A276,OrderLines!$F$2:$F$925,"Hot Meal")&gt;0,COUNTIFS(OrderLines!$A$2:$A$925,A276,OrderLines!$F$2:$F$925,"Beverage")&gt;0),"Combo","Single")</f>
        <v>Combo</v>
      </c>
      <c r="K276" t="str">
        <f>IF(SUMPRODUCT((OrderLines!$A$2:$A$925=A276)*OrderLines!$C$2:$C$925*OrderLines!$D$2:$D$925)*G276&gt;40,"HighDisc","OK")</f>
        <v>HighDisc</v>
      </c>
    </row>
    <row r="277" spans="1:11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 s="11">
        <v>0.05</v>
      </c>
      <c r="H277" t="b">
        <f>(COUNTIFS(OrderLines!$A:$A,A277,OrderLines!$F:$F,"Beverage")&gt;0)</f>
        <v>1</v>
      </c>
      <c r="I277">
        <f>SUMIFS(OrderLines!$I:$I,OrderLines!$A:$A,A277)</f>
        <v>407.24599999999992</v>
      </c>
      <c r="J277" t="str">
        <f>IF(AND(COUNTIFS(OrderLines!$A$2:$A$925,A277,OrderLines!$F$2:$F$925,"Hot Meal")&gt;0,COUNTIFS(OrderLines!$A$2:$A$925,A277,OrderLines!$F$2:$F$925,"Beverage")&gt;0),"Combo","Single")</f>
        <v>Single</v>
      </c>
      <c r="K277" t="str">
        <f>IF(SUMPRODUCT((OrderLines!$A$2:$A$925=A277)*OrderLines!$C$2:$C$925*OrderLines!$D$2:$D$925)*G277&gt;40,"HighDisc","OK")</f>
        <v>OK</v>
      </c>
    </row>
    <row r="278" spans="1:11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 s="11">
        <v>7.0000000000000007E-2</v>
      </c>
      <c r="H278" t="b">
        <f>(COUNTIFS(OrderLines!$A:$A,A278,OrderLines!$F:$F,"Beverage")&gt;0)</f>
        <v>0</v>
      </c>
      <c r="I278">
        <f>SUMIFS(OrderLines!$I:$I,OrderLines!$A:$A,A278)</f>
        <v>72.549300000000002</v>
      </c>
      <c r="J278" t="str">
        <f>IF(AND(COUNTIFS(OrderLines!$A$2:$A$925,A278,OrderLines!$F$2:$F$925,"Hot Meal")&gt;0,COUNTIFS(OrderLines!$A$2:$A$925,A278,OrderLines!$F$2:$F$925,"Beverage")&gt;0),"Combo","Single")</f>
        <v>Single</v>
      </c>
      <c r="K278" t="str">
        <f>IF(SUMPRODUCT((OrderLines!$A$2:$A$925=A278)*OrderLines!$C$2:$C$925*OrderLines!$D$2:$D$925)*G278&gt;40,"HighDisc","OK")</f>
        <v>OK</v>
      </c>
    </row>
    <row r="279" spans="1:11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 s="11">
        <v>0.05</v>
      </c>
      <c r="H279" t="b">
        <f>(COUNTIFS(OrderLines!$A:$A,A279,OrderLines!$F:$F,"Beverage")&gt;0)</f>
        <v>1</v>
      </c>
      <c r="I279">
        <f>SUMIFS(OrderLines!$I:$I,OrderLines!$A:$A,A279)</f>
        <v>413.03149999999999</v>
      </c>
      <c r="J279" t="str">
        <f>IF(AND(COUNTIFS(OrderLines!$A$2:$A$925,A279,OrderLines!$F$2:$F$925,"Hot Meal")&gt;0,COUNTIFS(OrderLines!$A$2:$A$925,A279,OrderLines!$F$2:$F$925,"Beverage")&gt;0),"Combo","Single")</f>
        <v>Combo</v>
      </c>
      <c r="K279" t="str">
        <f>IF(SUMPRODUCT((OrderLines!$A$2:$A$925=A279)*OrderLines!$C$2:$C$925*OrderLines!$D$2:$D$925)*G279&gt;40,"HighDisc","OK")</f>
        <v>OK</v>
      </c>
    </row>
    <row r="280" spans="1:11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 s="11">
        <v>0.06</v>
      </c>
      <c r="H280" t="b">
        <f>(COUNTIFS(OrderLines!$A:$A,A280,OrderLines!$F:$F,"Beverage")&gt;0)</f>
        <v>1</v>
      </c>
      <c r="I280">
        <f>SUMIFS(OrderLines!$I:$I,OrderLines!$A:$A,A280)</f>
        <v>28.519599999999997</v>
      </c>
      <c r="J280" t="str">
        <f>IF(AND(COUNTIFS(OrderLines!$A$2:$A$925,A280,OrderLines!$F$2:$F$925,"Hot Meal")&gt;0,COUNTIFS(OrderLines!$A$2:$A$925,A280,OrderLines!$F$2:$F$925,"Beverage")&gt;0),"Combo","Single")</f>
        <v>Single</v>
      </c>
      <c r="K280" t="str">
        <f>IF(SUMPRODUCT((OrderLines!$A$2:$A$925=A280)*OrderLines!$C$2:$C$925*OrderLines!$D$2:$D$925)*G280&gt;40,"HighDisc","OK")</f>
        <v>OK</v>
      </c>
    </row>
    <row r="281" spans="1:11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 s="11">
        <v>0.08</v>
      </c>
      <c r="H281" t="b">
        <f>(COUNTIFS(OrderLines!$A:$A,A281,OrderLines!$F:$F,"Beverage")&gt;0)</f>
        <v>1</v>
      </c>
      <c r="I281">
        <f>SUMIFS(OrderLines!$I:$I,OrderLines!$A:$A,A281)</f>
        <v>267.05760000000004</v>
      </c>
      <c r="J281" t="str">
        <f>IF(AND(COUNTIFS(OrderLines!$A$2:$A$925,A281,OrderLines!$F$2:$F$925,"Hot Meal")&gt;0,COUNTIFS(OrderLines!$A$2:$A$925,A281,OrderLines!$F$2:$F$925,"Beverage")&gt;0),"Combo","Single")</f>
        <v>Combo</v>
      </c>
      <c r="K281" t="str">
        <f>IF(SUMPRODUCT((OrderLines!$A$2:$A$925=A281)*OrderLines!$C$2:$C$925*OrderLines!$D$2:$D$925)*G281&gt;40,"HighDisc","OK")</f>
        <v>OK</v>
      </c>
    </row>
    <row r="282" spans="1:11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 s="11">
        <v>0.03</v>
      </c>
      <c r="H282" t="b">
        <f>(COUNTIFS(OrderLines!$A:$A,A282,OrderLines!$F:$F,"Beverage")&gt;0)</f>
        <v>1</v>
      </c>
      <c r="I282">
        <f>SUMIFS(OrderLines!$I:$I,OrderLines!$A:$A,A282)</f>
        <v>29.4298</v>
      </c>
      <c r="J282" t="str">
        <f>IF(AND(COUNTIFS(OrderLines!$A$2:$A$925,A282,OrderLines!$F$2:$F$925,"Hot Meal")&gt;0,COUNTIFS(OrderLines!$A$2:$A$925,A282,OrderLines!$F$2:$F$925,"Beverage")&gt;0),"Combo","Single")</f>
        <v>Single</v>
      </c>
      <c r="K282" t="str">
        <f>IF(SUMPRODUCT((OrderLines!$A$2:$A$925=A282)*OrderLines!$C$2:$C$925*OrderLines!$D$2:$D$925)*G282&gt;40,"HighDisc","OK")</f>
        <v>OK</v>
      </c>
    </row>
    <row r="283" spans="1:11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 s="11">
        <v>0.14000000000000001</v>
      </c>
      <c r="H283" t="b">
        <f>(COUNTIFS(OrderLines!$A:$A,A283,OrderLines!$F:$F,"Beverage")&gt;0)</f>
        <v>1</v>
      </c>
      <c r="I283">
        <f>SUMIFS(OrderLines!$I:$I,OrderLines!$A:$A,A283)</f>
        <v>276.7996</v>
      </c>
      <c r="J283" t="str">
        <f>IF(AND(COUNTIFS(OrderLines!$A$2:$A$925,A283,OrderLines!$F$2:$F$925,"Hot Meal")&gt;0,COUNTIFS(OrderLines!$A$2:$A$925,A283,OrderLines!$F$2:$F$925,"Beverage")&gt;0),"Combo","Single")</f>
        <v>Single</v>
      </c>
      <c r="K283" t="str">
        <f>IF(SUMPRODUCT((OrderLines!$A$2:$A$925=A283)*OrderLines!$C$2:$C$925*OrderLines!$D$2:$D$925)*G283&gt;40,"HighDisc","OK")</f>
        <v>HighDisc</v>
      </c>
    </row>
    <row r="284" spans="1:11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 s="11">
        <v>0.02</v>
      </c>
      <c r="H284" t="b">
        <f>(COUNTIFS(OrderLines!$A:$A,A284,OrderLines!$F:$F,"Beverage")&gt;0)</f>
        <v>1</v>
      </c>
      <c r="I284">
        <f>SUMIFS(OrderLines!$I:$I,OrderLines!$A:$A,A284)</f>
        <v>1112.0354</v>
      </c>
      <c r="J284" t="str">
        <f>IF(AND(COUNTIFS(OrderLines!$A$2:$A$925,A284,OrderLines!$F$2:$F$925,"Hot Meal")&gt;0,COUNTIFS(OrderLines!$A$2:$A$925,A284,OrderLines!$F$2:$F$925,"Beverage")&gt;0),"Combo","Single")</f>
        <v>Combo</v>
      </c>
      <c r="K284" t="str">
        <f>IF(SUMPRODUCT((OrderLines!$A$2:$A$925=A284)*OrderLines!$C$2:$C$925*OrderLines!$D$2:$D$925)*G284&gt;40,"HighDisc","OK")</f>
        <v>OK</v>
      </c>
    </row>
    <row r="285" spans="1:11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 s="11">
        <v>0.01</v>
      </c>
      <c r="H285" t="b">
        <f>(COUNTIFS(OrderLines!$A:$A,A285,OrderLines!$F:$F,"Beverage")&gt;0)</f>
        <v>0</v>
      </c>
      <c r="I285">
        <f>SUMIFS(OrderLines!$I:$I,OrderLines!$A:$A,A285)</f>
        <v>328.69979999999998</v>
      </c>
      <c r="J285" t="str">
        <f>IF(AND(COUNTIFS(OrderLines!$A$2:$A$925,A285,OrderLines!$F$2:$F$925,"Hot Meal")&gt;0,COUNTIFS(OrderLines!$A$2:$A$925,A285,OrderLines!$F$2:$F$925,"Beverage")&gt;0),"Combo","Single")</f>
        <v>Single</v>
      </c>
      <c r="K285" t="str">
        <f>IF(SUMPRODUCT((OrderLines!$A$2:$A$925=A285)*OrderLines!$C$2:$C$925*OrderLines!$D$2:$D$925)*G285&gt;40,"HighDisc","OK")</f>
        <v>OK</v>
      </c>
    </row>
    <row r="286" spans="1:11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 s="11">
        <v>0.11</v>
      </c>
      <c r="H286" t="b">
        <f>(COUNTIFS(OrderLines!$A:$A,A286,OrderLines!$F:$F,"Beverage")&gt;0)</f>
        <v>0</v>
      </c>
      <c r="I286">
        <f>SUMIFS(OrderLines!$I:$I,OrderLines!$A:$A,A286)</f>
        <v>380.96449999999999</v>
      </c>
      <c r="J286" t="str">
        <f>IF(AND(COUNTIFS(OrderLines!$A$2:$A$925,A286,OrderLines!$F$2:$F$925,"Hot Meal")&gt;0,COUNTIFS(OrderLines!$A$2:$A$925,A286,OrderLines!$F$2:$F$925,"Beverage")&gt;0),"Combo","Single")</f>
        <v>Single</v>
      </c>
      <c r="K286" t="str">
        <f>IF(SUMPRODUCT((OrderLines!$A$2:$A$925=A286)*OrderLines!$C$2:$C$925*OrderLines!$D$2:$D$925)*G286&gt;40,"HighDisc","OK")</f>
        <v>HighDisc</v>
      </c>
    </row>
    <row r="287" spans="1:11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 s="11">
        <v>0.09</v>
      </c>
      <c r="H287" t="b">
        <f>(COUNTIFS(OrderLines!$A:$A,A287,OrderLines!$F:$F,"Beverage")&gt;0)</f>
        <v>0</v>
      </c>
      <c r="I287">
        <f>SUMIFS(OrderLines!$I:$I,OrderLines!$A:$A,A287)</f>
        <v>294.77629999999999</v>
      </c>
      <c r="J287" t="str">
        <f>IF(AND(COUNTIFS(OrderLines!$A$2:$A$925,A287,OrderLines!$F$2:$F$925,"Hot Meal")&gt;0,COUNTIFS(OrderLines!$A$2:$A$925,A287,OrderLines!$F$2:$F$925,"Beverage")&gt;0),"Combo","Single")</f>
        <v>Single</v>
      </c>
      <c r="K287" t="str">
        <f>IF(SUMPRODUCT((OrderLines!$A$2:$A$925=A287)*OrderLines!$C$2:$C$925*OrderLines!$D$2:$D$925)*G287&gt;40,"HighDisc","OK")</f>
        <v>OK</v>
      </c>
    </row>
    <row r="288" spans="1:11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 s="11">
        <v>0.08</v>
      </c>
      <c r="H288" t="b">
        <f>(COUNTIFS(OrderLines!$A:$A,A288,OrderLines!$F:$F,"Beverage")&gt;0)</f>
        <v>0</v>
      </c>
      <c r="I288">
        <f>SUMIFS(OrderLines!$I:$I,OrderLines!$A:$A,A288)</f>
        <v>371.04520000000002</v>
      </c>
      <c r="J288" t="str">
        <f>IF(AND(COUNTIFS(OrderLines!$A$2:$A$925,A288,OrderLines!$F$2:$F$925,"Hot Meal")&gt;0,COUNTIFS(OrderLines!$A$2:$A$925,A288,OrderLines!$F$2:$F$925,"Beverage")&gt;0),"Combo","Single")</f>
        <v>Single</v>
      </c>
      <c r="K288" t="str">
        <f>IF(SUMPRODUCT((OrderLines!$A$2:$A$925=A288)*OrderLines!$C$2:$C$925*OrderLines!$D$2:$D$925)*G288&gt;40,"HighDisc","OK")</f>
        <v>OK</v>
      </c>
    </row>
    <row r="289" spans="1:11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 s="11">
        <v>0.09</v>
      </c>
      <c r="H289" t="b">
        <f>(COUNTIFS(OrderLines!$A:$A,A289,OrderLines!$F:$F,"Beverage")&gt;0)</f>
        <v>1</v>
      </c>
      <c r="I289">
        <f>SUMIFS(OrderLines!$I:$I,OrderLines!$A:$A,A289)</f>
        <v>291.31830000000002</v>
      </c>
      <c r="J289" t="str">
        <f>IF(AND(COUNTIFS(OrderLines!$A$2:$A$925,A289,OrderLines!$F$2:$F$925,"Hot Meal")&gt;0,COUNTIFS(OrderLines!$A$2:$A$925,A289,OrderLines!$F$2:$F$925,"Beverage")&gt;0),"Combo","Single")</f>
        <v>Combo</v>
      </c>
      <c r="K289" t="str">
        <f>IF(SUMPRODUCT((OrderLines!$A$2:$A$925=A289)*OrderLines!$C$2:$C$925*OrderLines!$D$2:$D$925)*G289&gt;40,"HighDisc","OK")</f>
        <v>OK</v>
      </c>
    </row>
    <row r="290" spans="1:11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 s="11">
        <v>0.06</v>
      </c>
      <c r="H290" t="b">
        <f>(COUNTIFS(OrderLines!$A:$A,A290,OrderLines!$F:$F,"Beverage")&gt;0)</f>
        <v>1</v>
      </c>
      <c r="I290">
        <f>SUMIFS(OrderLines!$I:$I,OrderLines!$A:$A,A290)</f>
        <v>289.78319999999997</v>
      </c>
      <c r="J290" t="str">
        <f>IF(AND(COUNTIFS(OrderLines!$A$2:$A$925,A290,OrderLines!$F$2:$F$925,"Hot Meal")&gt;0,COUNTIFS(OrderLines!$A$2:$A$925,A290,OrderLines!$F$2:$F$925,"Beverage")&gt;0),"Combo","Single")</f>
        <v>Single</v>
      </c>
      <c r="K290" t="str">
        <f>IF(SUMPRODUCT((OrderLines!$A$2:$A$925=A290)*OrderLines!$C$2:$C$925*OrderLines!$D$2:$D$925)*G290&gt;40,"HighDisc","OK")</f>
        <v>OK</v>
      </c>
    </row>
    <row r="291" spans="1:11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 s="11">
        <v>0.02</v>
      </c>
      <c r="H291" t="b">
        <f>(COUNTIFS(OrderLines!$A:$A,A291,OrderLines!$F:$F,"Beverage")&gt;0)</f>
        <v>1</v>
      </c>
      <c r="I291">
        <f>SUMIFS(OrderLines!$I:$I,OrderLines!$A:$A,A291)</f>
        <v>52.028199999999998</v>
      </c>
      <c r="J291" t="str">
        <f>IF(AND(COUNTIFS(OrderLines!$A$2:$A$925,A291,OrderLines!$F$2:$F$925,"Hot Meal")&gt;0,COUNTIFS(OrderLines!$A$2:$A$925,A291,OrderLines!$F$2:$F$925,"Beverage")&gt;0),"Combo","Single")</f>
        <v>Single</v>
      </c>
      <c r="K291" t="str">
        <f>IF(SUMPRODUCT((OrderLines!$A$2:$A$925=A291)*OrderLines!$C$2:$C$925*OrderLines!$D$2:$D$925)*G291&gt;40,"HighDisc","OK")</f>
        <v>OK</v>
      </c>
    </row>
    <row r="292" spans="1:11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 s="11">
        <v>0.06</v>
      </c>
      <c r="H292" t="b">
        <f>(COUNTIFS(OrderLines!$A:$A,A292,OrderLines!$F:$F,"Beverage")&gt;0)</f>
        <v>0</v>
      </c>
      <c r="I292">
        <f>SUMIFS(OrderLines!$I:$I,OrderLines!$A:$A,A292)</f>
        <v>482.99080000000004</v>
      </c>
      <c r="J292" t="str">
        <f>IF(AND(COUNTIFS(OrderLines!$A$2:$A$925,A292,OrderLines!$F$2:$F$925,"Hot Meal")&gt;0,COUNTIFS(OrderLines!$A$2:$A$925,A292,OrderLines!$F$2:$F$925,"Beverage")&gt;0),"Combo","Single")</f>
        <v>Single</v>
      </c>
      <c r="K292" t="str">
        <f>IF(SUMPRODUCT((OrderLines!$A$2:$A$925=A292)*OrderLines!$C$2:$C$925*OrderLines!$D$2:$D$925)*G292&gt;40,"HighDisc","OK")</f>
        <v>OK</v>
      </c>
    </row>
    <row r="293" spans="1:11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 s="11">
        <v>0.03</v>
      </c>
      <c r="H293" t="b">
        <f>(COUNTIFS(OrderLines!$A:$A,A293,OrderLines!$F:$F,"Beverage")&gt;0)</f>
        <v>1</v>
      </c>
      <c r="I293">
        <f>SUMIFS(OrderLines!$I:$I,OrderLines!$A:$A,A293)</f>
        <v>78.366299999999995</v>
      </c>
      <c r="J293" t="str">
        <f>IF(AND(COUNTIFS(OrderLines!$A$2:$A$925,A293,OrderLines!$F$2:$F$925,"Hot Meal")&gt;0,COUNTIFS(OrderLines!$A$2:$A$925,A293,OrderLines!$F$2:$F$925,"Beverage")&gt;0),"Combo","Single")</f>
        <v>Single</v>
      </c>
      <c r="K293" t="str">
        <f>IF(SUMPRODUCT((OrderLines!$A$2:$A$925=A293)*OrderLines!$C$2:$C$925*OrderLines!$D$2:$D$925)*G293&gt;40,"HighDisc","OK")</f>
        <v>OK</v>
      </c>
    </row>
    <row r="294" spans="1:11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 s="11">
        <v>0.1</v>
      </c>
      <c r="H294" t="b">
        <f>(COUNTIFS(OrderLines!$A:$A,A294,OrderLines!$F:$F,"Beverage")&gt;0)</f>
        <v>1</v>
      </c>
      <c r="I294">
        <f>SUMIFS(OrderLines!$I:$I,OrderLines!$A:$A,A294)</f>
        <v>464.31000000000006</v>
      </c>
      <c r="J294" t="str">
        <f>IF(AND(COUNTIFS(OrderLines!$A$2:$A$925,A294,OrderLines!$F$2:$F$925,"Hot Meal")&gt;0,COUNTIFS(OrderLines!$A$2:$A$925,A294,OrderLines!$F$2:$F$925,"Beverage")&gt;0),"Combo","Single")</f>
        <v>Combo</v>
      </c>
      <c r="K294" t="str">
        <f>IF(SUMPRODUCT((OrderLines!$A$2:$A$925=A294)*OrderLines!$C$2:$C$925*OrderLines!$D$2:$D$925)*G294&gt;40,"HighDisc","OK")</f>
        <v>HighDisc</v>
      </c>
    </row>
    <row r="295" spans="1:11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 s="11">
        <v>0.05</v>
      </c>
      <c r="H295" t="b">
        <f>(COUNTIFS(OrderLines!$A:$A,A295,OrderLines!$F:$F,"Beverage")&gt;0)</f>
        <v>1</v>
      </c>
      <c r="I295">
        <f>SUMIFS(OrderLines!$I:$I,OrderLines!$A:$A,A295)</f>
        <v>54.016999999999996</v>
      </c>
      <c r="J295" t="str">
        <f>IF(AND(COUNTIFS(OrderLines!$A$2:$A$925,A295,OrderLines!$F$2:$F$925,"Hot Meal")&gt;0,COUNTIFS(OrderLines!$A$2:$A$925,A295,OrderLines!$F$2:$F$925,"Beverage")&gt;0),"Combo","Single")</f>
        <v>Single</v>
      </c>
      <c r="K295" t="str">
        <f>IF(SUMPRODUCT((OrderLines!$A$2:$A$925=A295)*OrderLines!$C$2:$C$925*OrderLines!$D$2:$D$925)*G295&gt;40,"HighDisc","OK")</f>
        <v>OK</v>
      </c>
    </row>
    <row r="296" spans="1:11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 s="11">
        <v>0.03</v>
      </c>
      <c r="H296" t="b">
        <f>(COUNTIFS(OrderLines!$A:$A,A296,OrderLines!$F:$F,"Beverage")&gt;0)</f>
        <v>1</v>
      </c>
      <c r="I296">
        <f>SUMIFS(OrderLines!$I:$I,OrderLines!$A:$A,A296)</f>
        <v>76.891899999999993</v>
      </c>
      <c r="J296" t="str">
        <f>IF(AND(COUNTIFS(OrderLines!$A$2:$A$925,A296,OrderLines!$F$2:$F$925,"Hot Meal")&gt;0,COUNTIFS(OrderLines!$A$2:$A$925,A296,OrderLines!$F$2:$F$925,"Beverage")&gt;0),"Combo","Single")</f>
        <v>Single</v>
      </c>
      <c r="K296" t="str">
        <f>IF(SUMPRODUCT((OrderLines!$A$2:$A$925=A296)*OrderLines!$C$2:$C$925*OrderLines!$D$2:$D$925)*G296&gt;40,"HighDisc","OK")</f>
        <v>OK</v>
      </c>
    </row>
    <row r="297" spans="1:11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 s="11">
        <v>0.05</v>
      </c>
      <c r="H297" t="b">
        <f>(COUNTIFS(OrderLines!$A:$A,A297,OrderLines!$F:$F,"Beverage")&gt;0)</f>
        <v>0</v>
      </c>
      <c r="I297">
        <f>SUMIFS(OrderLines!$I:$I,OrderLines!$A:$A,A297)</f>
        <v>161.53800000000001</v>
      </c>
      <c r="J297" t="str">
        <f>IF(AND(COUNTIFS(OrderLines!$A$2:$A$925,A297,OrderLines!$F$2:$F$925,"Hot Meal")&gt;0,COUNTIFS(OrderLines!$A$2:$A$925,A297,OrderLines!$F$2:$F$925,"Beverage")&gt;0),"Combo","Single")</f>
        <v>Single</v>
      </c>
      <c r="K297" t="str">
        <f>IF(SUMPRODUCT((OrderLines!$A$2:$A$925=A297)*OrderLines!$C$2:$C$925*OrderLines!$D$2:$D$925)*G297&gt;40,"HighDisc","OK")</f>
        <v>OK</v>
      </c>
    </row>
    <row r="298" spans="1:11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 s="11">
        <v>0.08</v>
      </c>
      <c r="H298" t="b">
        <f>(COUNTIFS(OrderLines!$A:$A,A298,OrderLines!$F:$F,"Beverage")&gt;0)</f>
        <v>0</v>
      </c>
      <c r="I298">
        <f>SUMIFS(OrderLines!$I:$I,OrderLines!$A:$A,A298)</f>
        <v>194.69040000000001</v>
      </c>
      <c r="J298" t="str">
        <f>IF(AND(COUNTIFS(OrderLines!$A$2:$A$925,A298,OrderLines!$F$2:$F$925,"Hot Meal")&gt;0,COUNTIFS(OrderLines!$A$2:$A$925,A298,OrderLines!$F$2:$F$925,"Beverage")&gt;0),"Combo","Single")</f>
        <v>Single</v>
      </c>
      <c r="K298" t="str">
        <f>IF(SUMPRODUCT((OrderLines!$A$2:$A$925=A298)*OrderLines!$C$2:$C$925*OrderLines!$D$2:$D$925)*G298&gt;40,"HighDisc","OK")</f>
        <v>OK</v>
      </c>
    </row>
    <row r="299" spans="1:11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 s="11">
        <v>0.04</v>
      </c>
      <c r="H299" t="b">
        <f>(COUNTIFS(OrderLines!$A:$A,A299,OrderLines!$F:$F,"Beverage")&gt;0)</f>
        <v>0</v>
      </c>
      <c r="I299">
        <f>SUMIFS(OrderLines!$I:$I,OrderLines!$A:$A,A299)</f>
        <v>246.6336</v>
      </c>
      <c r="J299" t="str">
        <f>IF(AND(COUNTIFS(OrderLines!$A$2:$A$925,A299,OrderLines!$F$2:$F$925,"Hot Meal")&gt;0,COUNTIFS(OrderLines!$A$2:$A$925,A299,OrderLines!$F$2:$F$925,"Beverage")&gt;0),"Combo","Single")</f>
        <v>Single</v>
      </c>
      <c r="K299" t="str">
        <f>IF(SUMPRODUCT((OrderLines!$A$2:$A$925=A299)*OrderLines!$C$2:$C$925*OrderLines!$D$2:$D$925)*G299&gt;40,"HighDisc","OK")</f>
        <v>OK</v>
      </c>
    </row>
    <row r="300" spans="1:11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 s="11">
        <v>0.03</v>
      </c>
      <c r="H300" t="b">
        <f>(COUNTIFS(OrderLines!$A:$A,A300,OrderLines!$F:$F,"Beverage")&gt;0)</f>
        <v>1</v>
      </c>
      <c r="I300">
        <f>SUMIFS(OrderLines!$I:$I,OrderLines!$A:$A,A300)</f>
        <v>453.73690000000005</v>
      </c>
      <c r="J300" t="str">
        <f>IF(AND(COUNTIFS(OrderLines!$A$2:$A$925,A300,OrderLines!$F$2:$F$925,"Hot Meal")&gt;0,COUNTIFS(OrderLines!$A$2:$A$925,A300,OrderLines!$F$2:$F$925,"Beverage")&gt;0),"Combo","Single")</f>
        <v>Combo</v>
      </c>
      <c r="K300" t="str">
        <f>IF(SUMPRODUCT((OrderLines!$A$2:$A$925=A300)*OrderLines!$C$2:$C$925*OrderLines!$D$2:$D$925)*G300&gt;40,"HighDisc","OK")</f>
        <v>OK</v>
      </c>
    </row>
    <row r="301" spans="1:11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 s="11">
        <v>7.0000000000000007E-2</v>
      </c>
      <c r="H301" t="b">
        <f>(COUNTIFS(OrderLines!$A:$A,A301,OrderLines!$F:$F,"Beverage")&gt;0)</f>
        <v>0</v>
      </c>
      <c r="I301">
        <f>SUMIFS(OrderLines!$I:$I,OrderLines!$A:$A,A301)</f>
        <v>376.82670000000002</v>
      </c>
      <c r="J301" t="str">
        <f>IF(AND(COUNTIFS(OrderLines!$A$2:$A$925,A301,OrderLines!$F$2:$F$925,"Hot Meal")&gt;0,COUNTIFS(OrderLines!$A$2:$A$925,A301,OrderLines!$F$2:$F$925,"Beverage")&gt;0),"Combo","Single")</f>
        <v>Single</v>
      </c>
      <c r="K301" t="str">
        <f>IF(SUMPRODUCT((OrderLines!$A$2:$A$925=A301)*OrderLines!$C$2:$C$925*OrderLines!$D$2:$D$925)*G301&gt;40,"HighDisc","OK")</f>
        <v>OK</v>
      </c>
    </row>
    <row r="302" spans="1:11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 s="11">
        <v>7.0000000000000007E-2</v>
      </c>
      <c r="H302" t="b">
        <f>(COUNTIFS(OrderLines!$A:$A,A302,OrderLines!$F:$F,"Beverage")&gt;0)</f>
        <v>0</v>
      </c>
      <c r="I302">
        <f>SUMIFS(OrderLines!$I:$I,OrderLines!$A:$A,A302)</f>
        <v>349.06619999999998</v>
      </c>
      <c r="J302" t="str">
        <f>IF(AND(COUNTIFS(OrderLines!$A$2:$A$925,A302,OrderLines!$F$2:$F$925,"Hot Meal")&gt;0,COUNTIFS(OrderLines!$A$2:$A$925,A302,OrderLines!$F$2:$F$925,"Beverage")&gt;0),"Combo","Single")</f>
        <v>Single</v>
      </c>
      <c r="K302" t="str">
        <f>IF(SUMPRODUCT((OrderLines!$A$2:$A$925=A302)*OrderLines!$C$2:$C$925*OrderLines!$D$2:$D$925)*G302&gt;40,"HighDisc","OK")</f>
        <v>OK</v>
      </c>
    </row>
    <row r="303" spans="1:11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 s="11">
        <v>0.04</v>
      </c>
      <c r="H303" t="b">
        <f>(COUNTIFS(OrderLines!$A:$A,A303,OrderLines!$F:$F,"Beverage")&gt;0)</f>
        <v>1</v>
      </c>
      <c r="I303">
        <f>SUMIFS(OrderLines!$I:$I,OrderLines!$A:$A,A303)</f>
        <v>63.935999999999993</v>
      </c>
      <c r="J303" t="str">
        <f>IF(AND(COUNTIFS(OrderLines!$A$2:$A$925,A303,OrderLines!$F$2:$F$925,"Hot Meal")&gt;0,COUNTIFS(OrderLines!$A$2:$A$925,A303,OrderLines!$F$2:$F$925,"Beverage")&gt;0),"Combo","Single")</f>
        <v>Single</v>
      </c>
      <c r="K303" t="str">
        <f>IF(SUMPRODUCT((OrderLines!$A$2:$A$925=A303)*OrderLines!$C$2:$C$925*OrderLines!$D$2:$D$925)*G303&gt;40,"HighDisc","OK")</f>
        <v>OK</v>
      </c>
    </row>
    <row r="304" spans="1:11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 s="11">
        <v>0.04</v>
      </c>
      <c r="H304" t="b">
        <f>(COUNTIFS(OrderLines!$A:$A,A304,OrderLines!$F:$F,"Beverage")&gt;0)</f>
        <v>0</v>
      </c>
      <c r="I304">
        <f>SUMIFS(OrderLines!$I:$I,OrderLines!$A:$A,A304)</f>
        <v>149.7792</v>
      </c>
      <c r="J304" t="str">
        <f>IF(AND(COUNTIFS(OrderLines!$A$2:$A$925,A304,OrderLines!$F$2:$F$925,"Hot Meal")&gt;0,COUNTIFS(OrderLines!$A$2:$A$925,A304,OrderLines!$F$2:$F$925,"Beverage")&gt;0),"Combo","Single")</f>
        <v>Single</v>
      </c>
      <c r="K304" t="str">
        <f>IF(SUMPRODUCT((OrderLines!$A$2:$A$925=A304)*OrderLines!$C$2:$C$925*OrderLines!$D$2:$D$925)*G304&gt;40,"HighDisc","OK")</f>
        <v>OK</v>
      </c>
    </row>
    <row r="305" spans="1:11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 s="11">
        <v>7.0000000000000007E-2</v>
      </c>
      <c r="H305" t="b">
        <f>(COUNTIFS(OrderLines!$A:$A,A305,OrderLines!$F:$F,"Beverage")&gt;0)</f>
        <v>1</v>
      </c>
      <c r="I305">
        <f>SUMIFS(OrderLines!$I:$I,OrderLines!$A:$A,A305)</f>
        <v>30.671399999999995</v>
      </c>
      <c r="J305" t="str">
        <f>IF(AND(COUNTIFS(OrderLines!$A$2:$A$925,A305,OrderLines!$F$2:$F$925,"Hot Meal")&gt;0,COUNTIFS(OrderLines!$A$2:$A$925,A305,OrderLines!$F$2:$F$925,"Beverage")&gt;0),"Combo","Single")</f>
        <v>Single</v>
      </c>
      <c r="K305" t="str">
        <f>IF(SUMPRODUCT((OrderLines!$A$2:$A$925=A305)*OrderLines!$C$2:$C$925*OrderLines!$D$2:$D$925)*G305&gt;40,"HighDisc","OK")</f>
        <v>OK</v>
      </c>
    </row>
    <row r="306" spans="1:11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 s="11">
        <v>0</v>
      </c>
      <c r="H306" t="b">
        <f>(COUNTIFS(OrderLines!$A:$A,A306,OrderLines!$F:$F,"Beverage")&gt;0)</f>
        <v>0</v>
      </c>
      <c r="I306">
        <f>SUMIFS(OrderLines!$I:$I,OrderLines!$A:$A,A306)</f>
        <v>572.08000000000004</v>
      </c>
      <c r="J306" t="str">
        <f>IF(AND(COUNTIFS(OrderLines!$A$2:$A$925,A306,OrderLines!$F$2:$F$925,"Hot Meal")&gt;0,COUNTIFS(OrderLines!$A$2:$A$925,A306,OrderLines!$F$2:$F$925,"Beverage")&gt;0),"Combo","Single")</f>
        <v>Single</v>
      </c>
      <c r="K306" t="str">
        <f>IF(SUMPRODUCT((OrderLines!$A$2:$A$925=A306)*OrderLines!$C$2:$C$925*OrderLines!$D$2:$D$925)*G306&gt;40,"HighDisc","OK")</f>
        <v>OK</v>
      </c>
    </row>
    <row r="307" spans="1:11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 s="11">
        <v>0</v>
      </c>
      <c r="H307" t="b">
        <f>(COUNTIFS(OrderLines!$A:$A,A307,OrderLines!$F:$F,"Beverage")&gt;0)</f>
        <v>1</v>
      </c>
      <c r="I307">
        <f>SUMIFS(OrderLines!$I:$I,OrderLines!$A:$A,A307)</f>
        <v>680.33</v>
      </c>
      <c r="J307" t="str">
        <f>IF(AND(COUNTIFS(OrderLines!$A$2:$A$925,A307,OrderLines!$F$2:$F$925,"Hot Meal")&gt;0,COUNTIFS(OrderLines!$A$2:$A$925,A307,OrderLines!$F$2:$F$925,"Beverage")&gt;0),"Combo","Single")</f>
        <v>Combo</v>
      </c>
      <c r="K307" t="str">
        <f>IF(SUMPRODUCT((OrderLines!$A$2:$A$925=A307)*OrderLines!$C$2:$C$925*OrderLines!$D$2:$D$925)*G307&gt;40,"HighDisc","OK")</f>
        <v>OK</v>
      </c>
    </row>
    <row r="308" spans="1:11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 s="11">
        <v>0.03</v>
      </c>
      <c r="H308" t="b">
        <f>(COUNTIFS(OrderLines!$A:$A,A308,OrderLines!$F:$F,"Beverage")&gt;0)</f>
        <v>1</v>
      </c>
      <c r="I308">
        <f>SUMIFS(OrderLines!$I:$I,OrderLines!$A:$A,A308)</f>
        <v>414.88839999999999</v>
      </c>
      <c r="J308" t="str">
        <f>IF(AND(COUNTIFS(OrderLines!$A$2:$A$925,A308,OrderLines!$F$2:$F$925,"Hot Meal")&gt;0,COUNTIFS(OrderLines!$A$2:$A$925,A308,OrderLines!$F$2:$F$925,"Beverage")&gt;0),"Combo","Single")</f>
        <v>Combo</v>
      </c>
      <c r="K308" t="str">
        <f>IF(SUMPRODUCT((OrderLines!$A$2:$A$925=A308)*OrderLines!$C$2:$C$925*OrderLines!$D$2:$D$925)*G308&gt;40,"HighDisc","OK")</f>
        <v>OK</v>
      </c>
    </row>
    <row r="309" spans="1:11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 s="11">
        <v>0.05</v>
      </c>
      <c r="H309" t="b">
        <f>(COUNTIFS(OrderLines!$A:$A,A309,OrderLines!$F:$F,"Beverage")&gt;0)</f>
        <v>0</v>
      </c>
      <c r="I309">
        <f>SUMIFS(OrderLines!$I:$I,OrderLines!$A:$A,A309)</f>
        <v>977.06549999999993</v>
      </c>
      <c r="J309" t="str">
        <f>IF(AND(COUNTIFS(OrderLines!$A$2:$A$925,A309,OrderLines!$F$2:$F$925,"Hot Meal")&gt;0,COUNTIFS(OrderLines!$A$2:$A$925,A309,OrderLines!$F$2:$F$925,"Beverage")&gt;0),"Combo","Single")</f>
        <v>Single</v>
      </c>
      <c r="K309" t="str">
        <f>IF(SUMPRODUCT((OrderLines!$A$2:$A$925=A309)*OrderLines!$C$2:$C$925*OrderLines!$D$2:$D$925)*G309&gt;40,"HighDisc","OK")</f>
        <v>HighDisc</v>
      </c>
    </row>
    <row r="310" spans="1:11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 s="11">
        <v>7.0000000000000007E-2</v>
      </c>
      <c r="H310" t="b">
        <f>(COUNTIFS(OrderLines!$A:$A,A310,OrderLines!$F:$F,"Beverage")&gt;0)</f>
        <v>1</v>
      </c>
      <c r="I310">
        <f>SUMIFS(OrderLines!$I:$I,OrderLines!$A:$A,A310)</f>
        <v>101.46299999999999</v>
      </c>
      <c r="J310" t="str">
        <f>IF(AND(COUNTIFS(OrderLines!$A$2:$A$925,A310,OrderLines!$F$2:$F$925,"Hot Meal")&gt;0,COUNTIFS(OrderLines!$A$2:$A$925,A310,OrderLines!$F$2:$F$925,"Beverage")&gt;0),"Combo","Single")</f>
        <v>Single</v>
      </c>
      <c r="K310" t="str">
        <f>IF(SUMPRODUCT((OrderLines!$A$2:$A$925=A310)*OrderLines!$C$2:$C$925*OrderLines!$D$2:$D$925)*G310&gt;40,"HighDisc","OK")</f>
        <v>OK</v>
      </c>
    </row>
    <row r="311" spans="1:11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 s="11">
        <v>0.12</v>
      </c>
      <c r="H311" t="b">
        <f>(COUNTIFS(OrderLines!$A:$A,A311,OrderLines!$F:$F,"Beverage")&gt;0)</f>
        <v>1</v>
      </c>
      <c r="I311">
        <f>SUMIFS(OrderLines!$I:$I,OrderLines!$A:$A,A311)</f>
        <v>162.30719999999999</v>
      </c>
      <c r="J311" t="str">
        <f>IF(AND(COUNTIFS(OrderLines!$A$2:$A$925,A311,OrderLines!$F$2:$F$925,"Hot Meal")&gt;0,COUNTIFS(OrderLines!$A$2:$A$925,A311,OrderLines!$F$2:$F$925,"Beverage")&gt;0),"Combo","Single")</f>
        <v>Single</v>
      </c>
      <c r="K311" t="str">
        <f>IF(SUMPRODUCT((OrderLines!$A$2:$A$925=A311)*OrderLines!$C$2:$C$925*OrderLines!$D$2:$D$925)*G311&gt;40,"HighDisc","OK")</f>
        <v>OK</v>
      </c>
    </row>
    <row r="312" spans="1:11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 s="11">
        <v>0.09</v>
      </c>
      <c r="H312" t="b">
        <f>(COUNTIFS(OrderLines!$A:$A,A312,OrderLines!$F:$F,"Beverage")&gt;0)</f>
        <v>0</v>
      </c>
      <c r="I312">
        <f>SUMIFS(OrderLines!$I:$I,OrderLines!$A:$A,A312)</f>
        <v>314.87819999999999</v>
      </c>
      <c r="J312" t="str">
        <f>IF(AND(COUNTIFS(OrderLines!$A$2:$A$925,A312,OrderLines!$F$2:$F$925,"Hot Meal")&gt;0,COUNTIFS(OrderLines!$A$2:$A$925,A312,OrderLines!$F$2:$F$925,"Beverage")&gt;0),"Combo","Single")</f>
        <v>Single</v>
      </c>
      <c r="K312" t="str">
        <f>IF(SUMPRODUCT((OrderLines!$A$2:$A$925=A312)*OrderLines!$C$2:$C$925*OrderLines!$D$2:$D$925)*G312&gt;40,"HighDisc","OK")</f>
        <v>OK</v>
      </c>
    </row>
    <row r="313" spans="1:11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 s="11">
        <v>0.05</v>
      </c>
      <c r="H313" t="b">
        <f>(COUNTIFS(OrderLines!$A:$A,A313,OrderLines!$F:$F,"Beverage")&gt;0)</f>
        <v>0</v>
      </c>
      <c r="I313">
        <f>SUMIFS(OrderLines!$I:$I,OrderLines!$A:$A,A313)</f>
        <v>260.96500000000003</v>
      </c>
      <c r="J313" t="str">
        <f>IF(AND(COUNTIFS(OrderLines!$A$2:$A$925,A313,OrderLines!$F$2:$F$925,"Hot Meal")&gt;0,COUNTIFS(OrderLines!$A$2:$A$925,A313,OrderLines!$F$2:$F$925,"Beverage")&gt;0),"Combo","Single")</f>
        <v>Single</v>
      </c>
      <c r="K313" t="str">
        <f>IF(SUMPRODUCT((OrderLines!$A$2:$A$925=A313)*OrderLines!$C$2:$C$925*OrderLines!$D$2:$D$925)*G313&gt;40,"HighDisc","OK")</f>
        <v>OK</v>
      </c>
    </row>
    <row r="314" spans="1:11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 s="11">
        <v>0.06</v>
      </c>
      <c r="H314" t="b">
        <f>(COUNTIFS(OrderLines!$A:$A,A314,OrderLines!$F:$F,"Beverage")&gt;0)</f>
        <v>0</v>
      </c>
      <c r="I314">
        <f>SUMIFS(OrderLines!$I:$I,OrderLines!$A:$A,A314)</f>
        <v>50.948</v>
      </c>
      <c r="J314" t="str">
        <f>IF(AND(COUNTIFS(OrderLines!$A$2:$A$925,A314,OrderLines!$F$2:$F$925,"Hot Meal")&gt;0,COUNTIFS(OrderLines!$A$2:$A$925,A314,OrderLines!$F$2:$F$925,"Beverage")&gt;0),"Combo","Single")</f>
        <v>Single</v>
      </c>
      <c r="K314" t="str">
        <f>IF(SUMPRODUCT((OrderLines!$A$2:$A$925=A314)*OrderLines!$C$2:$C$925*OrderLines!$D$2:$D$925)*G314&gt;40,"HighDisc","OK")</f>
        <v>OK</v>
      </c>
    </row>
    <row r="315" spans="1:11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 s="11">
        <v>0.02</v>
      </c>
      <c r="H315" t="b">
        <f>(COUNTIFS(OrderLines!$A:$A,A315,OrderLines!$F:$F,"Beverage")&gt;0)</f>
        <v>1</v>
      </c>
      <c r="I315">
        <f>SUMIFS(OrderLines!$I:$I,OrderLines!$A:$A,A315)</f>
        <v>32.320399999999999</v>
      </c>
      <c r="J315" t="str">
        <f>IF(AND(COUNTIFS(OrderLines!$A$2:$A$925,A315,OrderLines!$F$2:$F$925,"Hot Meal")&gt;0,COUNTIFS(OrderLines!$A$2:$A$925,A315,OrderLines!$F$2:$F$925,"Beverage")&gt;0),"Combo","Single")</f>
        <v>Single</v>
      </c>
      <c r="K315" t="str">
        <f>IF(SUMPRODUCT((OrderLines!$A$2:$A$925=A315)*OrderLines!$C$2:$C$925*OrderLines!$D$2:$D$925)*G315&gt;40,"HighDisc","OK")</f>
        <v>OK</v>
      </c>
    </row>
    <row r="316" spans="1:11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 s="11">
        <v>0.06</v>
      </c>
      <c r="H316" t="b">
        <f>(COUNTIFS(OrderLines!$A:$A,A316,OrderLines!$F:$F,"Beverage")&gt;0)</f>
        <v>0</v>
      </c>
      <c r="I316">
        <f>SUMIFS(OrderLines!$I:$I,OrderLines!$A:$A,A316)</f>
        <v>325.66299999999995</v>
      </c>
      <c r="J316" t="str">
        <f>IF(AND(COUNTIFS(OrderLines!$A$2:$A$925,A316,OrderLines!$F$2:$F$925,"Hot Meal")&gt;0,COUNTIFS(OrderLines!$A$2:$A$925,A316,OrderLines!$F$2:$F$925,"Beverage")&gt;0),"Combo","Single")</f>
        <v>Single</v>
      </c>
      <c r="K316" t="str">
        <f>IF(SUMPRODUCT((OrderLines!$A$2:$A$925=A316)*OrderLines!$C$2:$C$925*OrderLines!$D$2:$D$925)*G316&gt;40,"HighDisc","OK")</f>
        <v>OK</v>
      </c>
    </row>
    <row r="317" spans="1:11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 s="11">
        <v>0.05</v>
      </c>
      <c r="H317" t="b">
        <f>(COUNTIFS(OrderLines!$A:$A,A317,OrderLines!$F:$F,"Beverage")&gt;0)</f>
        <v>1</v>
      </c>
      <c r="I317">
        <f>SUMIFS(OrderLines!$I:$I,OrderLines!$A:$A,A317)</f>
        <v>63.269999999999989</v>
      </c>
      <c r="J317" t="str">
        <f>IF(AND(COUNTIFS(OrderLines!$A$2:$A$925,A317,OrderLines!$F$2:$F$925,"Hot Meal")&gt;0,COUNTIFS(OrderLines!$A$2:$A$925,A317,OrderLines!$F$2:$F$925,"Beverage")&gt;0),"Combo","Single")</f>
        <v>Single</v>
      </c>
      <c r="K317" t="str">
        <f>IF(SUMPRODUCT((OrderLines!$A$2:$A$925=A317)*OrderLines!$C$2:$C$925*OrderLines!$D$2:$D$925)*G317&gt;40,"HighDisc","OK")</f>
        <v>OK</v>
      </c>
    </row>
    <row r="318" spans="1:11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 s="11">
        <v>7.0000000000000007E-2</v>
      </c>
      <c r="H318" t="b">
        <f>(COUNTIFS(OrderLines!$A:$A,A318,OrderLines!$F:$F,"Beverage")&gt;0)</f>
        <v>0</v>
      </c>
      <c r="I318">
        <f>SUMIFS(OrderLines!$I:$I,OrderLines!$A:$A,A318)</f>
        <v>233.709</v>
      </c>
      <c r="J318" t="str">
        <f>IF(AND(COUNTIFS(OrderLines!$A$2:$A$925,A318,OrderLines!$F$2:$F$925,"Hot Meal")&gt;0,COUNTIFS(OrderLines!$A$2:$A$925,A318,OrderLines!$F$2:$F$925,"Beverage")&gt;0),"Combo","Single")</f>
        <v>Single</v>
      </c>
      <c r="K318" t="str">
        <f>IF(SUMPRODUCT((OrderLines!$A$2:$A$925=A318)*OrderLines!$C$2:$C$925*OrderLines!$D$2:$D$925)*G318&gt;40,"HighDisc","OK")</f>
        <v>OK</v>
      </c>
    </row>
    <row r="319" spans="1:11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 s="11">
        <v>0.03</v>
      </c>
      <c r="H319" t="b">
        <f>(COUNTIFS(OrderLines!$A:$A,A319,OrderLines!$F:$F,"Beverage")&gt;0)</f>
        <v>1</v>
      </c>
      <c r="I319">
        <f>SUMIFS(OrderLines!$I:$I,OrderLines!$A:$A,A319)</f>
        <v>386.19579999999996</v>
      </c>
      <c r="J319" t="str">
        <f>IF(AND(COUNTIFS(OrderLines!$A$2:$A$925,A319,OrderLines!$F$2:$F$925,"Hot Meal")&gt;0,COUNTIFS(OrderLines!$A$2:$A$925,A319,OrderLines!$F$2:$F$925,"Beverage")&gt;0),"Combo","Single")</f>
        <v>Combo</v>
      </c>
      <c r="K319" t="str">
        <f>IF(SUMPRODUCT((OrderLines!$A$2:$A$925=A319)*OrderLines!$C$2:$C$925*OrderLines!$D$2:$D$925)*G319&gt;40,"HighDisc","OK")</f>
        <v>OK</v>
      </c>
    </row>
    <row r="320" spans="1:11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 s="11">
        <v>0.08</v>
      </c>
      <c r="H320" t="b">
        <f>(COUNTIFS(OrderLines!$A:$A,A320,OrderLines!$F:$F,"Beverage")&gt;0)</f>
        <v>1</v>
      </c>
      <c r="I320">
        <f>SUMIFS(OrderLines!$I:$I,OrderLines!$A:$A,A320)</f>
        <v>89.506799999999998</v>
      </c>
      <c r="J320" t="str">
        <f>IF(AND(COUNTIFS(OrderLines!$A$2:$A$925,A320,OrderLines!$F$2:$F$925,"Hot Meal")&gt;0,COUNTIFS(OrderLines!$A$2:$A$925,A320,OrderLines!$F$2:$F$925,"Beverage")&gt;0),"Combo","Single")</f>
        <v>Single</v>
      </c>
      <c r="K320" t="str">
        <f>IF(SUMPRODUCT((OrderLines!$A$2:$A$925=A320)*OrderLines!$C$2:$C$925*OrderLines!$D$2:$D$925)*G320&gt;40,"HighDisc","OK")</f>
        <v>OK</v>
      </c>
    </row>
    <row r="321" spans="1:11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 s="11">
        <v>0.12</v>
      </c>
      <c r="H321" t="b">
        <f>(COUNTIFS(OrderLines!$A:$A,A321,OrderLines!$F:$F,"Beverage")&gt;0)</f>
        <v>0</v>
      </c>
      <c r="I321">
        <f>SUMIFS(OrderLines!$I:$I,OrderLines!$A:$A,A321)</f>
        <v>300.66080000000005</v>
      </c>
      <c r="J321" t="str">
        <f>IF(AND(COUNTIFS(OrderLines!$A$2:$A$925,A321,OrderLines!$F$2:$F$925,"Hot Meal")&gt;0,COUNTIFS(OrderLines!$A$2:$A$925,A321,OrderLines!$F$2:$F$925,"Beverage")&gt;0),"Combo","Single")</f>
        <v>Single</v>
      </c>
      <c r="K321" t="str">
        <f>IF(SUMPRODUCT((OrderLines!$A$2:$A$925=A321)*OrderLines!$C$2:$C$925*OrderLines!$D$2:$D$925)*G321&gt;40,"HighDisc","OK")</f>
        <v>HighDisc</v>
      </c>
    </row>
    <row r="322" spans="1:11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 s="11">
        <v>0.06</v>
      </c>
      <c r="H322" t="b">
        <f>(COUNTIFS(OrderLines!$A:$A,A322,OrderLines!$F:$F,"Beverage")&gt;0)</f>
        <v>1</v>
      </c>
      <c r="I322">
        <f>SUMIFS(OrderLines!$I:$I,OrderLines!$A:$A,A322)</f>
        <v>592.32219999999995</v>
      </c>
      <c r="J322" t="str">
        <f>IF(AND(COUNTIFS(OrderLines!$A$2:$A$925,A322,OrderLines!$F$2:$F$925,"Hot Meal")&gt;0,COUNTIFS(OrderLines!$A$2:$A$925,A322,OrderLines!$F$2:$F$925,"Beverage")&gt;0),"Combo","Single")</f>
        <v>Combo</v>
      </c>
      <c r="K322" t="str">
        <f>IF(SUMPRODUCT((OrderLines!$A$2:$A$925=A322)*OrderLines!$C$2:$C$925*OrderLines!$D$2:$D$925)*G322&gt;40,"HighDisc","OK")</f>
        <v>OK</v>
      </c>
    </row>
    <row r="323" spans="1:11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 s="11">
        <v>0.08</v>
      </c>
      <c r="H323" t="b">
        <f>(COUNTIFS(OrderLines!$A:$A,A323,OrderLines!$F:$F,"Beverage")&gt;0)</f>
        <v>1</v>
      </c>
      <c r="I323">
        <f>SUMIFS(OrderLines!$I:$I,OrderLines!$A:$A,A323)</f>
        <v>668.0856</v>
      </c>
      <c r="J323" t="str">
        <f>IF(AND(COUNTIFS(OrderLines!$A$2:$A$925,A323,OrderLines!$F$2:$F$925,"Hot Meal")&gt;0,COUNTIFS(OrderLines!$A$2:$A$925,A323,OrderLines!$F$2:$F$925,"Beverage")&gt;0),"Combo","Single")</f>
        <v>Combo</v>
      </c>
      <c r="K323" t="str">
        <f>IF(SUMPRODUCT((OrderLines!$A$2:$A$925=A323)*OrderLines!$C$2:$C$925*OrderLines!$D$2:$D$925)*G323&gt;40,"HighDisc","OK")</f>
        <v>HighDisc</v>
      </c>
    </row>
    <row r="324" spans="1:11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 s="11">
        <v>0.09</v>
      </c>
      <c r="H324" t="b">
        <f>(COUNTIFS(OrderLines!$A:$A,A324,OrderLines!$F:$F,"Beverage")&gt;0)</f>
        <v>1</v>
      </c>
      <c r="I324">
        <f>SUMIFS(OrderLines!$I:$I,OrderLines!$A:$A,A324)</f>
        <v>158.03059999999999</v>
      </c>
      <c r="J324" t="str">
        <f>IF(AND(COUNTIFS(OrderLines!$A$2:$A$925,A324,OrderLines!$F$2:$F$925,"Hot Meal")&gt;0,COUNTIFS(OrderLines!$A$2:$A$925,A324,OrderLines!$F$2:$F$925,"Beverage")&gt;0),"Combo","Single")</f>
        <v>Single</v>
      </c>
      <c r="K324" t="str">
        <f>IF(SUMPRODUCT((OrderLines!$A$2:$A$925=A324)*OrderLines!$C$2:$C$925*OrderLines!$D$2:$D$925)*G324&gt;40,"HighDisc","OK")</f>
        <v>OK</v>
      </c>
    </row>
    <row r="325" spans="1:11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 s="11">
        <v>0.04</v>
      </c>
      <c r="H325" t="b">
        <f>(COUNTIFS(OrderLines!$A:$A,A325,OrderLines!$F:$F,"Beverage")&gt;0)</f>
        <v>0</v>
      </c>
      <c r="I325">
        <f>SUMIFS(OrderLines!$I:$I,OrderLines!$A:$A,A325)</f>
        <v>498.4896</v>
      </c>
      <c r="J325" t="str">
        <f>IF(AND(COUNTIFS(OrderLines!$A$2:$A$925,A325,OrderLines!$F$2:$F$925,"Hot Meal")&gt;0,COUNTIFS(OrderLines!$A$2:$A$925,A325,OrderLines!$F$2:$F$925,"Beverage")&gt;0),"Combo","Single")</f>
        <v>Single</v>
      </c>
      <c r="K325" t="str">
        <f>IF(SUMPRODUCT((OrderLines!$A$2:$A$925=A325)*OrderLines!$C$2:$C$925*OrderLines!$D$2:$D$925)*G325&gt;40,"HighDisc","OK")</f>
        <v>OK</v>
      </c>
    </row>
    <row r="326" spans="1:11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 s="11">
        <v>7.0000000000000007E-2</v>
      </c>
      <c r="H326" t="b">
        <f>(COUNTIFS(OrderLines!$A:$A,A326,OrderLines!$F:$F,"Beverage")&gt;0)</f>
        <v>0</v>
      </c>
      <c r="I326">
        <f>SUMIFS(OrderLines!$I:$I,OrderLines!$A:$A,A326)</f>
        <v>46.676699999999997</v>
      </c>
      <c r="J326" t="str">
        <f>IF(AND(COUNTIFS(OrderLines!$A$2:$A$925,A326,OrderLines!$F$2:$F$925,"Hot Meal")&gt;0,COUNTIFS(OrderLines!$A$2:$A$925,A326,OrderLines!$F$2:$F$925,"Beverage")&gt;0),"Combo","Single")</f>
        <v>Single</v>
      </c>
      <c r="K326" t="str">
        <f>IF(SUMPRODUCT((OrderLines!$A$2:$A$925=A326)*OrderLines!$C$2:$C$925*OrderLines!$D$2:$D$925)*G326&gt;40,"HighDisc","OK")</f>
        <v>OK</v>
      </c>
    </row>
    <row r="327" spans="1:11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 s="11">
        <v>0.06</v>
      </c>
      <c r="H327" t="b">
        <f>(COUNTIFS(OrderLines!$A:$A,A327,OrderLines!$F:$F,"Beverage")&gt;0)</f>
        <v>1</v>
      </c>
      <c r="I327">
        <f>SUMIFS(OrderLines!$I:$I,OrderLines!$A:$A,A327)</f>
        <v>18.903399999999998</v>
      </c>
      <c r="J327" t="str">
        <f>IF(AND(COUNTIFS(OrderLines!$A$2:$A$925,A327,OrderLines!$F$2:$F$925,"Hot Meal")&gt;0,COUNTIFS(OrderLines!$A$2:$A$925,A327,OrderLines!$F$2:$F$925,"Beverage")&gt;0),"Combo","Single")</f>
        <v>Single</v>
      </c>
      <c r="K327" t="str">
        <f>IF(SUMPRODUCT((OrderLines!$A$2:$A$925=A327)*OrderLines!$C$2:$C$925*OrderLines!$D$2:$D$925)*G327&gt;40,"HighDisc","OK")</f>
        <v>OK</v>
      </c>
    </row>
    <row r="328" spans="1:11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 s="11">
        <v>0.06</v>
      </c>
      <c r="H328" t="b">
        <f>(COUNTIFS(OrderLines!$A:$A,A328,OrderLines!$F:$F,"Beverage")&gt;0)</f>
        <v>1</v>
      </c>
      <c r="I328">
        <f>SUMIFS(OrderLines!$I:$I,OrderLines!$A:$A,A328)</f>
        <v>109.67920000000001</v>
      </c>
      <c r="J328" t="str">
        <f>IF(AND(COUNTIFS(OrderLines!$A$2:$A$925,A328,OrderLines!$F$2:$F$925,"Hot Meal")&gt;0,COUNTIFS(OrderLines!$A$2:$A$925,A328,OrderLines!$F$2:$F$925,"Beverage")&gt;0),"Combo","Single")</f>
        <v>Single</v>
      </c>
      <c r="K328" t="str">
        <f>IF(SUMPRODUCT((OrderLines!$A$2:$A$925=A328)*OrderLines!$C$2:$C$925*OrderLines!$D$2:$D$925)*G328&gt;40,"HighDisc","OK")</f>
        <v>OK</v>
      </c>
    </row>
    <row r="329" spans="1:11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 s="11">
        <v>0.03</v>
      </c>
      <c r="H329" t="b">
        <f>(COUNTIFS(OrderLines!$A:$A,A329,OrderLines!$F:$F,"Beverage")&gt;0)</f>
        <v>0</v>
      </c>
      <c r="I329">
        <f>SUMIFS(OrderLines!$I:$I,OrderLines!$A:$A,A329)</f>
        <v>284.01600000000002</v>
      </c>
      <c r="J329" t="str">
        <f>IF(AND(COUNTIFS(OrderLines!$A$2:$A$925,A329,OrderLines!$F$2:$F$925,"Hot Meal")&gt;0,COUNTIFS(OrderLines!$A$2:$A$925,A329,OrderLines!$F$2:$F$925,"Beverage")&gt;0),"Combo","Single")</f>
        <v>Single</v>
      </c>
      <c r="K329" t="str">
        <f>IF(SUMPRODUCT((OrderLines!$A$2:$A$925=A329)*OrderLines!$C$2:$C$925*OrderLines!$D$2:$D$925)*G329&gt;40,"HighDisc","OK")</f>
        <v>OK</v>
      </c>
    </row>
    <row r="330" spans="1:11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 s="11">
        <v>0.06</v>
      </c>
      <c r="H330" t="b">
        <f>(COUNTIFS(OrderLines!$A:$A,A330,OrderLines!$F:$F,"Beverage")&gt;0)</f>
        <v>0</v>
      </c>
      <c r="I330">
        <f>SUMIFS(OrderLines!$I:$I,OrderLines!$A:$A,A330)</f>
        <v>513.09899999999993</v>
      </c>
      <c r="J330" t="str">
        <f>IF(AND(COUNTIFS(OrderLines!$A$2:$A$925,A330,OrderLines!$F$2:$F$925,"Hot Meal")&gt;0,COUNTIFS(OrderLines!$A$2:$A$925,A330,OrderLines!$F$2:$F$925,"Beverage")&gt;0),"Combo","Single")</f>
        <v>Single</v>
      </c>
      <c r="K330" t="str">
        <f>IF(SUMPRODUCT((OrderLines!$A$2:$A$925=A330)*OrderLines!$C$2:$C$925*OrderLines!$D$2:$D$925)*G330&gt;40,"HighDisc","OK")</f>
        <v>OK</v>
      </c>
    </row>
    <row r="331" spans="1:11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 s="11">
        <v>0.08</v>
      </c>
      <c r="H331" t="b">
        <f>(COUNTIFS(OrderLines!$A:$A,A331,OrderLines!$F:$F,"Beverage")&gt;0)</f>
        <v>1</v>
      </c>
      <c r="I331">
        <f>SUMIFS(OrderLines!$I:$I,OrderLines!$A:$A,A331)</f>
        <v>666.88040000000012</v>
      </c>
      <c r="J331" t="str">
        <f>IF(AND(COUNTIFS(OrderLines!$A$2:$A$925,A331,OrderLines!$F$2:$F$925,"Hot Meal")&gt;0,COUNTIFS(OrderLines!$A$2:$A$925,A331,OrderLines!$F$2:$F$925,"Beverage")&gt;0),"Combo","Single")</f>
        <v>Combo</v>
      </c>
      <c r="K331" t="str">
        <f>IF(SUMPRODUCT((OrderLines!$A$2:$A$925=A331)*OrderLines!$C$2:$C$925*OrderLines!$D$2:$D$925)*G331&gt;40,"HighDisc","OK")</f>
        <v>HighDisc</v>
      </c>
    </row>
    <row r="332" spans="1:11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 s="11">
        <v>0.12</v>
      </c>
      <c r="H332" t="b">
        <f>(COUNTIFS(OrderLines!$A:$A,A332,OrderLines!$F:$F,"Beverage")&gt;0)</f>
        <v>0</v>
      </c>
      <c r="I332">
        <f>SUMIFS(OrderLines!$I:$I,OrderLines!$A:$A,A332)</f>
        <v>404.07840000000004</v>
      </c>
      <c r="J332" t="str">
        <f>IF(AND(COUNTIFS(OrderLines!$A$2:$A$925,A332,OrderLines!$F$2:$F$925,"Hot Meal")&gt;0,COUNTIFS(OrderLines!$A$2:$A$925,A332,OrderLines!$F$2:$F$925,"Beverage")&gt;0),"Combo","Single")</f>
        <v>Single</v>
      </c>
      <c r="K332" t="str">
        <f>IF(SUMPRODUCT((OrderLines!$A$2:$A$925=A332)*OrderLines!$C$2:$C$925*OrderLines!$D$2:$D$925)*G332&gt;40,"HighDisc","OK")</f>
        <v>HighDisc</v>
      </c>
    </row>
    <row r="333" spans="1:11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 s="11">
        <v>0.1</v>
      </c>
      <c r="H333" t="b">
        <f>(COUNTIFS(OrderLines!$A:$A,A333,OrderLines!$F:$F,"Beverage")&gt;0)</f>
        <v>1</v>
      </c>
      <c r="I333">
        <f>SUMIFS(OrderLines!$I:$I,OrderLines!$A:$A,A333)</f>
        <v>197.39699999999999</v>
      </c>
      <c r="J333" t="str">
        <f>IF(AND(COUNTIFS(OrderLines!$A$2:$A$925,A333,OrderLines!$F$2:$F$925,"Hot Meal")&gt;0,COUNTIFS(OrderLines!$A$2:$A$925,A333,OrderLines!$F$2:$F$925,"Beverage")&gt;0),"Combo","Single")</f>
        <v>Single</v>
      </c>
      <c r="K333" t="str">
        <f>IF(SUMPRODUCT((OrderLines!$A$2:$A$925=A333)*OrderLines!$C$2:$C$925*OrderLines!$D$2:$D$925)*G333&gt;40,"HighDisc","OK")</f>
        <v>OK</v>
      </c>
    </row>
    <row r="334" spans="1:11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 s="11">
        <v>0.15</v>
      </c>
      <c r="H334" t="b">
        <f>(COUNTIFS(OrderLines!$A:$A,A334,OrderLines!$F:$F,"Beverage")&gt;0)</f>
        <v>1</v>
      </c>
      <c r="I334">
        <f>SUMIFS(OrderLines!$I:$I,OrderLines!$A:$A,A334)</f>
        <v>147.2285</v>
      </c>
      <c r="J334" t="str">
        <f>IF(AND(COUNTIFS(OrderLines!$A$2:$A$925,A334,OrderLines!$F$2:$F$925,"Hot Meal")&gt;0,COUNTIFS(OrderLines!$A$2:$A$925,A334,OrderLines!$F$2:$F$925,"Beverage")&gt;0),"Combo","Single")</f>
        <v>Single</v>
      </c>
      <c r="K334" t="str">
        <f>IF(SUMPRODUCT((OrderLines!$A$2:$A$925=A334)*OrderLines!$C$2:$C$925*OrderLines!$D$2:$D$925)*G334&gt;40,"HighDisc","OK")</f>
        <v>OK</v>
      </c>
    </row>
    <row r="335" spans="1:11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 s="11">
        <v>0.03</v>
      </c>
      <c r="H335" t="b">
        <f>(COUNTIFS(OrderLines!$A:$A,A335,OrderLines!$F:$F,"Beverage")&gt;0)</f>
        <v>1</v>
      </c>
      <c r="I335">
        <f>SUMIFS(OrderLines!$I:$I,OrderLines!$A:$A,A335)</f>
        <v>655.48719999999992</v>
      </c>
      <c r="J335" t="str">
        <f>IF(AND(COUNTIFS(OrderLines!$A$2:$A$925,A335,OrderLines!$F$2:$F$925,"Hot Meal")&gt;0,COUNTIFS(OrderLines!$A$2:$A$925,A335,OrderLines!$F$2:$F$925,"Beverage")&gt;0),"Combo","Single")</f>
        <v>Combo</v>
      </c>
      <c r="K335" t="str">
        <f>IF(SUMPRODUCT((OrderLines!$A$2:$A$925=A335)*OrderLines!$C$2:$C$925*OrderLines!$D$2:$D$925)*G335&gt;40,"HighDisc","OK")</f>
        <v>OK</v>
      </c>
    </row>
    <row r="336" spans="1:11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 s="11">
        <v>0.09</v>
      </c>
      <c r="H336" t="b">
        <f>(COUNTIFS(OrderLines!$A:$A,A336,OrderLines!$F:$F,"Beverage")&gt;0)</f>
        <v>0</v>
      </c>
      <c r="I336">
        <f>SUMIFS(OrderLines!$I:$I,OrderLines!$A:$A,A336)</f>
        <v>656.71060000000011</v>
      </c>
      <c r="J336" t="str">
        <f>IF(AND(COUNTIFS(OrderLines!$A$2:$A$925,A336,OrderLines!$F$2:$F$925,"Hot Meal")&gt;0,COUNTIFS(OrderLines!$A$2:$A$925,A336,OrderLines!$F$2:$F$925,"Beverage")&gt;0),"Combo","Single")</f>
        <v>Single</v>
      </c>
      <c r="K336" t="str">
        <f>IF(SUMPRODUCT((OrderLines!$A$2:$A$925=A336)*OrderLines!$C$2:$C$925*OrderLines!$D$2:$D$925)*G336&gt;40,"HighDisc","OK")</f>
        <v>HighDisc</v>
      </c>
    </row>
    <row r="337" spans="1:11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 s="11">
        <v>7.0000000000000007E-2</v>
      </c>
      <c r="H337" t="b">
        <f>(COUNTIFS(OrderLines!$A:$A,A337,OrderLines!$F:$F,"Beverage")&gt;0)</f>
        <v>0</v>
      </c>
      <c r="I337">
        <f>SUMIFS(OrderLines!$I:$I,OrderLines!$A:$A,A337)</f>
        <v>199.50360000000001</v>
      </c>
      <c r="J337" t="str">
        <f>IF(AND(COUNTIFS(OrderLines!$A$2:$A$925,A337,OrderLines!$F$2:$F$925,"Hot Meal")&gt;0,COUNTIFS(OrderLines!$A$2:$A$925,A337,OrderLines!$F$2:$F$925,"Beverage")&gt;0),"Combo","Single")</f>
        <v>Single</v>
      </c>
      <c r="K337" t="str">
        <f>IF(SUMPRODUCT((OrderLines!$A$2:$A$925=A337)*OrderLines!$C$2:$C$925*OrderLines!$D$2:$D$925)*G337&gt;40,"HighDisc","OK")</f>
        <v>OK</v>
      </c>
    </row>
    <row r="338" spans="1:11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 s="11">
        <v>0.15</v>
      </c>
      <c r="H338" t="b">
        <f>(COUNTIFS(OrderLines!$A:$A,A338,OrderLines!$F:$F,"Beverage")&gt;0)</f>
        <v>0</v>
      </c>
      <c r="I338">
        <f>SUMIFS(OrderLines!$I:$I,OrderLines!$A:$A,A338)</f>
        <v>124.44</v>
      </c>
      <c r="J338" t="str">
        <f>IF(AND(COUNTIFS(OrderLines!$A$2:$A$925,A338,OrderLines!$F$2:$F$925,"Hot Meal")&gt;0,COUNTIFS(OrderLines!$A$2:$A$925,A338,OrderLines!$F$2:$F$925,"Beverage")&gt;0),"Combo","Single")</f>
        <v>Single</v>
      </c>
      <c r="K338" t="str">
        <f>IF(SUMPRODUCT((OrderLines!$A$2:$A$925=A338)*OrderLines!$C$2:$C$925*OrderLines!$D$2:$D$925)*G338&gt;40,"HighDisc","OK")</f>
        <v>OK</v>
      </c>
    </row>
    <row r="339" spans="1:11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 s="11">
        <v>0.03</v>
      </c>
      <c r="H339" t="b">
        <f>(COUNTIFS(OrderLines!$A:$A,A339,OrderLines!$F:$F,"Beverage")&gt;0)</f>
        <v>1</v>
      </c>
      <c r="I339">
        <f>SUMIFS(OrderLines!$I:$I,OrderLines!$A:$A,A339)</f>
        <v>152.9787</v>
      </c>
      <c r="J339" t="str">
        <f>IF(AND(COUNTIFS(OrderLines!$A$2:$A$925,A339,OrderLines!$F$2:$F$925,"Hot Meal")&gt;0,COUNTIFS(OrderLines!$A$2:$A$925,A339,OrderLines!$F$2:$F$925,"Beverage")&gt;0),"Combo","Single")</f>
        <v>Single</v>
      </c>
      <c r="K339" t="str">
        <f>IF(SUMPRODUCT((OrderLines!$A$2:$A$925=A339)*OrderLines!$C$2:$C$925*OrderLines!$D$2:$D$925)*G339&gt;40,"HighDisc","OK")</f>
        <v>OK</v>
      </c>
    </row>
    <row r="340" spans="1:11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 s="11">
        <v>0.03</v>
      </c>
      <c r="H340" t="b">
        <f>(COUNTIFS(OrderLines!$A:$A,A340,OrderLines!$F:$F,"Beverage")&gt;0)</f>
        <v>0</v>
      </c>
      <c r="I340">
        <f>SUMIFS(OrderLines!$I:$I,OrderLines!$A:$A,A340)</f>
        <v>392.66570000000002</v>
      </c>
      <c r="J340" t="str">
        <f>IF(AND(COUNTIFS(OrderLines!$A$2:$A$925,A340,OrderLines!$F$2:$F$925,"Hot Meal")&gt;0,COUNTIFS(OrderLines!$A$2:$A$925,A340,OrderLines!$F$2:$F$925,"Beverage")&gt;0),"Combo","Single")</f>
        <v>Single</v>
      </c>
      <c r="K340" t="str">
        <f>IF(SUMPRODUCT((OrderLines!$A$2:$A$925=A340)*OrderLines!$C$2:$C$925*OrderLines!$D$2:$D$925)*G340&gt;40,"HighDisc","OK")</f>
        <v>OK</v>
      </c>
    </row>
    <row r="341" spans="1:11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 s="11">
        <v>0.04</v>
      </c>
      <c r="H341" t="b">
        <f>(COUNTIFS(OrderLines!$A:$A,A341,OrderLines!$F:$F,"Beverage")&gt;0)</f>
        <v>1</v>
      </c>
      <c r="I341">
        <f>SUMIFS(OrderLines!$I:$I,OrderLines!$A:$A,A341)</f>
        <v>263.87520000000001</v>
      </c>
      <c r="J341" t="str">
        <f>IF(AND(COUNTIFS(OrderLines!$A$2:$A$925,A341,OrderLines!$F$2:$F$925,"Hot Meal")&gt;0,COUNTIFS(OrderLines!$A$2:$A$925,A341,OrderLines!$F$2:$F$925,"Beverage")&gt;0),"Combo","Single")</f>
        <v>Single</v>
      </c>
      <c r="K341" t="str">
        <f>IF(SUMPRODUCT((OrderLines!$A$2:$A$925=A341)*OrderLines!$C$2:$C$925*OrderLines!$D$2:$D$925)*G341&gt;40,"HighDisc","OK")</f>
        <v>OK</v>
      </c>
    </row>
    <row r="342" spans="1:11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 s="11">
        <v>0</v>
      </c>
      <c r="H342" t="b">
        <f>(COUNTIFS(OrderLines!$A:$A,A342,OrderLines!$F:$F,"Beverage")&gt;0)</f>
        <v>0</v>
      </c>
      <c r="I342">
        <f>SUMIFS(OrderLines!$I:$I,OrderLines!$A:$A,A342)</f>
        <v>416</v>
      </c>
      <c r="J342" t="str">
        <f>IF(AND(COUNTIFS(OrderLines!$A$2:$A$925,A342,OrderLines!$F$2:$F$925,"Hot Meal")&gt;0,COUNTIFS(OrderLines!$A$2:$A$925,A342,OrderLines!$F$2:$F$925,"Beverage")&gt;0),"Combo","Single")</f>
        <v>Single</v>
      </c>
      <c r="K342" t="str">
        <f>IF(SUMPRODUCT((OrderLines!$A$2:$A$925=A342)*OrderLines!$C$2:$C$925*OrderLines!$D$2:$D$925)*G342&gt;40,"HighDisc","OK")</f>
        <v>OK</v>
      </c>
    </row>
    <row r="343" spans="1:11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 s="11">
        <v>0.04</v>
      </c>
      <c r="H343" t="b">
        <f>(COUNTIFS(OrderLines!$A:$A,A343,OrderLines!$F:$F,"Beverage")&gt;0)</f>
        <v>1</v>
      </c>
      <c r="I343">
        <f>SUMIFS(OrderLines!$I:$I,OrderLines!$A:$A,A343)</f>
        <v>104.9376</v>
      </c>
      <c r="J343" t="str">
        <f>IF(AND(COUNTIFS(OrderLines!$A$2:$A$925,A343,OrderLines!$F$2:$F$925,"Hot Meal")&gt;0,COUNTIFS(OrderLines!$A$2:$A$925,A343,OrderLines!$F$2:$F$925,"Beverage")&gt;0),"Combo","Single")</f>
        <v>Single</v>
      </c>
      <c r="K343" t="str">
        <f>IF(SUMPRODUCT((OrderLines!$A$2:$A$925=A343)*OrderLines!$C$2:$C$925*OrderLines!$D$2:$D$925)*G343&gt;40,"HighDisc","OK")</f>
        <v>OK</v>
      </c>
    </row>
    <row r="344" spans="1:11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 s="11">
        <v>0.03</v>
      </c>
      <c r="H344" t="b">
        <f>(COUNTIFS(OrderLines!$A:$A,A344,OrderLines!$F:$F,"Beverage")&gt;0)</f>
        <v>0</v>
      </c>
      <c r="I344">
        <f>SUMIFS(OrderLines!$I:$I,OrderLines!$A:$A,A344)</f>
        <v>105.148</v>
      </c>
      <c r="J344" t="str">
        <f>IF(AND(COUNTIFS(OrderLines!$A$2:$A$925,A344,OrderLines!$F$2:$F$925,"Hot Meal")&gt;0,COUNTIFS(OrderLines!$A$2:$A$925,A344,OrderLines!$F$2:$F$925,"Beverage")&gt;0),"Combo","Single")</f>
        <v>Single</v>
      </c>
      <c r="K344" t="str">
        <f>IF(SUMPRODUCT((OrderLines!$A$2:$A$925=A344)*OrderLines!$C$2:$C$925*OrderLines!$D$2:$D$925)*G344&gt;40,"HighDisc","OK")</f>
        <v>OK</v>
      </c>
    </row>
    <row r="345" spans="1:11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 s="11">
        <v>7.0000000000000007E-2</v>
      </c>
      <c r="H345" t="b">
        <f>(COUNTIFS(OrderLines!$A:$A,A345,OrderLines!$F:$F,"Beverage")&gt;0)</f>
        <v>0</v>
      </c>
      <c r="I345">
        <f>SUMIFS(OrderLines!$I:$I,OrderLines!$A:$A,A345)</f>
        <v>214.55099999999999</v>
      </c>
      <c r="J345" t="str">
        <f>IF(AND(COUNTIFS(OrderLines!$A$2:$A$925,A345,OrderLines!$F$2:$F$925,"Hot Meal")&gt;0,COUNTIFS(OrderLines!$A$2:$A$925,A345,OrderLines!$F$2:$F$925,"Beverage")&gt;0),"Combo","Single")</f>
        <v>Single</v>
      </c>
      <c r="K345" t="str">
        <f>IF(SUMPRODUCT((OrderLines!$A$2:$A$925=A345)*OrderLines!$C$2:$C$925*OrderLines!$D$2:$D$925)*G345&gt;40,"HighDisc","OK")</f>
        <v>OK</v>
      </c>
    </row>
    <row r="346" spans="1:11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 s="11">
        <v>7.0000000000000007E-2</v>
      </c>
      <c r="H346" t="b">
        <f>(COUNTIFS(OrderLines!$A:$A,A346,OrderLines!$F:$F,"Beverage")&gt;0)</f>
        <v>1</v>
      </c>
      <c r="I346">
        <f>SUMIFS(OrderLines!$I:$I,OrderLines!$A:$A,A346)</f>
        <v>595.21860000000004</v>
      </c>
      <c r="J346" t="str">
        <f>IF(AND(COUNTIFS(OrderLines!$A$2:$A$925,A346,OrderLines!$F$2:$F$925,"Hot Meal")&gt;0,COUNTIFS(OrderLines!$A$2:$A$925,A346,OrderLines!$F$2:$F$925,"Beverage")&gt;0),"Combo","Single")</f>
        <v>Combo</v>
      </c>
      <c r="K346" t="str">
        <f>IF(SUMPRODUCT((OrderLines!$A$2:$A$925=A346)*OrderLines!$C$2:$C$925*OrderLines!$D$2:$D$925)*G346&gt;40,"HighDisc","OK")</f>
        <v>HighDisc</v>
      </c>
    </row>
    <row r="347" spans="1:11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 s="11">
        <v>0.14000000000000001</v>
      </c>
      <c r="H347" t="b">
        <f>(COUNTIFS(OrderLines!$A:$A,A347,OrderLines!$F:$F,"Beverage")&gt;0)</f>
        <v>1</v>
      </c>
      <c r="I347">
        <f>SUMIFS(OrderLines!$I:$I,OrderLines!$A:$A,A347)</f>
        <v>66.194199999999995</v>
      </c>
      <c r="J347" t="str">
        <f>IF(AND(COUNTIFS(OrderLines!$A$2:$A$925,A347,OrderLines!$F$2:$F$925,"Hot Meal")&gt;0,COUNTIFS(OrderLines!$A$2:$A$925,A347,OrderLines!$F$2:$F$925,"Beverage")&gt;0),"Combo","Single")</f>
        <v>Single</v>
      </c>
      <c r="K347" t="str">
        <f>IF(SUMPRODUCT((OrderLines!$A$2:$A$925=A347)*OrderLines!$C$2:$C$925*OrderLines!$D$2:$D$925)*G347&gt;40,"HighDisc","OK")</f>
        <v>OK</v>
      </c>
    </row>
    <row r="348" spans="1:11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 s="11">
        <v>0.1</v>
      </c>
      <c r="H348" t="b">
        <f>(COUNTIFS(OrderLines!$A:$A,A348,OrderLines!$F:$F,"Beverage")&gt;0)</f>
        <v>0</v>
      </c>
      <c r="I348">
        <f>SUMIFS(OrderLines!$I:$I,OrderLines!$A:$A,A348)</f>
        <v>494.73900000000003</v>
      </c>
      <c r="J348" t="str">
        <f>IF(AND(COUNTIFS(OrderLines!$A$2:$A$925,A348,OrderLines!$F$2:$F$925,"Hot Meal")&gt;0,COUNTIFS(OrderLines!$A$2:$A$925,A348,OrderLines!$F$2:$F$925,"Beverage")&gt;0),"Combo","Single")</f>
        <v>Single</v>
      </c>
      <c r="K348" t="str">
        <f>IF(SUMPRODUCT((OrderLines!$A$2:$A$925=A348)*OrderLines!$C$2:$C$925*OrderLines!$D$2:$D$925)*G348&gt;40,"HighDisc","OK")</f>
        <v>HighDisc</v>
      </c>
    </row>
    <row r="349" spans="1:11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 s="11">
        <v>0.04</v>
      </c>
      <c r="H349" t="b">
        <f>(COUNTIFS(OrderLines!$A:$A,A349,OrderLines!$F:$F,"Beverage")&gt;0)</f>
        <v>0</v>
      </c>
      <c r="I349">
        <f>SUMIFS(OrderLines!$I:$I,OrderLines!$A:$A,A349)</f>
        <v>1245.1872000000001</v>
      </c>
      <c r="J349" t="str">
        <f>IF(AND(COUNTIFS(OrderLines!$A$2:$A$925,A349,OrderLines!$F$2:$F$925,"Hot Meal")&gt;0,COUNTIFS(OrderLines!$A$2:$A$925,A349,OrderLines!$F$2:$F$925,"Beverage")&gt;0),"Combo","Single")</f>
        <v>Single</v>
      </c>
      <c r="K349" t="str">
        <f>IF(SUMPRODUCT((OrderLines!$A$2:$A$925=A349)*OrderLines!$C$2:$C$925*OrderLines!$D$2:$D$925)*G349&gt;40,"HighDisc","OK")</f>
        <v>HighDisc</v>
      </c>
    </row>
    <row r="350" spans="1:11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 s="11">
        <v>0.02</v>
      </c>
      <c r="H350" t="b">
        <f>(COUNTIFS(OrderLines!$A:$A,A350,OrderLines!$F:$F,"Beverage")&gt;0)</f>
        <v>0</v>
      </c>
      <c r="I350">
        <f>SUMIFS(OrderLines!$I:$I,OrderLines!$A:$A,A350)</f>
        <v>915.51600000000008</v>
      </c>
      <c r="J350" t="str">
        <f>IF(AND(COUNTIFS(OrderLines!$A$2:$A$925,A350,OrderLines!$F$2:$F$925,"Hot Meal")&gt;0,COUNTIFS(OrderLines!$A$2:$A$925,A350,OrderLines!$F$2:$F$925,"Beverage")&gt;0),"Combo","Single")</f>
        <v>Single</v>
      </c>
      <c r="K350" t="str">
        <f>IF(SUMPRODUCT((OrderLines!$A$2:$A$925=A350)*OrderLines!$C$2:$C$925*OrderLines!$D$2:$D$925)*G350&gt;40,"HighDisc","OK")</f>
        <v>OK</v>
      </c>
    </row>
    <row r="351" spans="1:11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 s="11">
        <v>0.08</v>
      </c>
      <c r="H351" t="b">
        <f>(COUNTIFS(OrderLines!$A:$A,A351,OrderLines!$F:$F,"Beverage")&gt;0)</f>
        <v>1</v>
      </c>
      <c r="I351">
        <f>SUMIFS(OrderLines!$I:$I,OrderLines!$A:$A,A351)</f>
        <v>356.21480000000003</v>
      </c>
      <c r="J351" t="str">
        <f>IF(AND(COUNTIFS(OrderLines!$A$2:$A$925,A351,OrderLines!$F$2:$F$925,"Hot Meal")&gt;0,COUNTIFS(OrderLines!$A$2:$A$925,A351,OrderLines!$F$2:$F$925,"Beverage")&gt;0),"Combo","Single")</f>
        <v>Combo</v>
      </c>
      <c r="K351" t="str">
        <f>IF(SUMPRODUCT((OrderLines!$A$2:$A$925=A351)*OrderLines!$C$2:$C$925*OrderLines!$D$2:$D$925)*G351&gt;40,"HighDisc","OK")</f>
        <v>OK</v>
      </c>
    </row>
    <row r="352" spans="1:11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 s="11">
        <v>0.01</v>
      </c>
      <c r="H352" t="b">
        <f>(COUNTIFS(OrderLines!$A:$A,A352,OrderLines!$F:$F,"Beverage")&gt;0)</f>
        <v>1</v>
      </c>
      <c r="I352">
        <f>SUMIFS(OrderLines!$I:$I,OrderLines!$A:$A,A352)</f>
        <v>60.0732</v>
      </c>
      <c r="J352" t="str">
        <f>IF(AND(COUNTIFS(OrderLines!$A$2:$A$925,A352,OrderLines!$F$2:$F$925,"Hot Meal")&gt;0,COUNTIFS(OrderLines!$A$2:$A$925,A352,OrderLines!$F$2:$F$925,"Beverage")&gt;0),"Combo","Single")</f>
        <v>Single</v>
      </c>
      <c r="K352" t="str">
        <f>IF(SUMPRODUCT((OrderLines!$A$2:$A$925=A352)*OrderLines!$C$2:$C$925*OrderLines!$D$2:$D$925)*G352&gt;40,"HighDisc","OK")</f>
        <v>OK</v>
      </c>
    </row>
    <row r="353" spans="1:11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 s="11">
        <v>0.13</v>
      </c>
      <c r="H353" t="b">
        <f>(COUNTIFS(OrderLines!$A:$A,A353,OrderLines!$F:$F,"Beverage")&gt;0)</f>
        <v>1</v>
      </c>
      <c r="I353">
        <f>SUMIFS(OrderLines!$I:$I,OrderLines!$A:$A,A353)</f>
        <v>204.4239</v>
      </c>
      <c r="J353" t="str">
        <f>IF(AND(COUNTIFS(OrderLines!$A$2:$A$925,A353,OrderLines!$F$2:$F$925,"Hot Meal")&gt;0,COUNTIFS(OrderLines!$A$2:$A$925,A353,OrderLines!$F$2:$F$925,"Beverage")&gt;0),"Combo","Single")</f>
        <v>Single</v>
      </c>
      <c r="K353" t="str">
        <f>IF(SUMPRODUCT((OrderLines!$A$2:$A$925=A353)*OrderLines!$C$2:$C$925*OrderLines!$D$2:$D$925)*G353&gt;40,"HighDisc","OK")</f>
        <v>OK</v>
      </c>
    </row>
    <row r="354" spans="1:11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 s="11">
        <v>0.11</v>
      </c>
      <c r="H354" t="b">
        <f>(COUNTIFS(OrderLines!$A:$A,A354,OrderLines!$F:$F,"Beverage")&gt;0)</f>
        <v>0</v>
      </c>
      <c r="I354">
        <f>SUMIFS(OrderLines!$I:$I,OrderLines!$A:$A,A354)</f>
        <v>204.38849999999999</v>
      </c>
      <c r="J354" t="str">
        <f>IF(AND(COUNTIFS(OrderLines!$A$2:$A$925,A354,OrderLines!$F$2:$F$925,"Hot Meal")&gt;0,COUNTIFS(OrderLines!$A$2:$A$925,A354,OrderLines!$F$2:$F$925,"Beverage")&gt;0),"Combo","Single")</f>
        <v>Single</v>
      </c>
      <c r="K354" t="str">
        <f>IF(SUMPRODUCT((OrderLines!$A$2:$A$925=A354)*OrderLines!$C$2:$C$925*OrderLines!$D$2:$D$925)*G354&gt;40,"HighDisc","OK")</f>
        <v>OK</v>
      </c>
    </row>
    <row r="355" spans="1:11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 s="11">
        <v>0.04</v>
      </c>
      <c r="H355" t="b">
        <f>(COUNTIFS(OrderLines!$A:$A,A355,OrderLines!$F:$F,"Beverage")&gt;0)</f>
        <v>0</v>
      </c>
      <c r="I355">
        <f>SUMIFS(OrderLines!$I:$I,OrderLines!$A:$A,A355)</f>
        <v>183.5136</v>
      </c>
      <c r="J355" t="str">
        <f>IF(AND(COUNTIFS(OrderLines!$A$2:$A$925,A355,OrderLines!$F$2:$F$925,"Hot Meal")&gt;0,COUNTIFS(OrderLines!$A$2:$A$925,A355,OrderLines!$F$2:$F$925,"Beverage")&gt;0),"Combo","Single")</f>
        <v>Single</v>
      </c>
      <c r="K355" t="str">
        <f>IF(SUMPRODUCT((OrderLines!$A$2:$A$925=A355)*OrderLines!$C$2:$C$925*OrderLines!$D$2:$D$925)*G355&gt;40,"HighDisc","OK")</f>
        <v>OK</v>
      </c>
    </row>
    <row r="356" spans="1:11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 s="11">
        <v>0</v>
      </c>
      <c r="H356" t="b">
        <f>(COUNTIFS(OrderLines!$A:$A,A356,OrderLines!$F:$F,"Beverage")&gt;0)</f>
        <v>1</v>
      </c>
      <c r="I356">
        <f>SUMIFS(OrderLines!$I:$I,OrderLines!$A:$A,A356)</f>
        <v>87.41</v>
      </c>
      <c r="J356" t="str">
        <f>IF(AND(COUNTIFS(OrderLines!$A$2:$A$925,A356,OrderLines!$F$2:$F$925,"Hot Meal")&gt;0,COUNTIFS(OrderLines!$A$2:$A$925,A356,OrderLines!$F$2:$F$925,"Beverage")&gt;0),"Combo","Single")</f>
        <v>Single</v>
      </c>
      <c r="K356" t="str">
        <f>IF(SUMPRODUCT((OrderLines!$A$2:$A$925=A356)*OrderLines!$C$2:$C$925*OrderLines!$D$2:$D$925)*G356&gt;40,"HighDisc","OK")</f>
        <v>OK</v>
      </c>
    </row>
    <row r="357" spans="1:11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 s="11">
        <v>0.11</v>
      </c>
      <c r="H357" t="b">
        <f>(COUNTIFS(OrderLines!$A:$A,A357,OrderLines!$F:$F,"Beverage")&gt;0)</f>
        <v>1</v>
      </c>
      <c r="I357">
        <f>SUMIFS(OrderLines!$I:$I,OrderLines!$A:$A,A357)</f>
        <v>700.52790000000005</v>
      </c>
      <c r="J357" t="str">
        <f>IF(AND(COUNTIFS(OrderLines!$A$2:$A$925,A357,OrderLines!$F$2:$F$925,"Hot Meal")&gt;0,COUNTIFS(OrderLines!$A$2:$A$925,A357,OrderLines!$F$2:$F$925,"Beverage")&gt;0),"Combo","Single")</f>
        <v>Combo</v>
      </c>
      <c r="K357" t="str">
        <f>IF(SUMPRODUCT((OrderLines!$A$2:$A$925=A357)*OrderLines!$C$2:$C$925*OrderLines!$D$2:$D$925)*G357&gt;40,"HighDisc","OK")</f>
        <v>HighDisc</v>
      </c>
    </row>
    <row r="358" spans="1:11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 s="11">
        <v>0.06</v>
      </c>
      <c r="H358" t="b">
        <f>(COUNTIFS(OrderLines!$A:$A,A358,OrderLines!$F:$F,"Beverage")&gt;0)</f>
        <v>1</v>
      </c>
      <c r="I358">
        <f>SUMIFS(OrderLines!$I:$I,OrderLines!$A:$A,A358)</f>
        <v>93.417199999999994</v>
      </c>
      <c r="J358" t="str">
        <f>IF(AND(COUNTIFS(OrderLines!$A$2:$A$925,A358,OrderLines!$F$2:$F$925,"Hot Meal")&gt;0,COUNTIFS(OrderLines!$A$2:$A$925,A358,OrderLines!$F$2:$F$925,"Beverage")&gt;0),"Combo","Single")</f>
        <v>Single</v>
      </c>
      <c r="K358" t="str">
        <f>IF(SUMPRODUCT((OrderLines!$A$2:$A$925=A358)*OrderLines!$C$2:$C$925*OrderLines!$D$2:$D$925)*G358&gt;40,"HighDisc","OK")</f>
        <v>OK</v>
      </c>
    </row>
    <row r="359" spans="1:11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 s="11">
        <v>0.11</v>
      </c>
      <c r="H359" t="b">
        <f>(COUNTIFS(OrderLines!$A:$A,A359,OrderLines!$F:$F,"Beverage")&gt;0)</f>
        <v>1</v>
      </c>
      <c r="I359">
        <f>SUMIFS(OrderLines!$I:$I,OrderLines!$A:$A,A359)</f>
        <v>89.783200000000008</v>
      </c>
      <c r="J359" t="str">
        <f>IF(AND(COUNTIFS(OrderLines!$A$2:$A$925,A359,OrderLines!$F$2:$F$925,"Hot Meal")&gt;0,COUNTIFS(OrderLines!$A$2:$A$925,A359,OrderLines!$F$2:$F$925,"Beverage")&gt;0),"Combo","Single")</f>
        <v>Single</v>
      </c>
      <c r="K359" t="str">
        <f>IF(SUMPRODUCT((OrderLines!$A$2:$A$925=A359)*OrderLines!$C$2:$C$925*OrderLines!$D$2:$D$925)*G359&gt;40,"HighDisc","OK")</f>
        <v>OK</v>
      </c>
    </row>
    <row r="360" spans="1:11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 s="11">
        <v>0</v>
      </c>
      <c r="H360" t="b">
        <f>(COUNTIFS(OrderLines!$A:$A,A360,OrderLines!$F:$F,"Beverage")&gt;0)</f>
        <v>0</v>
      </c>
      <c r="I360">
        <f>SUMIFS(OrderLines!$I:$I,OrderLines!$A:$A,A360)</f>
        <v>455.22</v>
      </c>
      <c r="J360" t="str">
        <f>IF(AND(COUNTIFS(OrderLines!$A$2:$A$925,A360,OrderLines!$F$2:$F$925,"Hot Meal")&gt;0,COUNTIFS(OrderLines!$A$2:$A$925,A360,OrderLines!$F$2:$F$925,"Beverage")&gt;0),"Combo","Single")</f>
        <v>Single</v>
      </c>
      <c r="K360" t="str">
        <f>IF(SUMPRODUCT((OrderLines!$A$2:$A$925=A360)*OrderLines!$C$2:$C$925*OrderLines!$D$2:$D$925)*G360&gt;40,"HighDisc","OK")</f>
        <v>OK</v>
      </c>
    </row>
    <row r="361" spans="1:11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 s="11">
        <v>0.04</v>
      </c>
      <c r="H361" t="b">
        <f>(COUNTIFS(OrderLines!$A:$A,A361,OrderLines!$F:$F,"Beverage")&gt;0)</f>
        <v>1</v>
      </c>
      <c r="I361">
        <f>SUMIFS(OrderLines!$I:$I,OrderLines!$A:$A,A361)</f>
        <v>962.15039999999999</v>
      </c>
      <c r="J361" t="str">
        <f>IF(AND(COUNTIFS(OrderLines!$A$2:$A$925,A361,OrderLines!$F$2:$F$925,"Hot Meal")&gt;0,COUNTIFS(OrderLines!$A$2:$A$925,A361,OrderLines!$F$2:$F$925,"Beverage")&gt;0),"Combo","Single")</f>
        <v>Combo</v>
      </c>
      <c r="K361" t="str">
        <f>IF(SUMPRODUCT((OrderLines!$A$2:$A$925=A361)*OrderLines!$C$2:$C$925*OrderLines!$D$2:$D$925)*G361&gt;40,"HighDisc","OK")</f>
        <v>HighDisc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L925"/>
  <sheetViews>
    <sheetView workbookViewId="0">
      <selection activeCell="L2" sqref="L2"/>
    </sheetView>
  </sheetViews>
  <sheetFormatPr defaultRowHeight="14.4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  <col min="9" max="9" width="16.6640625" bestFit="1" customWidth="1"/>
    <col min="10" max="10" width="8.77734375" bestFit="1" customWidth="1"/>
    <col min="11" max="11" width="14.88671875" bestFit="1" customWidth="1"/>
  </cols>
  <sheetData>
    <row r="1" spans="1:12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  <c r="I1" s="4" t="s">
        <v>523</v>
      </c>
      <c r="J1" s="4" t="s">
        <v>5</v>
      </c>
      <c r="K1" s="4" t="s">
        <v>4</v>
      </c>
      <c r="L1" s="4" t="s">
        <v>563</v>
      </c>
    </row>
    <row r="2" spans="1:12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  <c r="I2">
        <f>C2*D2*(1-VLOOKUP(A2,Orders!$A:$G,7,0))</f>
        <v>147.90900000000002</v>
      </c>
      <c r="J2" t="str">
        <f>VLOOKUP(A2,Orders!$A:$G,6,0)</f>
        <v>Breakfast</v>
      </c>
      <c r="K2" t="str">
        <f>VLOOKUP(A2,Orders!$A:$G,5,0)</f>
        <v>UPI</v>
      </c>
      <c r="L2">
        <f t="shared" ref="L2:L65" si="0">C2*E2</f>
        <v>77.400000000000006</v>
      </c>
    </row>
    <row r="3" spans="1:12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  <c r="I3">
        <f>C3*D3*(1-VLOOKUP(A3,Orders!$A:$G,7,0))</f>
        <v>28.822999999999997</v>
      </c>
      <c r="J3" t="str">
        <f>VLOOKUP(A3,Orders!$A:$G,6,0)</f>
        <v>Dinner</v>
      </c>
      <c r="K3" t="str">
        <f>VLOOKUP(A3,Orders!$A:$G,5,0)</f>
        <v>Cash</v>
      </c>
      <c r="L3">
        <f t="shared" si="0"/>
        <v>14.18</v>
      </c>
    </row>
    <row r="4" spans="1:12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  <c r="I4">
        <f>C4*D4*(1-VLOOKUP(A4,Orders!$A:$G,7,0))</f>
        <v>72.722499999999997</v>
      </c>
      <c r="J4" t="str">
        <f>VLOOKUP(A4,Orders!$A:$G,6,0)</f>
        <v>Dinner</v>
      </c>
      <c r="K4" t="str">
        <f>VLOOKUP(A4,Orders!$A:$G,5,0)</f>
        <v>Cash</v>
      </c>
      <c r="L4">
        <f t="shared" si="0"/>
        <v>38.229999999999997</v>
      </c>
    </row>
    <row r="5" spans="1:12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  <c r="I5">
        <f>C5*D5*(1-VLOOKUP(A5,Orders!$A:$G,7,0))</f>
        <v>65.959999999999994</v>
      </c>
      <c r="J5" t="str">
        <f>VLOOKUP(A5,Orders!$A:$G,6,0)</f>
        <v>Lunch</v>
      </c>
      <c r="K5" t="str">
        <f>VLOOKUP(A5,Orders!$A:$G,5,0)</f>
        <v>Card</v>
      </c>
      <c r="L5">
        <f t="shared" si="0"/>
        <v>23.68</v>
      </c>
    </row>
    <row r="6" spans="1:12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  <c r="I6">
        <f>C6*D6*(1-VLOOKUP(A6,Orders!$A:$G,7,0))</f>
        <v>52.45</v>
      </c>
      <c r="J6" t="str">
        <f>VLOOKUP(A6,Orders!$A:$G,6,0)</f>
        <v>Lunch</v>
      </c>
      <c r="K6" t="str">
        <f>VLOOKUP(A6,Orders!$A:$G,5,0)</f>
        <v>Card</v>
      </c>
      <c r="L6">
        <f t="shared" si="0"/>
        <v>25.8</v>
      </c>
    </row>
    <row r="7" spans="1:12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  <c r="I7">
        <f>C7*D7*(1-VLOOKUP(A7,Orders!$A:$G,7,0))</f>
        <v>512.49</v>
      </c>
      <c r="J7" t="str">
        <f>VLOOKUP(A7,Orders!$A:$G,6,0)</f>
        <v>Lunch</v>
      </c>
      <c r="K7" t="str">
        <f>VLOOKUP(A7,Orders!$A:$G,5,0)</f>
        <v>Card</v>
      </c>
      <c r="L7">
        <f t="shared" si="0"/>
        <v>222.20999999999998</v>
      </c>
    </row>
    <row r="8" spans="1:12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  <c r="I8">
        <f>C8*D8*(1-VLOOKUP(A8,Orders!$A:$G,7,0))</f>
        <v>38.06</v>
      </c>
      <c r="J8" t="str">
        <f>VLOOKUP(A8,Orders!$A:$G,6,0)</f>
        <v>Lunch</v>
      </c>
      <c r="K8" t="str">
        <f>VLOOKUP(A8,Orders!$A:$G,5,0)</f>
        <v>Card</v>
      </c>
      <c r="L8">
        <f t="shared" si="0"/>
        <v>19.55</v>
      </c>
    </row>
    <row r="9" spans="1:12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  <c r="I9">
        <f>C9*D9*(1-VLOOKUP(A9,Orders!$A:$G,7,0))</f>
        <v>477.41460000000001</v>
      </c>
      <c r="J9" t="str">
        <f>VLOOKUP(A9,Orders!$A:$G,6,0)</f>
        <v>Breakfast</v>
      </c>
      <c r="K9" t="str">
        <f>VLOOKUP(A9,Orders!$A:$G,5,0)</f>
        <v>Cash</v>
      </c>
      <c r="L9">
        <f t="shared" si="0"/>
        <v>224.16</v>
      </c>
    </row>
    <row r="10" spans="1:12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  <c r="I10">
        <f>C10*D10*(1-VLOOKUP(A10,Orders!$A:$G,7,0))</f>
        <v>67.718400000000003</v>
      </c>
      <c r="J10" t="str">
        <f>VLOOKUP(A10,Orders!$A:$G,6,0)</f>
        <v>Breakfast</v>
      </c>
      <c r="K10" t="str">
        <f>VLOOKUP(A10,Orders!$A:$G,5,0)</f>
        <v>Card</v>
      </c>
      <c r="L10">
        <f t="shared" si="0"/>
        <v>35.81</v>
      </c>
    </row>
    <row r="11" spans="1:12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  <c r="I11">
        <f>C11*D11*(1-VLOOKUP(A11,Orders!$A:$G,7,0))</f>
        <v>27.2928</v>
      </c>
      <c r="J11" t="str">
        <f>VLOOKUP(A11,Orders!$A:$G,6,0)</f>
        <v>Breakfast</v>
      </c>
      <c r="K11" t="str">
        <f>VLOOKUP(A11,Orders!$A:$G,5,0)</f>
        <v>Card</v>
      </c>
      <c r="L11">
        <f t="shared" si="0"/>
        <v>13.89</v>
      </c>
    </row>
    <row r="12" spans="1:12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  <c r="I12">
        <f>C12*D12*(1-VLOOKUP(A12,Orders!$A:$G,7,0))</f>
        <v>54.296999999999997</v>
      </c>
      <c r="J12" t="str">
        <f>VLOOKUP(A12,Orders!$A:$G,6,0)</f>
        <v>Breakfast</v>
      </c>
      <c r="K12" t="str">
        <f>VLOOKUP(A12,Orders!$A:$G,5,0)</f>
        <v>UPI</v>
      </c>
      <c r="L12">
        <f t="shared" si="0"/>
        <v>24</v>
      </c>
    </row>
    <row r="13" spans="1:12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  <c r="I13">
        <f>C13*D13*(1-VLOOKUP(A13,Orders!$A:$G,7,0))</f>
        <v>30.671399999999995</v>
      </c>
      <c r="J13" t="str">
        <f>VLOOKUP(A13,Orders!$A:$G,6,0)</f>
        <v>Dinner</v>
      </c>
      <c r="K13" t="str">
        <f>VLOOKUP(A13,Orders!$A:$G,5,0)</f>
        <v>Card</v>
      </c>
      <c r="L13">
        <f t="shared" si="0"/>
        <v>11.84</v>
      </c>
    </row>
    <row r="14" spans="1:12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  <c r="I14">
        <f>C14*D14*(1-VLOOKUP(A14,Orders!$A:$G,7,0))</f>
        <v>317.74380000000002</v>
      </c>
      <c r="J14" t="str">
        <f>VLOOKUP(A14,Orders!$A:$G,6,0)</f>
        <v>Dinner</v>
      </c>
      <c r="K14" t="str">
        <f>VLOOKUP(A14,Orders!$A:$G,5,0)</f>
        <v>Card</v>
      </c>
      <c r="L14">
        <f t="shared" si="0"/>
        <v>148.13999999999999</v>
      </c>
    </row>
    <row r="15" spans="1:12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  <c r="I15">
        <f>C15*D15*(1-VLOOKUP(A15,Orders!$A:$G,7,0))</f>
        <v>22.2</v>
      </c>
      <c r="J15" t="str">
        <f>VLOOKUP(A15,Orders!$A:$G,6,0)</f>
        <v>Lunch</v>
      </c>
      <c r="K15" t="str">
        <f>VLOOKUP(A15,Orders!$A:$G,5,0)</f>
        <v>UPI</v>
      </c>
      <c r="L15">
        <f t="shared" si="0"/>
        <v>9.3800000000000008</v>
      </c>
    </row>
    <row r="16" spans="1:12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  <c r="I16">
        <f>C16*D16*(1-VLOOKUP(A16,Orders!$A:$G,7,0))</f>
        <v>171.21</v>
      </c>
      <c r="J16" t="str">
        <f>VLOOKUP(A16,Orders!$A:$G,6,0)</f>
        <v>Lunch</v>
      </c>
      <c r="K16" t="str">
        <f>VLOOKUP(A16,Orders!$A:$G,5,0)</f>
        <v>UPI</v>
      </c>
      <c r="L16">
        <f t="shared" si="0"/>
        <v>87.42</v>
      </c>
    </row>
    <row r="17" spans="1:12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  <c r="I17">
        <f>C17*D17*(1-VLOOKUP(A17,Orders!$A:$G,7,0))</f>
        <v>30.34</v>
      </c>
      <c r="J17" t="str">
        <f>VLOOKUP(A17,Orders!$A:$G,6,0)</f>
        <v>Lunch</v>
      </c>
      <c r="K17" t="str">
        <f>VLOOKUP(A17,Orders!$A:$G,5,0)</f>
        <v>UPI</v>
      </c>
      <c r="L17">
        <f t="shared" si="0"/>
        <v>14.18</v>
      </c>
    </row>
    <row r="18" spans="1:12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  <c r="I18">
        <f>C18*D18*(1-VLOOKUP(A18,Orders!$A:$G,7,0))</f>
        <v>317.74380000000002</v>
      </c>
      <c r="J18" t="str">
        <f>VLOOKUP(A18,Orders!$A:$G,6,0)</f>
        <v>Breakfast</v>
      </c>
      <c r="K18" t="str">
        <f>VLOOKUP(A18,Orders!$A:$G,5,0)</f>
        <v>Cash</v>
      </c>
      <c r="L18">
        <f t="shared" si="0"/>
        <v>148.13999999999999</v>
      </c>
    </row>
    <row r="19" spans="1:12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  <c r="I19">
        <f>C19*D19*(1-VLOOKUP(A19,Orders!$A:$G,7,0))</f>
        <v>106.1502</v>
      </c>
      <c r="J19" t="str">
        <f>VLOOKUP(A19,Orders!$A:$G,6,0)</f>
        <v>Breakfast</v>
      </c>
      <c r="K19" t="str">
        <f>VLOOKUP(A19,Orders!$A:$G,5,0)</f>
        <v>Cash</v>
      </c>
      <c r="L19">
        <f t="shared" si="0"/>
        <v>58.28</v>
      </c>
    </row>
    <row r="20" spans="1:12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  <c r="I20">
        <f>C20*D20*(1-VLOOKUP(A20,Orders!$A:$G,7,0))</f>
        <v>35.395800000000001</v>
      </c>
      <c r="J20" t="str">
        <f>VLOOKUP(A20,Orders!$A:$G,6,0)</f>
        <v>Breakfast</v>
      </c>
      <c r="K20" t="str">
        <f>VLOOKUP(A20,Orders!$A:$G,5,0)</f>
        <v>Cash</v>
      </c>
      <c r="L20">
        <f t="shared" si="0"/>
        <v>19.55</v>
      </c>
    </row>
    <row r="21" spans="1:12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  <c r="I21">
        <f>C21*D21*(1-VLOOKUP(A21,Orders!$A:$G,7,0))</f>
        <v>42.623999999999995</v>
      </c>
      <c r="J21" t="str">
        <f>VLOOKUP(A21,Orders!$A:$G,6,0)</f>
        <v>Breakfast</v>
      </c>
      <c r="K21" t="str">
        <f>VLOOKUP(A21,Orders!$A:$G,5,0)</f>
        <v>Card</v>
      </c>
      <c r="L21">
        <f t="shared" si="0"/>
        <v>18.760000000000002</v>
      </c>
    </row>
    <row r="22" spans="1:12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  <c r="I22">
        <f>C22*D22*(1-VLOOKUP(A22,Orders!$A:$G,7,0))</f>
        <v>236.24639999999999</v>
      </c>
      <c r="J22" t="str">
        <f>VLOOKUP(A22,Orders!$A:$G,6,0)</f>
        <v>Breakfast</v>
      </c>
      <c r="K22" t="str">
        <f>VLOOKUP(A22,Orders!$A:$G,5,0)</f>
        <v>Card</v>
      </c>
      <c r="L22">
        <f t="shared" si="0"/>
        <v>112.08</v>
      </c>
    </row>
    <row r="23" spans="1:12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  <c r="I23">
        <f>C23*D23*(1-VLOOKUP(A23,Orders!$A:$G,7,0))</f>
        <v>67.718400000000003</v>
      </c>
      <c r="J23" t="str">
        <f>VLOOKUP(A23,Orders!$A:$G,6,0)</f>
        <v>Breakfast</v>
      </c>
      <c r="K23" t="str">
        <f>VLOOKUP(A23,Orders!$A:$G,5,0)</f>
        <v>Card</v>
      </c>
      <c r="L23">
        <f t="shared" si="0"/>
        <v>35.81</v>
      </c>
    </row>
    <row r="24" spans="1:12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  <c r="I24">
        <f>C24*D24*(1-VLOOKUP(A24,Orders!$A:$G,7,0))</f>
        <v>73.488</v>
      </c>
      <c r="J24" t="str">
        <f>VLOOKUP(A24,Orders!$A:$G,6,0)</f>
        <v>Breakfast</v>
      </c>
      <c r="K24" t="str">
        <f>VLOOKUP(A24,Orders!$A:$G,5,0)</f>
        <v>Card</v>
      </c>
      <c r="L24">
        <f t="shared" si="0"/>
        <v>38.229999999999997</v>
      </c>
    </row>
    <row r="25" spans="1:12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  <c r="I25">
        <f>C25*D25*(1-VLOOKUP(A25,Orders!$A:$G,7,0))</f>
        <v>27.577099999999998</v>
      </c>
      <c r="J25" t="str">
        <f>VLOOKUP(A25,Orders!$A:$G,6,0)</f>
        <v>Breakfast</v>
      </c>
      <c r="K25" t="str">
        <f>VLOOKUP(A25,Orders!$A:$G,5,0)</f>
        <v>Cash</v>
      </c>
      <c r="L25">
        <f t="shared" si="0"/>
        <v>13.89</v>
      </c>
    </row>
    <row r="26" spans="1:12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  <c r="I26">
        <f>C26*D26*(1-VLOOKUP(A26,Orders!$A:$G,7,0))</f>
        <v>49.864000000000004</v>
      </c>
      <c r="J26" t="str">
        <f>VLOOKUP(A26,Orders!$A:$G,6,0)</f>
        <v>Lunch</v>
      </c>
      <c r="K26" t="str">
        <f>VLOOKUP(A26,Orders!$A:$G,5,0)</f>
        <v>Card</v>
      </c>
      <c r="L26">
        <f t="shared" si="0"/>
        <v>21.95</v>
      </c>
    </row>
    <row r="27" spans="1:12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  <c r="I27">
        <f>C27*D27*(1-VLOOKUP(A27,Orders!$A:$G,7,0))</f>
        <v>48.254000000000005</v>
      </c>
      <c r="J27" t="str">
        <f>VLOOKUP(A27,Orders!$A:$G,6,0)</f>
        <v>Lunch</v>
      </c>
      <c r="K27" t="str">
        <f>VLOOKUP(A27,Orders!$A:$G,5,0)</f>
        <v>Card</v>
      </c>
      <c r="L27">
        <f t="shared" si="0"/>
        <v>25.8</v>
      </c>
    </row>
    <row r="28" spans="1:12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  <c r="I28">
        <f>C28*D28*(1-VLOOKUP(A28,Orders!$A:$G,7,0))</f>
        <v>206.68499999999997</v>
      </c>
      <c r="J28" t="str">
        <f>VLOOKUP(A28,Orders!$A:$G,6,0)</f>
        <v>Breakfast</v>
      </c>
      <c r="K28" t="str">
        <f>VLOOKUP(A28,Orders!$A:$G,5,0)</f>
        <v>UPI</v>
      </c>
      <c r="L28">
        <f t="shared" si="0"/>
        <v>114.69</v>
      </c>
    </row>
    <row r="29" spans="1:12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  <c r="I29">
        <f>C29*D29*(1-VLOOKUP(A29,Orders!$A:$G,7,0))</f>
        <v>54.612000000000002</v>
      </c>
      <c r="J29" t="str">
        <f>VLOOKUP(A29,Orders!$A:$G,6,0)</f>
        <v>Breakfast</v>
      </c>
      <c r="K29" t="str">
        <f>VLOOKUP(A29,Orders!$A:$G,5,0)</f>
        <v>UPI</v>
      </c>
      <c r="L29">
        <f t="shared" si="0"/>
        <v>28.36</v>
      </c>
    </row>
    <row r="30" spans="1:12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  <c r="I30">
        <f>C30*D30*(1-VLOOKUP(A30,Orders!$A:$G,7,0))</f>
        <v>315.36</v>
      </c>
      <c r="J30" t="str">
        <f>VLOOKUP(A30,Orders!$A:$G,6,0)</f>
        <v>Breakfast</v>
      </c>
      <c r="K30" t="str">
        <f>VLOOKUP(A30,Orders!$A:$G,5,0)</f>
        <v>UPI</v>
      </c>
      <c r="L30">
        <f t="shared" si="0"/>
        <v>146.91</v>
      </c>
    </row>
    <row r="31" spans="1:12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  <c r="I31">
        <f>C31*D31*(1-VLOOKUP(A31,Orders!$A:$G,7,0))</f>
        <v>231.21900000000002</v>
      </c>
      <c r="J31" t="str">
        <f>VLOOKUP(A31,Orders!$A:$G,6,0)</f>
        <v>Breakfast</v>
      </c>
      <c r="K31" t="str">
        <f>VLOOKUP(A31,Orders!$A:$G,5,0)</f>
        <v>UPI</v>
      </c>
      <c r="L31">
        <f t="shared" si="0"/>
        <v>121.24</v>
      </c>
    </row>
    <row r="32" spans="1:12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  <c r="I32">
        <f>C32*D32*(1-VLOOKUP(A32,Orders!$A:$G,7,0))</f>
        <v>25.587</v>
      </c>
      <c r="J32" t="str">
        <f>VLOOKUP(A32,Orders!$A:$G,6,0)</f>
        <v>Breakfast</v>
      </c>
      <c r="K32" t="str">
        <f>VLOOKUP(A32,Orders!$A:$G,5,0)</f>
        <v>Cash</v>
      </c>
      <c r="L32">
        <f t="shared" si="0"/>
        <v>13.89</v>
      </c>
    </row>
    <row r="33" spans="1:12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  <c r="I33">
        <f>C33*D33*(1-VLOOKUP(A33,Orders!$A:$G,7,0))</f>
        <v>137.79</v>
      </c>
      <c r="J33" t="str">
        <f>VLOOKUP(A33,Orders!$A:$G,6,0)</f>
        <v>Breakfast</v>
      </c>
      <c r="K33" t="str">
        <f>VLOOKUP(A33,Orders!$A:$G,5,0)</f>
        <v>Cash</v>
      </c>
      <c r="L33">
        <f t="shared" si="0"/>
        <v>76.459999999999994</v>
      </c>
    </row>
    <row r="34" spans="1:12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  <c r="I34">
        <f>C34*D34*(1-VLOOKUP(A34,Orders!$A:$G,7,0))</f>
        <v>18.099</v>
      </c>
      <c r="J34" t="str">
        <f>VLOOKUP(A34,Orders!$A:$G,6,0)</f>
        <v>Breakfast</v>
      </c>
      <c r="K34" t="str">
        <f>VLOOKUP(A34,Orders!$A:$G,5,0)</f>
        <v>Cash</v>
      </c>
      <c r="L34">
        <f t="shared" si="0"/>
        <v>8</v>
      </c>
    </row>
    <row r="35" spans="1:12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  <c r="I35">
        <f>C35*D35*(1-VLOOKUP(A35,Orders!$A:$G,7,0))</f>
        <v>165.70510000000002</v>
      </c>
      <c r="J35" t="str">
        <f>VLOOKUP(A35,Orders!$A:$G,6,0)</f>
        <v>Lunch</v>
      </c>
      <c r="K35" t="str">
        <f>VLOOKUP(A35,Orders!$A:$G,5,0)</f>
        <v>Cash</v>
      </c>
      <c r="L35">
        <f t="shared" si="0"/>
        <v>74.069999999999993</v>
      </c>
    </row>
    <row r="36" spans="1:12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  <c r="I36">
        <f>C36*D36*(1-VLOOKUP(A36,Orders!$A:$G,7,0))</f>
        <v>95.971800000000002</v>
      </c>
      <c r="J36" t="str">
        <f>VLOOKUP(A36,Orders!$A:$G,6,0)</f>
        <v>Lunch</v>
      </c>
      <c r="K36" t="str">
        <f>VLOOKUP(A36,Orders!$A:$G,5,0)</f>
        <v>Cash</v>
      </c>
      <c r="L36">
        <f t="shared" si="0"/>
        <v>35.519999999999996</v>
      </c>
    </row>
    <row r="37" spans="1:12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  <c r="I37">
        <f>C37*D37*(1-VLOOKUP(A37,Orders!$A:$G,7,0))</f>
        <v>148.50699999999998</v>
      </c>
      <c r="J37" t="str">
        <f>VLOOKUP(A37,Orders!$A:$G,6,0)</f>
        <v>Lunch</v>
      </c>
      <c r="K37" t="str">
        <f>VLOOKUP(A37,Orders!$A:$G,5,0)</f>
        <v>Cash</v>
      </c>
      <c r="L37">
        <f t="shared" si="0"/>
        <v>76.459999999999994</v>
      </c>
    </row>
    <row r="38" spans="1:12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  <c r="I38">
        <f>C38*D38*(1-VLOOKUP(A38,Orders!$A:$G,7,0))</f>
        <v>54.216499999999996</v>
      </c>
      <c r="J38" t="str">
        <f>VLOOKUP(A38,Orders!$A:$G,6,0)</f>
        <v>Dinner</v>
      </c>
      <c r="K38" t="str">
        <f>VLOOKUP(A38,Orders!$A:$G,5,0)</f>
        <v>Card</v>
      </c>
      <c r="L38">
        <f t="shared" si="0"/>
        <v>29.14</v>
      </c>
    </row>
    <row r="39" spans="1:12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  <c r="I39">
        <f>C39*D39*(1-VLOOKUP(A39,Orders!$A:$G,7,0))</f>
        <v>67.013000000000005</v>
      </c>
      <c r="J39" t="str">
        <f>VLOOKUP(A39,Orders!$A:$G,6,0)</f>
        <v>Dinner</v>
      </c>
      <c r="K39" t="str">
        <f>VLOOKUP(A39,Orders!$A:$G,5,0)</f>
        <v>Card</v>
      </c>
      <c r="L39">
        <f t="shared" si="0"/>
        <v>35.81</v>
      </c>
    </row>
    <row r="40" spans="1:12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  <c r="I40">
        <f>C40*D40*(1-VLOOKUP(A40,Orders!$A:$G,7,0))</f>
        <v>149.48250000000002</v>
      </c>
      <c r="J40" t="str">
        <f>VLOOKUP(A40,Orders!$A:$G,6,0)</f>
        <v>Dinner</v>
      </c>
      <c r="K40" t="str">
        <f>VLOOKUP(A40,Orders!$A:$G,5,0)</f>
        <v>Card</v>
      </c>
      <c r="L40">
        <f t="shared" si="0"/>
        <v>77.400000000000006</v>
      </c>
    </row>
    <row r="41" spans="1:12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  <c r="I41">
        <f>C41*D41*(1-VLOOKUP(A41,Orders!$A:$G,7,0))</f>
        <v>216.2295</v>
      </c>
      <c r="J41" t="str">
        <f>VLOOKUP(A41,Orders!$A:$G,6,0)</f>
        <v>Dinner</v>
      </c>
      <c r="K41" t="str">
        <f>VLOOKUP(A41,Orders!$A:$G,5,0)</f>
        <v>Card</v>
      </c>
      <c r="L41">
        <f t="shared" si="0"/>
        <v>96.22</v>
      </c>
    </row>
    <row r="42" spans="1:12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  <c r="I42">
        <f>C42*D42*(1-VLOOKUP(A42,Orders!$A:$G,7,0))</f>
        <v>30.671399999999995</v>
      </c>
      <c r="J42" t="str">
        <f>VLOOKUP(A42,Orders!$A:$G,6,0)</f>
        <v>Dinner</v>
      </c>
      <c r="K42" t="str">
        <f>VLOOKUP(A42,Orders!$A:$G,5,0)</f>
        <v>UPI</v>
      </c>
      <c r="L42">
        <f t="shared" si="0"/>
        <v>11.84</v>
      </c>
    </row>
    <row r="43" spans="1:12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  <c r="I43">
        <f>C43*D43*(1-VLOOKUP(A43,Orders!$A:$G,7,0))</f>
        <v>105.12</v>
      </c>
      <c r="J43" t="str">
        <f>VLOOKUP(A43,Orders!$A:$G,6,0)</f>
        <v>Breakfast</v>
      </c>
      <c r="K43" t="str">
        <f>VLOOKUP(A43,Orders!$A:$G,5,0)</f>
        <v>Cash</v>
      </c>
      <c r="L43">
        <f t="shared" si="0"/>
        <v>48.97</v>
      </c>
    </row>
    <row r="44" spans="1:12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  <c r="I44">
        <f>C44*D44*(1-VLOOKUP(A44,Orders!$A:$G,7,0))</f>
        <v>59.363999999999997</v>
      </c>
      <c r="J44" t="str">
        <f>VLOOKUP(A44,Orders!$A:$G,6,0)</f>
        <v>Breakfast</v>
      </c>
      <c r="K44" t="str">
        <f>VLOOKUP(A44,Orders!$A:$G,5,0)</f>
        <v>Cash</v>
      </c>
      <c r="L44">
        <f t="shared" si="0"/>
        <v>23.68</v>
      </c>
    </row>
    <row r="45" spans="1:12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  <c r="I45">
        <f>C45*D45*(1-VLOOKUP(A45,Orders!$A:$G,7,0))</f>
        <v>140.54400000000001</v>
      </c>
      <c r="J45" t="str">
        <f>VLOOKUP(A45,Orders!$A:$G,6,0)</f>
        <v>Breakfast</v>
      </c>
      <c r="K45" t="str">
        <f>VLOOKUP(A45,Orders!$A:$G,5,0)</f>
        <v>Cash</v>
      </c>
      <c r="L45">
        <f t="shared" si="0"/>
        <v>80.92</v>
      </c>
    </row>
    <row r="46" spans="1:12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  <c r="I46">
        <f>C46*D46*(1-VLOOKUP(A46,Orders!$A:$G,7,0))</f>
        <v>67.718400000000003</v>
      </c>
      <c r="J46" t="str">
        <f>VLOOKUP(A46,Orders!$A:$G,6,0)</f>
        <v>Breakfast</v>
      </c>
      <c r="K46" t="str">
        <f>VLOOKUP(A46,Orders!$A:$G,5,0)</f>
        <v>Cash</v>
      </c>
      <c r="L46">
        <f t="shared" si="0"/>
        <v>35.81</v>
      </c>
    </row>
    <row r="47" spans="1:12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  <c r="I47">
        <f>C47*D47*(1-VLOOKUP(A47,Orders!$A:$G,7,0))</f>
        <v>493.2672</v>
      </c>
      <c r="J47" t="str">
        <f>VLOOKUP(A47,Orders!$A:$G,6,0)</f>
        <v>Breakfast</v>
      </c>
      <c r="K47" t="str">
        <f>VLOOKUP(A47,Orders!$A:$G,5,0)</f>
        <v>Cash</v>
      </c>
      <c r="L47">
        <f t="shared" si="0"/>
        <v>242.48</v>
      </c>
    </row>
    <row r="48" spans="1:12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  <c r="I48">
        <f>C48*D48*(1-VLOOKUP(A48,Orders!$A:$G,7,0))</f>
        <v>154.47000000000003</v>
      </c>
      <c r="J48" t="str">
        <f>VLOOKUP(A48,Orders!$A:$G,6,0)</f>
        <v>Breakfast</v>
      </c>
      <c r="K48" t="str">
        <f>VLOOKUP(A48,Orders!$A:$G,5,0)</f>
        <v>UPI</v>
      </c>
      <c r="L48">
        <f t="shared" si="0"/>
        <v>65.849999999999994</v>
      </c>
    </row>
    <row r="49" spans="1:12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  <c r="I49">
        <f>C49*D49*(1-VLOOKUP(A49,Orders!$A:$G,7,0))</f>
        <v>216.2295</v>
      </c>
      <c r="J49" t="str">
        <f>VLOOKUP(A49,Orders!$A:$G,6,0)</f>
        <v>Breakfast</v>
      </c>
      <c r="K49" t="str">
        <f>VLOOKUP(A49,Orders!$A:$G,5,0)</f>
        <v>UPI</v>
      </c>
      <c r="L49">
        <f t="shared" si="0"/>
        <v>96.22</v>
      </c>
    </row>
    <row r="50" spans="1:12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  <c r="I50">
        <f>C50*D50*(1-VLOOKUP(A50,Orders!$A:$G,7,0))</f>
        <v>31.330999999999996</v>
      </c>
      <c r="J50" t="str">
        <f>VLOOKUP(A50,Orders!$A:$G,6,0)</f>
        <v>Breakfast</v>
      </c>
      <c r="K50" t="str">
        <f>VLOOKUP(A50,Orders!$A:$G,5,0)</f>
        <v>UPI</v>
      </c>
      <c r="L50">
        <f t="shared" si="0"/>
        <v>11.84</v>
      </c>
    </row>
    <row r="51" spans="1:12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  <c r="I51">
        <f>C51*D51*(1-VLOOKUP(A51,Orders!$A:$G,7,0))</f>
        <v>72.722499999999997</v>
      </c>
      <c r="J51" t="str">
        <f>VLOOKUP(A51,Orders!$A:$G,6,0)</f>
        <v>Breakfast</v>
      </c>
      <c r="K51" t="str">
        <f>VLOOKUP(A51,Orders!$A:$G,5,0)</f>
        <v>UPI</v>
      </c>
      <c r="L51">
        <f t="shared" si="0"/>
        <v>38.229999999999997</v>
      </c>
    </row>
    <row r="52" spans="1:12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  <c r="I52">
        <f>C52*D52*(1-VLOOKUP(A52,Orders!$A:$G,7,0))</f>
        <v>154.20300000000003</v>
      </c>
      <c r="J52" t="str">
        <f>VLOOKUP(A52,Orders!$A:$G,6,0)</f>
        <v>Dinner</v>
      </c>
      <c r="K52" t="str">
        <f>VLOOKUP(A52,Orders!$A:$G,5,0)</f>
        <v>UPI</v>
      </c>
      <c r="L52">
        <f t="shared" si="0"/>
        <v>77.400000000000006</v>
      </c>
    </row>
    <row r="53" spans="1:12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  <c r="I53">
        <f>C53*D53*(1-VLOOKUP(A53,Orders!$A:$G,7,0))</f>
        <v>39.151000000000003</v>
      </c>
      <c r="J53" t="str">
        <f>VLOOKUP(A53,Orders!$A:$G,6,0)</f>
        <v>Dinner</v>
      </c>
      <c r="K53" t="str">
        <f>VLOOKUP(A53,Orders!$A:$G,5,0)</f>
        <v>UPI</v>
      </c>
      <c r="L53">
        <f t="shared" si="0"/>
        <v>15.51</v>
      </c>
    </row>
    <row r="54" spans="1:12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  <c r="I54">
        <f>C54*D54*(1-VLOOKUP(A54,Orders!$A:$G,7,0))</f>
        <v>98.372399999999999</v>
      </c>
      <c r="J54" t="str">
        <f>VLOOKUP(A54,Orders!$A:$G,6,0)</f>
        <v>Dinner</v>
      </c>
      <c r="K54" t="str">
        <f>VLOOKUP(A54,Orders!$A:$G,5,0)</f>
        <v>UPI</v>
      </c>
      <c r="L54">
        <f t="shared" si="0"/>
        <v>45.22</v>
      </c>
    </row>
    <row r="55" spans="1:12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  <c r="I55">
        <f>C55*D55*(1-VLOOKUP(A55,Orders!$A:$G,7,0))</f>
        <v>53.658000000000001</v>
      </c>
      <c r="J55" t="str">
        <f>VLOOKUP(A55,Orders!$A:$G,6,0)</f>
        <v>Breakfast</v>
      </c>
      <c r="K55" t="str">
        <f>VLOOKUP(A55,Orders!$A:$G,5,0)</f>
        <v>Cash</v>
      </c>
      <c r="L55">
        <f t="shared" si="0"/>
        <v>21.95</v>
      </c>
    </row>
    <row r="56" spans="1:12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  <c r="I56">
        <f>C56*D56*(1-VLOOKUP(A56,Orders!$A:$G,7,0))</f>
        <v>56.291399999999996</v>
      </c>
      <c r="J56" t="str">
        <f>VLOOKUP(A56,Orders!$A:$G,6,0)</f>
        <v>Breakfast</v>
      </c>
      <c r="K56" t="str">
        <f>VLOOKUP(A56,Orders!$A:$G,5,0)</f>
        <v>Cash</v>
      </c>
      <c r="L56">
        <f t="shared" si="0"/>
        <v>27.78</v>
      </c>
    </row>
    <row r="57" spans="1:12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  <c r="I57">
        <f>C57*D57*(1-VLOOKUP(A57,Orders!$A:$G,7,0))</f>
        <v>254.34090000000003</v>
      </c>
      <c r="J57" t="str">
        <f>VLOOKUP(A57,Orders!$A:$G,6,0)</f>
        <v>Breakfast</v>
      </c>
      <c r="K57" t="str">
        <f>VLOOKUP(A57,Orders!$A:$G,5,0)</f>
        <v>Cash</v>
      </c>
      <c r="L57">
        <f t="shared" si="0"/>
        <v>121.24</v>
      </c>
    </row>
    <row r="58" spans="1:12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  <c r="I58">
        <f>C58*D58*(1-VLOOKUP(A58,Orders!$A:$G,7,0))</f>
        <v>18.3001</v>
      </c>
      <c r="J58" t="str">
        <f>VLOOKUP(A58,Orders!$A:$G,6,0)</f>
        <v>Lunch</v>
      </c>
      <c r="K58" t="str">
        <f>VLOOKUP(A58,Orders!$A:$G,5,0)</f>
        <v>Cash</v>
      </c>
      <c r="L58">
        <f t="shared" si="0"/>
        <v>8</v>
      </c>
    </row>
    <row r="59" spans="1:12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  <c r="I59">
        <f>C59*D59*(1-VLOOKUP(A59,Orders!$A:$G,7,0))</f>
        <v>223.9419</v>
      </c>
      <c r="J59" t="str">
        <f>VLOOKUP(A59,Orders!$A:$G,6,0)</f>
        <v>Lunch</v>
      </c>
      <c r="K59" t="str">
        <f>VLOOKUP(A59,Orders!$A:$G,5,0)</f>
        <v>Cash</v>
      </c>
      <c r="L59">
        <f t="shared" si="0"/>
        <v>112.08</v>
      </c>
    </row>
    <row r="60" spans="1:12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  <c r="I60">
        <f>C60*D60*(1-VLOOKUP(A60,Orders!$A:$G,7,0))</f>
        <v>390.88800000000003</v>
      </c>
      <c r="J60" t="str">
        <f>VLOOKUP(A60,Orders!$A:$G,6,0)</f>
        <v>Dinner</v>
      </c>
      <c r="K60" t="str">
        <f>VLOOKUP(A60,Orders!$A:$G,5,0)</f>
        <v>UPI</v>
      </c>
      <c r="L60">
        <f t="shared" si="0"/>
        <v>242.76</v>
      </c>
    </row>
    <row r="61" spans="1:12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  <c r="I61">
        <f>C61*D61*(1-VLOOKUP(A61,Orders!$A:$G,7,0))</f>
        <v>47.178599999999996</v>
      </c>
      <c r="J61" t="str">
        <f>VLOOKUP(A61,Orders!$A:$G,6,0)</f>
        <v>Breakfast</v>
      </c>
      <c r="K61" t="str">
        <f>VLOOKUP(A61,Orders!$A:$G,5,0)</f>
        <v>Card</v>
      </c>
      <c r="L61">
        <f t="shared" si="0"/>
        <v>22.61</v>
      </c>
    </row>
    <row r="62" spans="1:12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  <c r="I62">
        <f>C62*D62*(1-VLOOKUP(A62,Orders!$A:$G,7,0))</f>
        <v>47.205000000000005</v>
      </c>
      <c r="J62" t="str">
        <f>VLOOKUP(A62,Orders!$A:$G,6,0)</f>
        <v>Dinner</v>
      </c>
      <c r="K62" t="str">
        <f>VLOOKUP(A62,Orders!$A:$G,5,0)</f>
        <v>Cash</v>
      </c>
      <c r="L62">
        <f t="shared" si="0"/>
        <v>25.8</v>
      </c>
    </row>
    <row r="63" spans="1:12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  <c r="I63">
        <f>C63*D63*(1-VLOOKUP(A63,Orders!$A:$G,7,0))</f>
        <v>34.254000000000005</v>
      </c>
      <c r="J63" t="str">
        <f>VLOOKUP(A63,Orders!$A:$G,6,0)</f>
        <v>Dinner</v>
      </c>
      <c r="K63" t="str">
        <f>VLOOKUP(A63,Orders!$A:$G,5,0)</f>
        <v>Cash</v>
      </c>
      <c r="L63">
        <f t="shared" si="0"/>
        <v>19.55</v>
      </c>
    </row>
    <row r="64" spans="1:12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  <c r="I64">
        <f>C64*D64*(1-VLOOKUP(A64,Orders!$A:$G,7,0))</f>
        <v>476.6157</v>
      </c>
      <c r="J64" t="str">
        <f>VLOOKUP(A64,Orders!$A:$G,6,0)</f>
        <v>Dinner</v>
      </c>
      <c r="K64" t="str">
        <f>VLOOKUP(A64,Orders!$A:$G,5,0)</f>
        <v>UPI</v>
      </c>
      <c r="L64">
        <f t="shared" si="0"/>
        <v>222.20999999999998</v>
      </c>
    </row>
    <row r="65" spans="1:12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  <c r="I65">
        <f>C65*D65*(1-VLOOKUP(A65,Orders!$A:$G,7,0))</f>
        <v>28.216199999999997</v>
      </c>
      <c r="J65" t="str">
        <f>VLOOKUP(A65,Orders!$A:$G,6,0)</f>
        <v>Dinner</v>
      </c>
      <c r="K65" t="str">
        <f>VLOOKUP(A65,Orders!$A:$G,5,0)</f>
        <v>UPI</v>
      </c>
      <c r="L65">
        <f t="shared" si="0"/>
        <v>14.18</v>
      </c>
    </row>
    <row r="66" spans="1:12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  <c r="I66">
        <f>C66*D66*(1-VLOOKUP(A66,Orders!$A:$G,7,0))</f>
        <v>106.1502</v>
      </c>
      <c r="J66" t="str">
        <f>VLOOKUP(A66,Orders!$A:$G,6,0)</f>
        <v>Dinner</v>
      </c>
      <c r="K66" t="str">
        <f>VLOOKUP(A66,Orders!$A:$G,5,0)</f>
        <v>UPI</v>
      </c>
      <c r="L66">
        <f t="shared" ref="L66:L129" si="1">C66*E66</f>
        <v>58.28</v>
      </c>
    </row>
    <row r="67" spans="1:12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  <c r="I67">
        <f>C67*D67*(1-VLOOKUP(A67,Orders!$A:$G,7,0))</f>
        <v>228.86369999999999</v>
      </c>
      <c r="J67" t="str">
        <f>VLOOKUP(A67,Orders!$A:$G,6,0)</f>
        <v>Dinner</v>
      </c>
      <c r="K67" t="str">
        <f>VLOOKUP(A67,Orders!$A:$G,5,0)</f>
        <v>UPI</v>
      </c>
      <c r="L67">
        <f t="shared" si="1"/>
        <v>112.08</v>
      </c>
    </row>
    <row r="68" spans="1:12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  <c r="I68">
        <f>C68*D68*(1-VLOOKUP(A68,Orders!$A:$G,7,0))</f>
        <v>48.684299999999993</v>
      </c>
      <c r="J68" t="str">
        <f>VLOOKUP(A68,Orders!$A:$G,6,0)</f>
        <v>Breakfast</v>
      </c>
      <c r="K68" t="str">
        <f>VLOOKUP(A68,Orders!$A:$G,5,0)</f>
        <v>Card</v>
      </c>
      <c r="L68">
        <f t="shared" si="1"/>
        <v>22.61</v>
      </c>
    </row>
    <row r="69" spans="1:12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  <c r="I69">
        <f>C69*D69*(1-VLOOKUP(A69,Orders!$A:$G,7,0))</f>
        <v>226.59199999999998</v>
      </c>
      <c r="J69" t="str">
        <f>VLOOKUP(A69,Orders!$A:$G,6,0)</f>
        <v>Breakfast</v>
      </c>
      <c r="K69" t="str">
        <f>VLOOKUP(A69,Orders!$A:$G,5,0)</f>
        <v>Card</v>
      </c>
      <c r="L69">
        <f t="shared" si="1"/>
        <v>97.94</v>
      </c>
    </row>
    <row r="70" spans="1:12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  <c r="I70">
        <f>C70*D70*(1-VLOOKUP(A70,Orders!$A:$G,7,0))</f>
        <v>68.4238</v>
      </c>
      <c r="J70" t="str">
        <f>VLOOKUP(A70,Orders!$A:$G,6,0)</f>
        <v>Breakfast</v>
      </c>
      <c r="K70" t="str">
        <f>VLOOKUP(A70,Orders!$A:$G,5,0)</f>
        <v>Card</v>
      </c>
      <c r="L70">
        <f t="shared" si="1"/>
        <v>35.81</v>
      </c>
    </row>
    <row r="71" spans="1:12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  <c r="I71">
        <f>C71*D71*(1-VLOOKUP(A71,Orders!$A:$G,7,0))</f>
        <v>39.013399999999997</v>
      </c>
      <c r="J71" t="str">
        <f>VLOOKUP(A71,Orders!$A:$G,6,0)</f>
        <v>Breakfast</v>
      </c>
      <c r="K71" t="str">
        <f>VLOOKUP(A71,Orders!$A:$G,5,0)</f>
        <v>Card</v>
      </c>
      <c r="L71">
        <f t="shared" si="1"/>
        <v>16</v>
      </c>
    </row>
    <row r="72" spans="1:12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  <c r="I72">
        <f>C72*D72*(1-VLOOKUP(A72,Orders!$A:$G,7,0))</f>
        <v>140.03009999999998</v>
      </c>
      <c r="J72" t="str">
        <f>VLOOKUP(A72,Orders!$A:$G,6,0)</f>
        <v>Breakfast</v>
      </c>
      <c r="K72" t="str">
        <f>VLOOKUP(A72,Orders!$A:$G,5,0)</f>
        <v>Cash</v>
      </c>
      <c r="L72">
        <f t="shared" si="1"/>
        <v>67.83</v>
      </c>
    </row>
    <row r="73" spans="1:12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  <c r="I73">
        <f>C73*D73*(1-VLOOKUP(A73,Orders!$A:$G,7,0))</f>
        <v>25.0184</v>
      </c>
      <c r="J73" t="str">
        <f>VLOOKUP(A73,Orders!$A:$G,6,0)</f>
        <v>Breakfast</v>
      </c>
      <c r="K73" t="str">
        <f>VLOOKUP(A73,Orders!$A:$G,5,0)</f>
        <v>UPI</v>
      </c>
      <c r="L73">
        <f t="shared" si="1"/>
        <v>13.89</v>
      </c>
    </row>
    <row r="74" spans="1:12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  <c r="I74">
        <f>C74*D74*(1-VLOOKUP(A74,Orders!$A:$G,7,0))</f>
        <v>216.5592</v>
      </c>
      <c r="J74" t="str">
        <f>VLOOKUP(A74,Orders!$A:$G,6,0)</f>
        <v>Breakfast</v>
      </c>
      <c r="K74" t="str">
        <f>VLOOKUP(A74,Orders!$A:$G,5,0)</f>
        <v>UPI</v>
      </c>
      <c r="L74">
        <f t="shared" si="1"/>
        <v>112.08</v>
      </c>
    </row>
    <row r="75" spans="1:12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  <c r="I75">
        <f>C75*D75*(1-VLOOKUP(A75,Orders!$A:$G,7,0))</f>
        <v>124.1504</v>
      </c>
      <c r="J75" t="str">
        <f>VLOOKUP(A75,Orders!$A:$G,6,0)</f>
        <v>Breakfast</v>
      </c>
      <c r="K75" t="str">
        <f>VLOOKUP(A75,Orders!$A:$G,5,0)</f>
        <v>UPI</v>
      </c>
      <c r="L75">
        <f t="shared" si="1"/>
        <v>71.62</v>
      </c>
    </row>
    <row r="76" spans="1:12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  <c r="I76">
        <f>C76*D76*(1-VLOOKUP(A76,Orders!$A:$G,7,0))</f>
        <v>50.948</v>
      </c>
      <c r="J76" t="str">
        <f>VLOOKUP(A76,Orders!$A:$G,6,0)</f>
        <v>Lunch</v>
      </c>
      <c r="K76" t="str">
        <f>VLOOKUP(A76,Orders!$A:$G,5,0)</f>
        <v>UPI</v>
      </c>
      <c r="L76">
        <f t="shared" si="1"/>
        <v>21.95</v>
      </c>
    </row>
    <row r="77" spans="1:12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  <c r="I77">
        <f>C77*D77*(1-VLOOKUP(A77,Orders!$A:$G,7,0))</f>
        <v>275.23199999999997</v>
      </c>
      <c r="J77" t="str">
        <f>VLOOKUP(A77,Orders!$A:$G,6,0)</f>
        <v>Lunch</v>
      </c>
      <c r="K77" t="str">
        <f>VLOOKUP(A77,Orders!$A:$G,5,0)</f>
        <v>UPI</v>
      </c>
      <c r="L77">
        <f t="shared" si="1"/>
        <v>161.84</v>
      </c>
    </row>
    <row r="78" spans="1:12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  <c r="I78">
        <f>C78*D78*(1-VLOOKUP(A78,Orders!$A:$G,7,0))</f>
        <v>109.79199999999999</v>
      </c>
      <c r="J78" t="str">
        <f>VLOOKUP(A78,Orders!$A:$G,6,0)</f>
        <v>Lunch</v>
      </c>
      <c r="K78" t="str">
        <f>VLOOKUP(A78,Orders!$A:$G,5,0)</f>
        <v>UPI</v>
      </c>
      <c r="L78">
        <f t="shared" si="1"/>
        <v>48.97</v>
      </c>
    </row>
    <row r="79" spans="1:12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  <c r="I79">
        <f>C79*D79*(1-VLOOKUP(A79,Orders!$A:$G,7,0))</f>
        <v>47.696000000000005</v>
      </c>
      <c r="J79" t="str">
        <f>VLOOKUP(A79,Orders!$A:$G,6,0)</f>
        <v>Breakfast</v>
      </c>
      <c r="K79" t="str">
        <f>VLOOKUP(A79,Orders!$A:$G,5,0)</f>
        <v>Cash</v>
      </c>
      <c r="L79">
        <f t="shared" si="1"/>
        <v>21.95</v>
      </c>
    </row>
    <row r="80" spans="1:12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  <c r="I80">
        <f>C80*D80*(1-VLOOKUP(A80,Orders!$A:$G,7,0))</f>
        <v>102.78399999999999</v>
      </c>
      <c r="J80" t="str">
        <f>VLOOKUP(A80,Orders!$A:$G,6,0)</f>
        <v>Breakfast</v>
      </c>
      <c r="K80" t="str">
        <f>VLOOKUP(A80,Orders!$A:$G,5,0)</f>
        <v>Cash</v>
      </c>
      <c r="L80">
        <f t="shared" si="1"/>
        <v>48.97</v>
      </c>
    </row>
    <row r="81" spans="1:12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  <c r="I81">
        <f>C81*D81*(1-VLOOKUP(A81,Orders!$A:$G,7,0))</f>
        <v>58.044799999999995</v>
      </c>
      <c r="J81" t="str">
        <f>VLOOKUP(A81,Orders!$A:$G,6,0)</f>
        <v>Breakfast</v>
      </c>
      <c r="K81" t="str">
        <f>VLOOKUP(A81,Orders!$A:$G,5,0)</f>
        <v>Cash</v>
      </c>
      <c r="L81">
        <f t="shared" si="1"/>
        <v>23.68</v>
      </c>
    </row>
    <row r="82" spans="1:12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  <c r="I82">
        <f>C82*D82*(1-VLOOKUP(A82,Orders!$A:$G,7,0))</f>
        <v>257.66399999999999</v>
      </c>
      <c r="J82" t="str">
        <f>VLOOKUP(A82,Orders!$A:$G,6,0)</f>
        <v>Breakfast</v>
      </c>
      <c r="K82" t="str">
        <f>VLOOKUP(A82,Orders!$A:$G,5,0)</f>
        <v>Cash</v>
      </c>
      <c r="L82">
        <f t="shared" si="1"/>
        <v>161.84</v>
      </c>
    </row>
    <row r="83" spans="1:12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  <c r="I83">
        <f>C83*D83*(1-VLOOKUP(A83,Orders!$A:$G,7,0))</f>
        <v>39.950000000000003</v>
      </c>
      <c r="J83" t="str">
        <f>VLOOKUP(A83,Orders!$A:$G,6,0)</f>
        <v>Breakfast</v>
      </c>
      <c r="K83" t="str">
        <f>VLOOKUP(A83,Orders!$A:$G,5,0)</f>
        <v>Cash</v>
      </c>
      <c r="L83">
        <f t="shared" si="1"/>
        <v>15.51</v>
      </c>
    </row>
    <row r="84" spans="1:12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  <c r="I84">
        <f>C84*D84*(1-VLOOKUP(A84,Orders!$A:$G,7,0))</f>
        <v>350.4</v>
      </c>
      <c r="J84" t="str">
        <f>VLOOKUP(A84,Orders!$A:$G,6,0)</f>
        <v>Breakfast</v>
      </c>
      <c r="K84" t="str">
        <f>VLOOKUP(A84,Orders!$A:$G,5,0)</f>
        <v>Cash</v>
      </c>
      <c r="L84">
        <f t="shared" si="1"/>
        <v>146.91</v>
      </c>
    </row>
    <row r="85" spans="1:12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  <c r="I85">
        <f>C85*D85*(1-VLOOKUP(A85,Orders!$A:$G,7,0))</f>
        <v>30.011799999999997</v>
      </c>
      <c r="J85" t="str">
        <f>VLOOKUP(A85,Orders!$A:$G,6,0)</f>
        <v>Dinner</v>
      </c>
      <c r="K85" t="str">
        <f>VLOOKUP(A85,Orders!$A:$G,5,0)</f>
        <v>Cash</v>
      </c>
      <c r="L85">
        <f t="shared" si="1"/>
        <v>11.84</v>
      </c>
    </row>
    <row r="86" spans="1:12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  <c r="I86">
        <f>C86*D86*(1-VLOOKUP(A86,Orders!$A:$G,7,0))</f>
        <v>36.354500000000002</v>
      </c>
      <c r="J86" t="str">
        <f>VLOOKUP(A86,Orders!$A:$G,6,0)</f>
        <v>Dinner</v>
      </c>
      <c r="K86" t="str">
        <f>VLOOKUP(A86,Orders!$A:$G,5,0)</f>
        <v>Cash</v>
      </c>
      <c r="L86">
        <f t="shared" si="1"/>
        <v>15.51</v>
      </c>
    </row>
    <row r="87" spans="1:12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  <c r="I87">
        <f>C87*D87*(1-VLOOKUP(A87,Orders!$A:$G,7,0))</f>
        <v>20.202000000000002</v>
      </c>
      <c r="J87" t="str">
        <f>VLOOKUP(A87,Orders!$A:$G,6,0)</f>
        <v>Dinner</v>
      </c>
      <c r="K87" t="str">
        <f>VLOOKUP(A87,Orders!$A:$G,5,0)</f>
        <v>Cash</v>
      </c>
      <c r="L87">
        <f t="shared" si="1"/>
        <v>9.3800000000000008</v>
      </c>
    </row>
    <row r="88" spans="1:12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  <c r="I88">
        <f>C88*D88*(1-VLOOKUP(A88,Orders!$A:$G,7,0))</f>
        <v>109.79199999999999</v>
      </c>
      <c r="J88" t="str">
        <f>VLOOKUP(A88,Orders!$A:$G,6,0)</f>
        <v>Dinner</v>
      </c>
      <c r="K88" t="str">
        <f>VLOOKUP(A88,Orders!$A:$G,5,0)</f>
        <v>UPI</v>
      </c>
      <c r="L88">
        <f t="shared" si="1"/>
        <v>48.97</v>
      </c>
    </row>
    <row r="89" spans="1:12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  <c r="I89">
        <f>C89*D89*(1-VLOOKUP(A89,Orders!$A:$G,7,0))</f>
        <v>427.90679999999998</v>
      </c>
      <c r="J89" t="str">
        <f>VLOOKUP(A89,Orders!$A:$G,6,0)</f>
        <v>Dinner</v>
      </c>
      <c r="K89" t="str">
        <f>VLOOKUP(A89,Orders!$A:$G,5,0)</f>
        <v>UPI</v>
      </c>
      <c r="L89">
        <f t="shared" si="1"/>
        <v>192.44</v>
      </c>
    </row>
    <row r="90" spans="1:12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  <c r="I90">
        <f>C90*D90*(1-VLOOKUP(A90,Orders!$A:$G,7,0))</f>
        <v>71.956999999999994</v>
      </c>
      <c r="J90" t="str">
        <f>VLOOKUP(A90,Orders!$A:$G,6,0)</f>
        <v>Dinner</v>
      </c>
      <c r="K90" t="str">
        <f>VLOOKUP(A90,Orders!$A:$G,5,0)</f>
        <v>UPI</v>
      </c>
      <c r="L90">
        <f t="shared" si="1"/>
        <v>38.229999999999997</v>
      </c>
    </row>
    <row r="91" spans="1:12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  <c r="I91">
        <f>C91*D91*(1-VLOOKUP(A91,Orders!$A:$G,7,0))</f>
        <v>26.7242</v>
      </c>
      <c r="J91" t="str">
        <f>VLOOKUP(A91,Orders!$A:$G,6,0)</f>
        <v>Dinner</v>
      </c>
      <c r="K91" t="str">
        <f>VLOOKUP(A91,Orders!$A:$G,5,0)</f>
        <v>UPI</v>
      </c>
      <c r="L91">
        <f t="shared" si="1"/>
        <v>13.89</v>
      </c>
    </row>
    <row r="92" spans="1:12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  <c r="I92">
        <f>C92*D92*(1-VLOOKUP(A92,Orders!$A:$G,7,0))</f>
        <v>47.680499999999995</v>
      </c>
      <c r="J92" t="str">
        <f>VLOOKUP(A92,Orders!$A:$G,6,0)</f>
        <v>Breakfast</v>
      </c>
      <c r="K92" t="str">
        <f>VLOOKUP(A92,Orders!$A:$G,5,0)</f>
        <v>Cash</v>
      </c>
      <c r="L92">
        <f t="shared" si="1"/>
        <v>22.61</v>
      </c>
    </row>
    <row r="93" spans="1:12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  <c r="I93">
        <f>C93*D93*(1-VLOOKUP(A93,Orders!$A:$G,7,0))</f>
        <v>162.2885</v>
      </c>
      <c r="J93" t="str">
        <f>VLOOKUP(A93,Orders!$A:$G,6,0)</f>
        <v>Breakfast</v>
      </c>
      <c r="K93" t="str">
        <f>VLOOKUP(A93,Orders!$A:$G,5,0)</f>
        <v>Cash</v>
      </c>
      <c r="L93">
        <f t="shared" si="1"/>
        <v>74.069999999999993</v>
      </c>
    </row>
    <row r="94" spans="1:12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  <c r="I94">
        <f>C94*D94*(1-VLOOKUP(A94,Orders!$A:$G,7,0))</f>
        <v>321.16039999999998</v>
      </c>
      <c r="J94" t="str">
        <f>VLOOKUP(A94,Orders!$A:$G,6,0)</f>
        <v>Dinner</v>
      </c>
      <c r="K94" t="str">
        <f>VLOOKUP(A94,Orders!$A:$G,5,0)</f>
        <v>UPI</v>
      </c>
      <c r="L94">
        <f t="shared" si="1"/>
        <v>148.13999999999999</v>
      </c>
    </row>
    <row r="95" spans="1:12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  <c r="I95">
        <f>C95*D95*(1-VLOOKUP(A95,Orders!$A:$G,7,0))</f>
        <v>22.2</v>
      </c>
      <c r="J95" t="str">
        <f>VLOOKUP(A95,Orders!$A:$G,6,0)</f>
        <v>Dinner</v>
      </c>
      <c r="K95" t="str">
        <f>VLOOKUP(A95,Orders!$A:$G,5,0)</f>
        <v>Card</v>
      </c>
      <c r="L95">
        <f t="shared" si="1"/>
        <v>9.3800000000000008</v>
      </c>
    </row>
    <row r="96" spans="1:12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  <c r="I96">
        <f>C96*D96*(1-VLOOKUP(A96,Orders!$A:$G,7,0))</f>
        <v>65.959999999999994</v>
      </c>
      <c r="J96" t="str">
        <f>VLOOKUP(A96,Orders!$A:$G,6,0)</f>
        <v>Dinner</v>
      </c>
      <c r="K96" t="str">
        <f>VLOOKUP(A96,Orders!$A:$G,5,0)</f>
        <v>Card</v>
      </c>
      <c r="L96">
        <f t="shared" si="1"/>
        <v>23.68</v>
      </c>
    </row>
    <row r="97" spans="1:12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  <c r="I97">
        <f>C97*D97*(1-VLOOKUP(A97,Orders!$A:$G,7,0))</f>
        <v>486.8655</v>
      </c>
      <c r="J97" t="str">
        <f>VLOOKUP(A97,Orders!$A:$G,6,0)</f>
        <v>Breakfast</v>
      </c>
      <c r="K97" t="str">
        <f>VLOOKUP(A97,Orders!$A:$G,5,0)</f>
        <v>UPI</v>
      </c>
      <c r="L97">
        <f t="shared" si="1"/>
        <v>222.20999999999998</v>
      </c>
    </row>
    <row r="98" spans="1:12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  <c r="I98">
        <f>C98*D98*(1-VLOOKUP(A98,Orders!$A:$G,7,0))</f>
        <v>92.014199999999988</v>
      </c>
      <c r="J98" t="str">
        <f>VLOOKUP(A98,Orders!$A:$G,6,0)</f>
        <v>Breakfast</v>
      </c>
      <c r="K98" t="str">
        <f>VLOOKUP(A98,Orders!$A:$G,5,0)</f>
        <v>Card</v>
      </c>
      <c r="L98">
        <f t="shared" si="1"/>
        <v>35.519999999999996</v>
      </c>
    </row>
    <row r="99" spans="1:12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  <c r="I99">
        <f>C99*D99*(1-VLOOKUP(A99,Orders!$A:$G,7,0))</f>
        <v>26.439899999999998</v>
      </c>
      <c r="J99" t="str">
        <f>VLOOKUP(A99,Orders!$A:$G,6,0)</f>
        <v>Breakfast</v>
      </c>
      <c r="K99" t="str">
        <f>VLOOKUP(A99,Orders!$A:$G,5,0)</f>
        <v>Card</v>
      </c>
      <c r="L99">
        <f t="shared" si="1"/>
        <v>13.89</v>
      </c>
    </row>
    <row r="100" spans="1:12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  <c r="I100">
        <f>C100*D100*(1-VLOOKUP(A100,Orders!$A:$G,7,0))</f>
        <v>477.8526</v>
      </c>
      <c r="J100" t="str">
        <f>VLOOKUP(A100,Orders!$A:$G,6,0)</f>
        <v>Breakfast</v>
      </c>
      <c r="K100" t="str">
        <f>VLOOKUP(A100,Orders!$A:$G,5,0)</f>
        <v>Card</v>
      </c>
      <c r="L100">
        <f t="shared" si="1"/>
        <v>242.48</v>
      </c>
    </row>
    <row r="101" spans="1:12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  <c r="I101">
        <f>C101*D101*(1-VLOOKUP(A101,Orders!$A:$G,7,0))</f>
        <v>28.216199999999997</v>
      </c>
      <c r="J101" t="str">
        <f>VLOOKUP(A101,Orders!$A:$G,6,0)</f>
        <v>Breakfast</v>
      </c>
      <c r="K101" t="str">
        <f>VLOOKUP(A101,Orders!$A:$G,5,0)</f>
        <v>Card</v>
      </c>
      <c r="L101">
        <f t="shared" si="1"/>
        <v>14.18</v>
      </c>
    </row>
    <row r="102" spans="1:12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  <c r="I102">
        <f>C102*D102*(1-VLOOKUP(A102,Orders!$A:$G,7,0))</f>
        <v>87.0672</v>
      </c>
      <c r="J102" t="str">
        <f>VLOOKUP(A102,Orders!$A:$G,6,0)</f>
        <v>Breakfast</v>
      </c>
      <c r="K102" t="str">
        <f>VLOOKUP(A102,Orders!$A:$G,5,0)</f>
        <v>Card</v>
      </c>
      <c r="L102">
        <f t="shared" si="1"/>
        <v>35.519999999999996</v>
      </c>
    </row>
    <row r="103" spans="1:12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  <c r="I103">
        <f>C103*D103*(1-VLOOKUP(A103,Orders!$A:$G,7,0))</f>
        <v>62.075200000000002</v>
      </c>
      <c r="J103" t="str">
        <f>VLOOKUP(A103,Orders!$A:$G,6,0)</f>
        <v>Breakfast</v>
      </c>
      <c r="K103" t="str">
        <f>VLOOKUP(A103,Orders!$A:$G,5,0)</f>
        <v>Card</v>
      </c>
      <c r="L103">
        <f t="shared" si="1"/>
        <v>35.81</v>
      </c>
    </row>
    <row r="104" spans="1:12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  <c r="I104">
        <f>C104*D104*(1-VLOOKUP(A104,Orders!$A:$G,7,0))</f>
        <v>54.787199999999999</v>
      </c>
      <c r="J104" t="str">
        <f>VLOOKUP(A104,Orders!$A:$G,6,0)</f>
        <v>Lunch</v>
      </c>
      <c r="K104" t="str">
        <f>VLOOKUP(A104,Orders!$A:$G,5,0)</f>
        <v>Card</v>
      </c>
      <c r="L104">
        <f t="shared" si="1"/>
        <v>29.14</v>
      </c>
    </row>
    <row r="105" spans="1:12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  <c r="I105">
        <f>C105*D105*(1-VLOOKUP(A105,Orders!$A:$G,7,0))</f>
        <v>21.311999999999998</v>
      </c>
      <c r="J105" t="str">
        <f>VLOOKUP(A105,Orders!$A:$G,6,0)</f>
        <v>Lunch</v>
      </c>
      <c r="K105" t="str">
        <f>VLOOKUP(A105,Orders!$A:$G,5,0)</f>
        <v>Card</v>
      </c>
      <c r="L105">
        <f t="shared" si="1"/>
        <v>9.3800000000000008</v>
      </c>
    </row>
    <row r="106" spans="1:12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  <c r="I106">
        <f>C106*D106*(1-VLOOKUP(A106,Orders!$A:$G,7,0))</f>
        <v>218.50560000000002</v>
      </c>
      <c r="J106" t="str">
        <f>VLOOKUP(A106,Orders!$A:$G,6,0)</f>
        <v>Lunch</v>
      </c>
      <c r="K106" t="str">
        <f>VLOOKUP(A106,Orders!$A:$G,5,0)</f>
        <v>Card</v>
      </c>
      <c r="L106">
        <f t="shared" si="1"/>
        <v>96.22</v>
      </c>
    </row>
    <row r="107" spans="1:12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  <c r="I107">
        <f>C107*D107*(1-VLOOKUP(A107,Orders!$A:$G,7,0))</f>
        <v>52.032000000000004</v>
      </c>
      <c r="J107" t="str">
        <f>VLOOKUP(A107,Orders!$A:$G,6,0)</f>
        <v>Lunch</v>
      </c>
      <c r="K107" t="str">
        <f>VLOOKUP(A107,Orders!$A:$G,5,0)</f>
        <v>Card</v>
      </c>
      <c r="L107">
        <f t="shared" si="1"/>
        <v>21.95</v>
      </c>
    </row>
    <row r="108" spans="1:12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  <c r="I108">
        <f>C108*D108*(1-VLOOKUP(A108,Orders!$A:$G,7,0))</f>
        <v>21.533999999999999</v>
      </c>
      <c r="J108" t="str">
        <f>VLOOKUP(A108,Orders!$A:$G,6,0)</f>
        <v>Breakfast</v>
      </c>
      <c r="K108" t="str">
        <f>VLOOKUP(A108,Orders!$A:$G,5,0)</f>
        <v>Cash</v>
      </c>
      <c r="L108">
        <f t="shared" si="1"/>
        <v>9.3800000000000008</v>
      </c>
    </row>
    <row r="109" spans="1:12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  <c r="I109">
        <f>C109*D109*(1-VLOOKUP(A109,Orders!$A:$G,7,0))</f>
        <v>21.311999999999998</v>
      </c>
      <c r="J109" t="str">
        <f>VLOOKUP(A109,Orders!$A:$G,6,0)</f>
        <v>Breakfast</v>
      </c>
      <c r="K109" t="str">
        <f>VLOOKUP(A109,Orders!$A:$G,5,0)</f>
        <v>Cash</v>
      </c>
      <c r="L109">
        <f t="shared" si="1"/>
        <v>9.3800000000000008</v>
      </c>
    </row>
    <row r="110" spans="1:12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  <c r="I110">
        <f>C110*D110*(1-VLOOKUP(A110,Orders!$A:$G,7,0))</f>
        <v>50.352000000000004</v>
      </c>
      <c r="J110" t="str">
        <f>VLOOKUP(A110,Orders!$A:$G,6,0)</f>
        <v>Breakfast</v>
      </c>
      <c r="K110" t="str">
        <f>VLOOKUP(A110,Orders!$A:$G,5,0)</f>
        <v>Cash</v>
      </c>
      <c r="L110">
        <f t="shared" si="1"/>
        <v>25.8</v>
      </c>
    </row>
    <row r="111" spans="1:12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  <c r="I111">
        <f>C111*D111*(1-VLOOKUP(A111,Orders!$A:$G,7,0))</f>
        <v>67.718400000000003</v>
      </c>
      <c r="J111" t="str">
        <f>VLOOKUP(A111,Orders!$A:$G,6,0)</f>
        <v>Breakfast</v>
      </c>
      <c r="K111" t="str">
        <f>VLOOKUP(A111,Orders!$A:$G,5,0)</f>
        <v>Cash</v>
      </c>
      <c r="L111">
        <f t="shared" si="1"/>
        <v>35.81</v>
      </c>
    </row>
    <row r="112" spans="1:12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  <c r="I112">
        <f>C112*D112*(1-VLOOKUP(A112,Orders!$A:$G,7,0))</f>
        <v>54.296999999999997</v>
      </c>
      <c r="J112" t="str">
        <f>VLOOKUP(A112,Orders!$A:$G,6,0)</f>
        <v>Breakfast</v>
      </c>
      <c r="K112" t="str">
        <f>VLOOKUP(A112,Orders!$A:$G,5,0)</f>
        <v>Cash</v>
      </c>
      <c r="L112">
        <f t="shared" si="1"/>
        <v>24</v>
      </c>
    </row>
    <row r="113" spans="1:12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  <c r="I113">
        <f>C113*D113*(1-VLOOKUP(A113,Orders!$A:$G,7,0))</f>
        <v>59.363999999999997</v>
      </c>
      <c r="J113" t="str">
        <f>VLOOKUP(A113,Orders!$A:$G,6,0)</f>
        <v>Breakfast</v>
      </c>
      <c r="K113" t="str">
        <f>VLOOKUP(A113,Orders!$A:$G,5,0)</f>
        <v>Cash</v>
      </c>
      <c r="L113">
        <f t="shared" si="1"/>
        <v>23.68</v>
      </c>
    </row>
    <row r="114" spans="1:12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  <c r="I114">
        <f>C114*D114*(1-VLOOKUP(A114,Orders!$A:$G,7,0))</f>
        <v>210.24</v>
      </c>
      <c r="J114" t="str">
        <f>VLOOKUP(A114,Orders!$A:$G,6,0)</f>
        <v>Breakfast</v>
      </c>
      <c r="K114" t="str">
        <f>VLOOKUP(A114,Orders!$A:$G,5,0)</f>
        <v>Cash</v>
      </c>
      <c r="L114">
        <f t="shared" si="1"/>
        <v>97.94</v>
      </c>
    </row>
    <row r="115" spans="1:12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  <c r="I115">
        <f>C115*D115*(1-VLOOKUP(A115,Orders!$A:$G,7,0))</f>
        <v>37.153500000000001</v>
      </c>
      <c r="J115" t="str">
        <f>VLOOKUP(A115,Orders!$A:$G,6,0)</f>
        <v>Breakfast</v>
      </c>
      <c r="K115" t="str">
        <f>VLOOKUP(A115,Orders!$A:$G,5,0)</f>
        <v>Card</v>
      </c>
      <c r="L115">
        <f t="shared" si="1"/>
        <v>15.51</v>
      </c>
    </row>
    <row r="116" spans="1:12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  <c r="I116">
        <f>C116*D116*(1-VLOOKUP(A116,Orders!$A:$G,7,0))</f>
        <v>493.2672</v>
      </c>
      <c r="J116" t="str">
        <f>VLOOKUP(A116,Orders!$A:$G,6,0)</f>
        <v>Breakfast</v>
      </c>
      <c r="K116" t="str">
        <f>VLOOKUP(A116,Orders!$A:$G,5,0)</f>
        <v>UPI</v>
      </c>
      <c r="L116">
        <f t="shared" si="1"/>
        <v>242.48</v>
      </c>
    </row>
    <row r="117" spans="1:12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  <c r="I117">
        <f>C117*D117*(1-VLOOKUP(A117,Orders!$A:$G,7,0))</f>
        <v>50.352000000000004</v>
      </c>
      <c r="J117" t="str">
        <f>VLOOKUP(A117,Orders!$A:$G,6,0)</f>
        <v>Breakfast</v>
      </c>
      <c r="K117" t="str">
        <f>VLOOKUP(A117,Orders!$A:$G,5,0)</f>
        <v>UPI</v>
      </c>
      <c r="L117">
        <f t="shared" si="1"/>
        <v>25.8</v>
      </c>
    </row>
    <row r="118" spans="1:12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  <c r="I118">
        <f>C118*D118*(1-VLOOKUP(A118,Orders!$A:$G,7,0))</f>
        <v>52.032000000000004</v>
      </c>
      <c r="J118" t="str">
        <f>VLOOKUP(A118,Orders!$A:$G,6,0)</f>
        <v>Breakfast</v>
      </c>
      <c r="K118" t="str">
        <f>VLOOKUP(A118,Orders!$A:$G,5,0)</f>
        <v>UPI</v>
      </c>
      <c r="L118">
        <f t="shared" si="1"/>
        <v>21.95</v>
      </c>
    </row>
    <row r="119" spans="1:12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  <c r="I119">
        <f>C119*D119*(1-VLOOKUP(A119,Orders!$A:$G,7,0))</f>
        <v>35.0152</v>
      </c>
      <c r="J119" t="str">
        <f>VLOOKUP(A119,Orders!$A:$G,6,0)</f>
        <v>Breakfast</v>
      </c>
      <c r="K119" t="str">
        <f>VLOOKUP(A119,Orders!$A:$G,5,0)</f>
        <v>Cash</v>
      </c>
      <c r="L119">
        <f t="shared" si="1"/>
        <v>19.55</v>
      </c>
    </row>
    <row r="120" spans="1:12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  <c r="I120">
        <f>C120*D120*(1-VLOOKUP(A120,Orders!$A:$G,7,0))</f>
        <v>92.349599999999995</v>
      </c>
      <c r="J120" t="str">
        <f>VLOOKUP(A120,Orders!$A:$G,6,0)</f>
        <v>Breakfast</v>
      </c>
      <c r="K120" t="str">
        <f>VLOOKUP(A120,Orders!$A:$G,5,0)</f>
        <v>Cash</v>
      </c>
      <c r="L120">
        <f t="shared" si="1"/>
        <v>45.22</v>
      </c>
    </row>
    <row r="121" spans="1:12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  <c r="I121">
        <f>C121*D121*(1-VLOOKUP(A121,Orders!$A:$G,7,0))</f>
        <v>52.311199999999999</v>
      </c>
      <c r="J121" t="str">
        <f>VLOOKUP(A121,Orders!$A:$G,6,0)</f>
        <v>Breakfast</v>
      </c>
      <c r="K121" t="str">
        <f>VLOOKUP(A121,Orders!$A:$G,5,0)</f>
        <v>Cash</v>
      </c>
      <c r="L121">
        <f t="shared" si="1"/>
        <v>27.78</v>
      </c>
    </row>
    <row r="122" spans="1:12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  <c r="I122">
        <f>C122*D122*(1-VLOOKUP(A122,Orders!$A:$G,7,0))</f>
        <v>213.95339999999999</v>
      </c>
      <c r="J122" t="str">
        <f>VLOOKUP(A122,Orders!$A:$G,6,0)</f>
        <v>Lunch</v>
      </c>
      <c r="K122" t="str">
        <f>VLOOKUP(A122,Orders!$A:$G,5,0)</f>
        <v>Cash</v>
      </c>
      <c r="L122">
        <f t="shared" si="1"/>
        <v>96.22</v>
      </c>
    </row>
    <row r="123" spans="1:12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  <c r="I123">
        <f>C123*D123*(1-VLOOKUP(A123,Orders!$A:$G,7,0))</f>
        <v>62.002399999999987</v>
      </c>
      <c r="J123" t="str">
        <f>VLOOKUP(A123,Orders!$A:$G,6,0)</f>
        <v>Lunch</v>
      </c>
      <c r="K123" t="str">
        <f>VLOOKUP(A123,Orders!$A:$G,5,0)</f>
        <v>Cash</v>
      </c>
      <c r="L123">
        <f t="shared" si="1"/>
        <v>23.68</v>
      </c>
    </row>
    <row r="124" spans="1:12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  <c r="I124">
        <f>C124*D124*(1-VLOOKUP(A124,Orders!$A:$G,7,0))</f>
        <v>68.894999999999996</v>
      </c>
      <c r="J124" t="str">
        <f>VLOOKUP(A124,Orders!$A:$G,6,0)</f>
        <v>Breakfast</v>
      </c>
      <c r="K124" t="str">
        <f>VLOOKUP(A124,Orders!$A:$G,5,0)</f>
        <v>UPI</v>
      </c>
      <c r="L124">
        <f t="shared" si="1"/>
        <v>38.229999999999997</v>
      </c>
    </row>
    <row r="125" spans="1:12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  <c r="I125">
        <f>C125*D125*(1-VLOOKUP(A125,Orders!$A:$G,7,0))</f>
        <v>29.681999999999999</v>
      </c>
      <c r="J125" t="str">
        <f>VLOOKUP(A125,Orders!$A:$G,6,0)</f>
        <v>Breakfast</v>
      </c>
      <c r="K125" t="str">
        <f>VLOOKUP(A125,Orders!$A:$G,5,0)</f>
        <v>UPI</v>
      </c>
      <c r="L125">
        <f t="shared" si="1"/>
        <v>11.84</v>
      </c>
    </row>
    <row r="126" spans="1:12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  <c r="I126">
        <f>C126*D126*(1-VLOOKUP(A126,Orders!$A:$G,7,0))</f>
        <v>238.7073</v>
      </c>
      <c r="J126" t="str">
        <f>VLOOKUP(A126,Orders!$A:$G,6,0)</f>
        <v>Lunch</v>
      </c>
      <c r="K126" t="str">
        <f>VLOOKUP(A126,Orders!$A:$G,5,0)</f>
        <v>Cash</v>
      </c>
      <c r="L126">
        <f t="shared" si="1"/>
        <v>112.08</v>
      </c>
    </row>
    <row r="127" spans="1:12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  <c r="I127">
        <f>C127*D127*(1-VLOOKUP(A127,Orders!$A:$G,7,0))</f>
        <v>113.29599999999999</v>
      </c>
      <c r="J127" t="str">
        <f>VLOOKUP(A127,Orders!$A:$G,6,0)</f>
        <v>Lunch</v>
      </c>
      <c r="K127" t="str">
        <f>VLOOKUP(A127,Orders!$A:$G,5,0)</f>
        <v>Cash</v>
      </c>
      <c r="L127">
        <f t="shared" si="1"/>
        <v>48.97</v>
      </c>
    </row>
    <row r="128" spans="1:12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  <c r="I128">
        <f>C128*D128*(1-VLOOKUP(A128,Orders!$A:$G,7,0))</f>
        <v>222.76049999999998</v>
      </c>
      <c r="J128" t="str">
        <f>VLOOKUP(A128,Orders!$A:$G,6,0)</f>
        <v>Lunch</v>
      </c>
      <c r="K128" t="str">
        <f>VLOOKUP(A128,Orders!$A:$G,5,0)</f>
        <v>Cash</v>
      </c>
      <c r="L128">
        <f t="shared" si="1"/>
        <v>114.69</v>
      </c>
    </row>
    <row r="129" spans="1:12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  <c r="I129">
        <f>C129*D129*(1-VLOOKUP(A129,Orders!$A:$G,7,0))</f>
        <v>134.02600000000001</v>
      </c>
      <c r="J129" t="str">
        <f>VLOOKUP(A129,Orders!$A:$G,6,0)</f>
        <v>Breakfast</v>
      </c>
      <c r="K129" t="str">
        <f>VLOOKUP(A129,Orders!$A:$G,5,0)</f>
        <v>Cash</v>
      </c>
      <c r="L129">
        <f t="shared" si="1"/>
        <v>71.62</v>
      </c>
    </row>
    <row r="130" spans="1:12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  <c r="I130">
        <f>C130*D130*(1-VLOOKUP(A130,Orders!$A:$G,7,0))</f>
        <v>49.827500000000001</v>
      </c>
      <c r="J130" t="str">
        <f>VLOOKUP(A130,Orders!$A:$G,6,0)</f>
        <v>Breakfast</v>
      </c>
      <c r="K130" t="str">
        <f>VLOOKUP(A130,Orders!$A:$G,5,0)</f>
        <v>Cash</v>
      </c>
      <c r="L130">
        <f t="shared" ref="L130:L193" si="2">C130*E130</f>
        <v>25.8</v>
      </c>
    </row>
    <row r="131" spans="1:12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  <c r="I131">
        <f>C131*D131*(1-VLOOKUP(A131,Orders!$A:$G,7,0))</f>
        <v>100.70400000000001</v>
      </c>
      <c r="J131" t="str">
        <f>VLOOKUP(A131,Orders!$A:$G,6,0)</f>
        <v>Breakfast</v>
      </c>
      <c r="K131" t="str">
        <f>VLOOKUP(A131,Orders!$A:$G,5,0)</f>
        <v>UPI</v>
      </c>
      <c r="L131">
        <f t="shared" si="2"/>
        <v>51.6</v>
      </c>
    </row>
    <row r="132" spans="1:12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  <c r="I132">
        <f>C132*D132*(1-VLOOKUP(A132,Orders!$A:$G,7,0))</f>
        <v>38.06</v>
      </c>
      <c r="J132" t="str">
        <f>VLOOKUP(A132,Orders!$A:$G,6,0)</f>
        <v>Lunch</v>
      </c>
      <c r="K132" t="str">
        <f>VLOOKUP(A132,Orders!$A:$G,5,0)</f>
        <v>UPI</v>
      </c>
      <c r="L132">
        <f t="shared" si="2"/>
        <v>19.55</v>
      </c>
    </row>
    <row r="133" spans="1:12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  <c r="I133">
        <f>C133*D133*(1-VLOOKUP(A133,Orders!$A:$G,7,0))</f>
        <v>233.6</v>
      </c>
      <c r="J133" t="str">
        <f>VLOOKUP(A133,Orders!$A:$G,6,0)</f>
        <v>Lunch</v>
      </c>
      <c r="K133" t="str">
        <f>VLOOKUP(A133,Orders!$A:$G,5,0)</f>
        <v>UPI</v>
      </c>
      <c r="L133">
        <f t="shared" si="2"/>
        <v>97.94</v>
      </c>
    </row>
    <row r="134" spans="1:12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  <c r="I134">
        <f>C134*D134*(1-VLOOKUP(A134,Orders!$A:$G,7,0))</f>
        <v>477.8526</v>
      </c>
      <c r="J134" t="str">
        <f>VLOOKUP(A134,Orders!$A:$G,6,0)</f>
        <v>Dinner</v>
      </c>
      <c r="K134" t="str">
        <f>VLOOKUP(A134,Orders!$A:$G,5,0)</f>
        <v>UPI</v>
      </c>
      <c r="L134">
        <f t="shared" si="2"/>
        <v>242.48</v>
      </c>
    </row>
    <row r="135" spans="1:12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  <c r="I135">
        <f>C135*D135*(1-VLOOKUP(A135,Orders!$A:$G,7,0))</f>
        <v>228.86369999999999</v>
      </c>
      <c r="J135" t="str">
        <f>VLOOKUP(A135,Orders!$A:$G,6,0)</f>
        <v>Dinner</v>
      </c>
      <c r="K135" t="str">
        <f>VLOOKUP(A135,Orders!$A:$G,5,0)</f>
        <v>UPI</v>
      </c>
      <c r="L135">
        <f t="shared" si="2"/>
        <v>112.08</v>
      </c>
    </row>
    <row r="136" spans="1:12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  <c r="I136">
        <f>C136*D136*(1-VLOOKUP(A136,Orders!$A:$G,7,0))</f>
        <v>325.87199999999996</v>
      </c>
      <c r="J136" t="str">
        <f>VLOOKUP(A136,Orders!$A:$G,6,0)</f>
        <v>Lunch</v>
      </c>
      <c r="K136" t="str">
        <f>VLOOKUP(A136,Orders!$A:$G,5,0)</f>
        <v>Card</v>
      </c>
      <c r="L136">
        <f t="shared" si="2"/>
        <v>146.91</v>
      </c>
    </row>
    <row r="137" spans="1:12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  <c r="I137">
        <f>C137*D137*(1-VLOOKUP(A137,Orders!$A:$G,7,0))</f>
        <v>136.15199999999999</v>
      </c>
      <c r="J137" t="str">
        <f>VLOOKUP(A137,Orders!$A:$G,6,0)</f>
        <v>Lunch</v>
      </c>
      <c r="K137" t="str">
        <f>VLOOKUP(A137,Orders!$A:$G,5,0)</f>
        <v>Card</v>
      </c>
      <c r="L137">
        <f t="shared" si="2"/>
        <v>80.92</v>
      </c>
    </row>
    <row r="138" spans="1:12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  <c r="I138">
        <f>C138*D138*(1-VLOOKUP(A138,Orders!$A:$G,7,0))</f>
        <v>47.178599999999996</v>
      </c>
      <c r="J138" t="str">
        <f>VLOOKUP(A138,Orders!$A:$G,6,0)</f>
        <v>Breakfast</v>
      </c>
      <c r="K138" t="str">
        <f>VLOOKUP(A138,Orders!$A:$G,5,0)</f>
        <v>UPI</v>
      </c>
      <c r="L138">
        <f t="shared" si="2"/>
        <v>22.61</v>
      </c>
    </row>
    <row r="139" spans="1:12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  <c r="I139">
        <f>C139*D139*(1-VLOOKUP(A139,Orders!$A:$G,7,0))</f>
        <v>85.558799999999991</v>
      </c>
      <c r="J139" t="str">
        <f>VLOOKUP(A139,Orders!$A:$G,6,0)</f>
        <v>Breakfast</v>
      </c>
      <c r="K139" t="str">
        <f>VLOOKUP(A139,Orders!$A:$G,5,0)</f>
        <v>UPI</v>
      </c>
      <c r="L139">
        <f t="shared" si="2"/>
        <v>42.54</v>
      </c>
    </row>
    <row r="140" spans="1:12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  <c r="I140">
        <f>C140*D140*(1-VLOOKUP(A140,Orders!$A:$G,7,0))</f>
        <v>35.776400000000002</v>
      </c>
      <c r="J140" t="str">
        <f>VLOOKUP(A140,Orders!$A:$G,6,0)</f>
        <v>Breakfast</v>
      </c>
      <c r="K140" t="str">
        <f>VLOOKUP(A140,Orders!$A:$G,5,0)</f>
        <v>UPI</v>
      </c>
      <c r="L140">
        <f t="shared" si="2"/>
        <v>19.55</v>
      </c>
    </row>
    <row r="141" spans="1:12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  <c r="I141">
        <f>C141*D141*(1-VLOOKUP(A141,Orders!$A:$G,7,0))</f>
        <v>71.956999999999994</v>
      </c>
      <c r="J141" t="str">
        <f>VLOOKUP(A141,Orders!$A:$G,6,0)</f>
        <v>Breakfast</v>
      </c>
      <c r="K141" t="str">
        <f>VLOOKUP(A141,Orders!$A:$G,5,0)</f>
        <v>UPI</v>
      </c>
      <c r="L141">
        <f t="shared" si="2"/>
        <v>38.229999999999997</v>
      </c>
    </row>
    <row r="142" spans="1:12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  <c r="I142">
        <f>C142*D142*(1-VLOOKUP(A142,Orders!$A:$G,7,0))</f>
        <v>233.78549999999998</v>
      </c>
      <c r="J142" t="str">
        <f>VLOOKUP(A142,Orders!$A:$G,6,0)</f>
        <v>Dinner</v>
      </c>
      <c r="K142" t="str">
        <f>VLOOKUP(A142,Orders!$A:$G,5,0)</f>
        <v>Card</v>
      </c>
      <c r="L142">
        <f t="shared" si="2"/>
        <v>112.08</v>
      </c>
    </row>
    <row r="143" spans="1:12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  <c r="I143">
        <f>C143*D143*(1-VLOOKUP(A143,Orders!$A:$G,7,0))</f>
        <v>153.1</v>
      </c>
      <c r="J143" t="str">
        <f>VLOOKUP(A143,Orders!$A:$G,6,0)</f>
        <v>Lunch</v>
      </c>
      <c r="K143" t="str">
        <f>VLOOKUP(A143,Orders!$A:$G,5,0)</f>
        <v>UPI</v>
      </c>
      <c r="L143">
        <f t="shared" si="2"/>
        <v>76.459999999999994</v>
      </c>
    </row>
    <row r="144" spans="1:12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  <c r="I144">
        <f>C144*D144*(1-VLOOKUP(A144,Orders!$A:$G,7,0))</f>
        <v>54.2</v>
      </c>
      <c r="J144" t="str">
        <f>VLOOKUP(A144,Orders!$A:$G,6,0)</f>
        <v>Lunch</v>
      </c>
      <c r="K144" t="str">
        <f>VLOOKUP(A144,Orders!$A:$G,5,0)</f>
        <v>UPI</v>
      </c>
      <c r="L144">
        <f t="shared" si="2"/>
        <v>21.95</v>
      </c>
    </row>
    <row r="145" spans="1:12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  <c r="I145">
        <f>C145*D145*(1-VLOOKUP(A145,Orders!$A:$G,7,0))</f>
        <v>455.22</v>
      </c>
      <c r="J145" t="str">
        <f>VLOOKUP(A145,Orders!$A:$G,6,0)</f>
        <v>Lunch</v>
      </c>
      <c r="K145" t="str">
        <f>VLOOKUP(A145,Orders!$A:$G,5,0)</f>
        <v>UPI</v>
      </c>
      <c r="L145">
        <f t="shared" si="2"/>
        <v>192.44</v>
      </c>
    </row>
    <row r="146" spans="1:12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  <c r="I146">
        <f>C146*D146*(1-VLOOKUP(A146,Orders!$A:$G,7,0))</f>
        <v>327.99360000000001</v>
      </c>
      <c r="J146" t="str">
        <f>VLOOKUP(A146,Orders!$A:$G,6,0)</f>
        <v>Dinner</v>
      </c>
      <c r="K146" t="str">
        <f>VLOOKUP(A146,Orders!$A:$G,5,0)</f>
        <v>Card</v>
      </c>
      <c r="L146">
        <f t="shared" si="2"/>
        <v>148.13999999999999</v>
      </c>
    </row>
    <row r="147" spans="1:12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  <c r="I147">
        <f>C147*D147*(1-VLOOKUP(A147,Orders!$A:$G,7,0))</f>
        <v>246.6336</v>
      </c>
      <c r="J147" t="str">
        <f>VLOOKUP(A147,Orders!$A:$G,6,0)</f>
        <v>Dinner</v>
      </c>
      <c r="K147" t="str">
        <f>VLOOKUP(A147,Orders!$A:$G,5,0)</f>
        <v>Card</v>
      </c>
      <c r="L147">
        <f t="shared" si="2"/>
        <v>121.24</v>
      </c>
    </row>
    <row r="148" spans="1:12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  <c r="I148">
        <f>C148*D148*(1-VLOOKUP(A148,Orders!$A:$G,7,0))</f>
        <v>135.43680000000001</v>
      </c>
      <c r="J148" t="str">
        <f>VLOOKUP(A148,Orders!$A:$G,6,0)</f>
        <v>Dinner</v>
      </c>
      <c r="K148" t="str">
        <f>VLOOKUP(A148,Orders!$A:$G,5,0)</f>
        <v>Card</v>
      </c>
      <c r="L148">
        <f t="shared" si="2"/>
        <v>71.62</v>
      </c>
    </row>
    <row r="149" spans="1:12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  <c r="I149">
        <f>C149*D149*(1-VLOOKUP(A149,Orders!$A:$G,7,0))</f>
        <v>49.827500000000001</v>
      </c>
      <c r="J149" t="str">
        <f>VLOOKUP(A149,Orders!$A:$G,6,0)</f>
        <v>Breakfast</v>
      </c>
      <c r="K149" t="str">
        <f>VLOOKUP(A149,Orders!$A:$G,5,0)</f>
        <v>UPI</v>
      </c>
      <c r="L149">
        <f t="shared" si="2"/>
        <v>25.8</v>
      </c>
    </row>
    <row r="150" spans="1:12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  <c r="I150">
        <f>C150*D150*(1-VLOOKUP(A150,Orders!$A:$G,7,0))</f>
        <v>57.645999999999994</v>
      </c>
      <c r="J150" t="str">
        <f>VLOOKUP(A150,Orders!$A:$G,6,0)</f>
        <v>Breakfast</v>
      </c>
      <c r="K150" t="str">
        <f>VLOOKUP(A150,Orders!$A:$G,5,0)</f>
        <v>UPI</v>
      </c>
      <c r="L150">
        <f t="shared" si="2"/>
        <v>28.36</v>
      </c>
    </row>
    <row r="151" spans="1:12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  <c r="I151">
        <f>C151*D151*(1-VLOOKUP(A151,Orders!$A:$G,7,0))</f>
        <v>113.8575</v>
      </c>
      <c r="J151" t="str">
        <f>VLOOKUP(A151,Orders!$A:$G,6,0)</f>
        <v>Breakfast</v>
      </c>
      <c r="K151" t="str">
        <f>VLOOKUP(A151,Orders!$A:$G,5,0)</f>
        <v>UPI</v>
      </c>
      <c r="L151">
        <f t="shared" si="2"/>
        <v>46.53</v>
      </c>
    </row>
    <row r="152" spans="1:12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  <c r="I152">
        <f>C152*D152*(1-VLOOKUP(A152,Orders!$A:$G,7,0))</f>
        <v>31.330999999999996</v>
      </c>
      <c r="J152" t="str">
        <f>VLOOKUP(A152,Orders!$A:$G,6,0)</f>
        <v>Breakfast</v>
      </c>
      <c r="K152" t="str">
        <f>VLOOKUP(A152,Orders!$A:$G,5,0)</f>
        <v>UPI</v>
      </c>
      <c r="L152">
        <f t="shared" si="2"/>
        <v>11.84</v>
      </c>
    </row>
    <row r="153" spans="1:12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  <c r="I153">
        <f>C153*D153*(1-VLOOKUP(A153,Orders!$A:$G,7,0))</f>
        <v>226.59199999999998</v>
      </c>
      <c r="J153" t="str">
        <f>VLOOKUP(A153,Orders!$A:$G,6,0)</f>
        <v>Dinner</v>
      </c>
      <c r="K153" t="str">
        <f>VLOOKUP(A153,Orders!$A:$G,5,0)</f>
        <v>Cash</v>
      </c>
      <c r="L153">
        <f t="shared" si="2"/>
        <v>97.94</v>
      </c>
    </row>
    <row r="154" spans="1:12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  <c r="I154">
        <f>C154*D154*(1-VLOOKUP(A154,Orders!$A:$G,7,0))</f>
        <v>58.8596</v>
      </c>
      <c r="J154" t="str">
        <f>VLOOKUP(A154,Orders!$A:$G,6,0)</f>
        <v>Dinner</v>
      </c>
      <c r="K154" t="str">
        <f>VLOOKUP(A154,Orders!$A:$G,5,0)</f>
        <v>Cash</v>
      </c>
      <c r="L154">
        <f t="shared" si="2"/>
        <v>28.36</v>
      </c>
    </row>
    <row r="155" spans="1:12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  <c r="I155">
        <f>C155*D155*(1-VLOOKUP(A155,Orders!$A:$G,7,0))</f>
        <v>145.44499999999999</v>
      </c>
      <c r="J155" t="str">
        <f>VLOOKUP(A155,Orders!$A:$G,6,0)</f>
        <v>Dinner</v>
      </c>
      <c r="K155" t="str">
        <f>VLOOKUP(A155,Orders!$A:$G,5,0)</f>
        <v>UPI</v>
      </c>
      <c r="L155">
        <f t="shared" si="2"/>
        <v>76.459999999999994</v>
      </c>
    </row>
    <row r="156" spans="1:12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  <c r="I156">
        <f>C156*D156*(1-VLOOKUP(A156,Orders!$A:$G,7,0))</f>
        <v>18.501200000000001</v>
      </c>
      <c r="J156" t="str">
        <f>VLOOKUP(A156,Orders!$A:$G,6,0)</f>
        <v>Breakfast</v>
      </c>
      <c r="K156" t="str">
        <f>VLOOKUP(A156,Orders!$A:$G,5,0)</f>
        <v>Card</v>
      </c>
      <c r="L156">
        <f t="shared" si="2"/>
        <v>8</v>
      </c>
    </row>
    <row r="157" spans="1:12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  <c r="I157">
        <f>C157*D157*(1-VLOOKUP(A157,Orders!$A:$G,7,0))</f>
        <v>441.88520000000005</v>
      </c>
      <c r="J157" t="str">
        <f>VLOOKUP(A157,Orders!$A:$G,6,0)</f>
        <v>Lunch</v>
      </c>
      <c r="K157" t="str">
        <f>VLOOKUP(A157,Orders!$A:$G,5,0)</f>
        <v>Cash</v>
      </c>
      <c r="L157">
        <f t="shared" si="2"/>
        <v>242.48</v>
      </c>
    </row>
    <row r="158" spans="1:12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  <c r="I158">
        <f>C158*D158*(1-VLOOKUP(A158,Orders!$A:$G,7,0))</f>
        <v>121.32880000000002</v>
      </c>
      <c r="J158" t="str">
        <f>VLOOKUP(A158,Orders!$A:$G,6,0)</f>
        <v>Lunch</v>
      </c>
      <c r="K158" t="str">
        <f>VLOOKUP(A158,Orders!$A:$G,5,0)</f>
        <v>Cash</v>
      </c>
      <c r="L158">
        <f t="shared" si="2"/>
        <v>71.62</v>
      </c>
    </row>
    <row r="159" spans="1:12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  <c r="I159">
        <f>C159*D159*(1-VLOOKUP(A159,Orders!$A:$G,7,0))</f>
        <v>24.4498</v>
      </c>
      <c r="J159" t="str">
        <f>VLOOKUP(A159,Orders!$A:$G,6,0)</f>
        <v>Lunch</v>
      </c>
      <c r="K159" t="str">
        <f>VLOOKUP(A159,Orders!$A:$G,5,0)</f>
        <v>Cash</v>
      </c>
      <c r="L159">
        <f t="shared" si="2"/>
        <v>13.89</v>
      </c>
    </row>
    <row r="160" spans="1:12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  <c r="I160">
        <f>C160*D160*(1-VLOOKUP(A160,Orders!$A:$G,7,0))</f>
        <v>35.395800000000001</v>
      </c>
      <c r="J160" t="str">
        <f>VLOOKUP(A160,Orders!$A:$G,6,0)</f>
        <v>Breakfast</v>
      </c>
      <c r="K160" t="str">
        <f>VLOOKUP(A160,Orders!$A:$G,5,0)</f>
        <v>Card</v>
      </c>
      <c r="L160">
        <f t="shared" si="2"/>
        <v>19.55</v>
      </c>
    </row>
    <row r="161" spans="1:12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  <c r="I161">
        <f>C161*D161*(1-VLOOKUP(A161,Orders!$A:$G,7,0))</f>
        <v>408.45600000000002</v>
      </c>
      <c r="J161" t="str">
        <f>VLOOKUP(A161,Orders!$A:$G,6,0)</f>
        <v>Breakfast</v>
      </c>
      <c r="K161" t="str">
        <f>VLOOKUP(A161,Orders!$A:$G,5,0)</f>
        <v>Card</v>
      </c>
      <c r="L161">
        <f t="shared" si="2"/>
        <v>242.76</v>
      </c>
    </row>
    <row r="162" spans="1:12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  <c r="I162">
        <f>C162*D162*(1-VLOOKUP(A162,Orders!$A:$G,7,0))</f>
        <v>142.38299999999998</v>
      </c>
      <c r="J162" t="str">
        <f>VLOOKUP(A162,Orders!$A:$G,6,0)</f>
        <v>Breakfast</v>
      </c>
      <c r="K162" t="str">
        <f>VLOOKUP(A162,Orders!$A:$G,5,0)</f>
        <v>Card</v>
      </c>
      <c r="L162">
        <f t="shared" si="2"/>
        <v>76.459999999999994</v>
      </c>
    </row>
    <row r="163" spans="1:12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  <c r="I163">
        <f>C163*D163*(1-VLOOKUP(A163,Orders!$A:$G,7,0))</f>
        <v>423.3546</v>
      </c>
      <c r="J163" t="str">
        <f>VLOOKUP(A163,Orders!$A:$G,6,0)</f>
        <v>Breakfast</v>
      </c>
      <c r="K163" t="str">
        <f>VLOOKUP(A163,Orders!$A:$G,5,0)</f>
        <v>Card</v>
      </c>
      <c r="L163">
        <f t="shared" si="2"/>
        <v>192.44</v>
      </c>
    </row>
    <row r="164" spans="1:12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  <c r="I164">
        <f>C164*D164*(1-VLOOKUP(A164,Orders!$A:$G,7,0))</f>
        <v>65.602199999999996</v>
      </c>
      <c r="J164" t="str">
        <f>VLOOKUP(A164,Orders!$A:$G,6,0)</f>
        <v>Breakfast</v>
      </c>
      <c r="K164" t="str">
        <f>VLOOKUP(A164,Orders!$A:$G,5,0)</f>
        <v>UPI</v>
      </c>
      <c r="L164">
        <f t="shared" si="2"/>
        <v>35.81</v>
      </c>
    </row>
    <row r="165" spans="1:12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  <c r="I165">
        <f>C165*D165*(1-VLOOKUP(A165,Orders!$A:$G,7,0))</f>
        <v>26.439899999999998</v>
      </c>
      <c r="J165" t="str">
        <f>VLOOKUP(A165,Orders!$A:$G,6,0)</f>
        <v>Breakfast</v>
      </c>
      <c r="K165" t="str">
        <f>VLOOKUP(A165,Orders!$A:$G,5,0)</f>
        <v>UPI</v>
      </c>
      <c r="L165">
        <f t="shared" si="2"/>
        <v>13.89</v>
      </c>
    </row>
    <row r="166" spans="1:12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  <c r="I166">
        <f>C166*D166*(1-VLOOKUP(A166,Orders!$A:$G,7,0))</f>
        <v>28.216199999999997</v>
      </c>
      <c r="J166" t="str">
        <f>VLOOKUP(A166,Orders!$A:$G,6,0)</f>
        <v>Breakfast</v>
      </c>
      <c r="K166" t="str">
        <f>VLOOKUP(A166,Orders!$A:$G,5,0)</f>
        <v>UPI</v>
      </c>
      <c r="L166">
        <f t="shared" si="2"/>
        <v>14.18</v>
      </c>
    </row>
    <row r="167" spans="1:12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  <c r="I167">
        <f>C167*D167*(1-VLOOKUP(A167,Orders!$A:$G,7,0))</f>
        <v>217.24799999999999</v>
      </c>
      <c r="J167" t="str">
        <f>VLOOKUP(A167,Orders!$A:$G,6,0)</f>
        <v>Breakfast</v>
      </c>
      <c r="K167" t="str">
        <f>VLOOKUP(A167,Orders!$A:$G,5,0)</f>
        <v>UPI</v>
      </c>
      <c r="L167">
        <f t="shared" si="2"/>
        <v>97.94</v>
      </c>
    </row>
    <row r="168" spans="1:12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  <c r="I168">
        <f>C168*D168*(1-VLOOKUP(A168,Orders!$A:$G,7,0))</f>
        <v>160.58019999999999</v>
      </c>
      <c r="J168" t="str">
        <f>VLOOKUP(A168,Orders!$A:$G,6,0)</f>
        <v>Breakfast</v>
      </c>
      <c r="K168" t="str">
        <f>VLOOKUP(A168,Orders!$A:$G,5,0)</f>
        <v>Cash</v>
      </c>
      <c r="L168">
        <f t="shared" si="2"/>
        <v>74.069999999999993</v>
      </c>
    </row>
    <row r="169" spans="1:12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  <c r="I169">
        <f>C169*D169*(1-VLOOKUP(A169,Orders!$A:$G,7,0))</f>
        <v>47.178599999999996</v>
      </c>
      <c r="J169" t="str">
        <f>VLOOKUP(A169,Orders!$A:$G,6,0)</f>
        <v>Breakfast</v>
      </c>
      <c r="K169" t="str">
        <f>VLOOKUP(A169,Orders!$A:$G,5,0)</f>
        <v>Cash</v>
      </c>
      <c r="L169">
        <f t="shared" si="2"/>
        <v>22.61</v>
      </c>
    </row>
    <row r="170" spans="1:12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  <c r="I170">
        <f>C170*D170*(1-VLOOKUP(A170,Orders!$A:$G,7,0))</f>
        <v>28.519599999999997</v>
      </c>
      <c r="J170" t="str">
        <f>VLOOKUP(A170,Orders!$A:$G,6,0)</f>
        <v>Breakfast</v>
      </c>
      <c r="K170" t="str">
        <f>VLOOKUP(A170,Orders!$A:$G,5,0)</f>
        <v>Cash</v>
      </c>
      <c r="L170">
        <f t="shared" si="2"/>
        <v>14.18</v>
      </c>
    </row>
    <row r="171" spans="1:12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  <c r="I171">
        <f>C171*D171*(1-VLOOKUP(A171,Orders!$A:$G,7,0))</f>
        <v>137.61599999999999</v>
      </c>
      <c r="J171" t="str">
        <f>VLOOKUP(A171,Orders!$A:$G,6,0)</f>
        <v>Breakfast</v>
      </c>
      <c r="K171" t="str">
        <f>VLOOKUP(A171,Orders!$A:$G,5,0)</f>
        <v>Cash</v>
      </c>
      <c r="L171">
        <f t="shared" si="2"/>
        <v>80.92</v>
      </c>
    </row>
    <row r="172" spans="1:12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  <c r="I172">
        <f>C172*D172*(1-VLOOKUP(A172,Orders!$A:$G,7,0))</f>
        <v>738.27</v>
      </c>
      <c r="J172" t="str">
        <f>VLOOKUP(A172,Orders!$A:$G,6,0)</f>
        <v>Lunch</v>
      </c>
      <c r="K172" t="str">
        <f>VLOOKUP(A172,Orders!$A:$G,5,0)</f>
        <v>Cash</v>
      </c>
      <c r="L172">
        <f t="shared" si="2"/>
        <v>336.24</v>
      </c>
    </row>
    <row r="173" spans="1:12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  <c r="I173">
        <f>C173*D173*(1-VLOOKUP(A173,Orders!$A:$G,7,0))</f>
        <v>513.82000000000005</v>
      </c>
      <c r="J173" t="str">
        <f>VLOOKUP(A173,Orders!$A:$G,6,0)</f>
        <v>Lunch</v>
      </c>
      <c r="K173" t="str">
        <f>VLOOKUP(A173,Orders!$A:$G,5,0)</f>
        <v>Cash</v>
      </c>
      <c r="L173">
        <f t="shared" si="2"/>
        <v>242.48</v>
      </c>
    </row>
    <row r="174" spans="1:12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  <c r="I174">
        <f>C174*D174*(1-VLOOKUP(A174,Orders!$A:$G,7,0))</f>
        <v>141.08000000000001</v>
      </c>
      <c r="J174" t="str">
        <f>VLOOKUP(A174,Orders!$A:$G,6,0)</f>
        <v>Lunch</v>
      </c>
      <c r="K174" t="str">
        <f>VLOOKUP(A174,Orders!$A:$G,5,0)</f>
        <v>Cash</v>
      </c>
      <c r="L174">
        <f t="shared" si="2"/>
        <v>71.62</v>
      </c>
    </row>
    <row r="175" spans="1:12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  <c r="I175">
        <f>C175*D175*(1-VLOOKUP(A175,Orders!$A:$G,7,0))</f>
        <v>146.4</v>
      </c>
      <c r="J175" t="str">
        <f>VLOOKUP(A175,Orders!$A:$G,6,0)</f>
        <v>Lunch</v>
      </c>
      <c r="K175" t="str">
        <f>VLOOKUP(A175,Orders!$A:$G,5,0)</f>
        <v>Cash</v>
      </c>
      <c r="L175">
        <f t="shared" si="2"/>
        <v>80.92</v>
      </c>
    </row>
    <row r="176" spans="1:12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  <c r="I176">
        <f>C176*D176*(1-VLOOKUP(A176,Orders!$A:$G,7,0))</f>
        <v>56.710199999999993</v>
      </c>
      <c r="J176" t="str">
        <f>VLOOKUP(A176,Orders!$A:$G,6,0)</f>
        <v>Breakfast</v>
      </c>
      <c r="K176" t="str">
        <f>VLOOKUP(A176,Orders!$A:$G,5,0)</f>
        <v>Cash</v>
      </c>
      <c r="L176">
        <f t="shared" si="2"/>
        <v>24</v>
      </c>
    </row>
    <row r="177" spans="1:12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  <c r="I177">
        <f>C177*D177*(1-VLOOKUP(A177,Orders!$A:$G,7,0))</f>
        <v>160.58019999999999</v>
      </c>
      <c r="J177" t="str">
        <f>VLOOKUP(A177,Orders!$A:$G,6,0)</f>
        <v>Lunch</v>
      </c>
      <c r="K177" t="str">
        <f>VLOOKUP(A177,Orders!$A:$G,5,0)</f>
        <v>UPI</v>
      </c>
      <c r="L177">
        <f t="shared" si="2"/>
        <v>74.069999999999993</v>
      </c>
    </row>
    <row r="178" spans="1:12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  <c r="I178">
        <f>C178*D178*(1-VLOOKUP(A178,Orders!$A:$G,7,0))</f>
        <v>143.91399999999999</v>
      </c>
      <c r="J178" t="str">
        <f>VLOOKUP(A178,Orders!$A:$G,6,0)</f>
        <v>Lunch</v>
      </c>
      <c r="K178" t="str">
        <f>VLOOKUP(A178,Orders!$A:$G,5,0)</f>
        <v>UPI</v>
      </c>
      <c r="L178">
        <f t="shared" si="2"/>
        <v>76.459999999999994</v>
      </c>
    </row>
    <row r="179" spans="1:12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  <c r="I179">
        <f>C179*D179*(1-VLOOKUP(A179,Orders!$A:$G,7,0))</f>
        <v>286.99439999999998</v>
      </c>
      <c r="J179" t="str">
        <f>VLOOKUP(A179,Orders!$A:$G,6,0)</f>
        <v>Lunch</v>
      </c>
      <c r="K179" t="str">
        <f>VLOOKUP(A179,Orders!$A:$G,5,0)</f>
        <v>Card</v>
      </c>
      <c r="L179">
        <f t="shared" si="2"/>
        <v>148.13999999999999</v>
      </c>
    </row>
    <row r="180" spans="1:12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  <c r="I180">
        <f>C180*D180*(1-VLOOKUP(A180,Orders!$A:$G,7,0))</f>
        <v>25.485599999999998</v>
      </c>
      <c r="J180" t="str">
        <f>VLOOKUP(A180,Orders!$A:$G,6,0)</f>
        <v>Lunch</v>
      </c>
      <c r="K180" t="str">
        <f>VLOOKUP(A180,Orders!$A:$G,5,0)</f>
        <v>Card</v>
      </c>
      <c r="L180">
        <f t="shared" si="2"/>
        <v>14.18</v>
      </c>
    </row>
    <row r="181" spans="1:12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  <c r="I181">
        <f>C181*D181*(1-VLOOKUP(A181,Orders!$A:$G,7,0))</f>
        <v>23.8812</v>
      </c>
      <c r="J181" t="str">
        <f>VLOOKUP(A181,Orders!$A:$G,6,0)</f>
        <v>Lunch</v>
      </c>
      <c r="K181" t="str">
        <f>VLOOKUP(A181,Orders!$A:$G,5,0)</f>
        <v>Card</v>
      </c>
      <c r="L181">
        <f t="shared" si="2"/>
        <v>13.89</v>
      </c>
    </row>
    <row r="182" spans="1:12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  <c r="I182">
        <f>C182*D182*(1-VLOOKUP(A182,Orders!$A:$G,7,0))</f>
        <v>95.36099999999999</v>
      </c>
      <c r="J182" t="str">
        <f>VLOOKUP(A182,Orders!$A:$G,6,0)</f>
        <v>Dinner</v>
      </c>
      <c r="K182" t="str">
        <f>VLOOKUP(A182,Orders!$A:$G,5,0)</f>
        <v>Cash</v>
      </c>
      <c r="L182">
        <f t="shared" si="2"/>
        <v>45.22</v>
      </c>
    </row>
    <row r="183" spans="1:12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  <c r="I183">
        <f>C183*D183*(1-VLOOKUP(A183,Orders!$A:$G,7,0))</f>
        <v>20.645999999999997</v>
      </c>
      <c r="J183" t="str">
        <f>VLOOKUP(A183,Orders!$A:$G,6,0)</f>
        <v>Dinner</v>
      </c>
      <c r="K183" t="str">
        <f>VLOOKUP(A183,Orders!$A:$G,5,0)</f>
        <v>UPI</v>
      </c>
      <c r="L183">
        <f t="shared" si="2"/>
        <v>9.3800000000000008</v>
      </c>
    </row>
    <row r="184" spans="1:12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  <c r="I184">
        <f>C184*D184*(1-VLOOKUP(A184,Orders!$A:$G,7,0))</f>
        <v>48.778500000000001</v>
      </c>
      <c r="J184" t="str">
        <f>VLOOKUP(A184,Orders!$A:$G,6,0)</f>
        <v>Dinner</v>
      </c>
      <c r="K184" t="str">
        <f>VLOOKUP(A184,Orders!$A:$G,5,0)</f>
        <v>UPI</v>
      </c>
      <c r="L184">
        <f t="shared" si="2"/>
        <v>25.8</v>
      </c>
    </row>
    <row r="185" spans="1:12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  <c r="I185">
        <f>C185*D185*(1-VLOOKUP(A185,Orders!$A:$G,7,0))</f>
        <v>131.20439999999999</v>
      </c>
      <c r="J185" t="str">
        <f>VLOOKUP(A185,Orders!$A:$G,6,0)</f>
        <v>Dinner</v>
      </c>
      <c r="K185" t="str">
        <f>VLOOKUP(A185,Orders!$A:$G,5,0)</f>
        <v>UPI</v>
      </c>
      <c r="L185">
        <f t="shared" si="2"/>
        <v>71.62</v>
      </c>
    </row>
    <row r="186" spans="1:12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  <c r="I186">
        <f>C186*D186*(1-VLOOKUP(A186,Orders!$A:$G,7,0))</f>
        <v>635.03189999999995</v>
      </c>
      <c r="J186" t="str">
        <f>VLOOKUP(A186,Orders!$A:$G,6,0)</f>
        <v>Dinner</v>
      </c>
      <c r="K186" t="str">
        <f>VLOOKUP(A186,Orders!$A:$G,5,0)</f>
        <v>UPI</v>
      </c>
      <c r="L186">
        <f t="shared" si="2"/>
        <v>288.65999999999997</v>
      </c>
    </row>
    <row r="187" spans="1:12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  <c r="I187">
        <f>C187*D187*(1-VLOOKUP(A187,Orders!$A:$G,7,0))</f>
        <v>53.448399999999999</v>
      </c>
      <c r="J187" t="str">
        <f>VLOOKUP(A187,Orders!$A:$G,6,0)</f>
        <v>Dinner</v>
      </c>
      <c r="K187" t="str">
        <f>VLOOKUP(A187,Orders!$A:$G,5,0)</f>
        <v>Cash</v>
      </c>
      <c r="L187">
        <f t="shared" si="2"/>
        <v>27.78</v>
      </c>
    </row>
    <row r="188" spans="1:12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  <c r="I188">
        <f>C188*D188*(1-VLOOKUP(A188,Orders!$A:$G,7,0))</f>
        <v>275.23199999999997</v>
      </c>
      <c r="J188" t="str">
        <f>VLOOKUP(A188,Orders!$A:$G,6,0)</f>
        <v>Dinner</v>
      </c>
      <c r="K188" t="str">
        <f>VLOOKUP(A188,Orders!$A:$G,5,0)</f>
        <v>Cash</v>
      </c>
      <c r="L188">
        <f t="shared" si="2"/>
        <v>161.84</v>
      </c>
    </row>
    <row r="189" spans="1:12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  <c r="I189">
        <f>C189*D189*(1-VLOOKUP(A189,Orders!$A:$G,7,0))</f>
        <v>71.552800000000005</v>
      </c>
      <c r="J189" t="str">
        <f>VLOOKUP(A189,Orders!$A:$G,6,0)</f>
        <v>Dinner</v>
      </c>
      <c r="K189" t="str">
        <f>VLOOKUP(A189,Orders!$A:$G,5,0)</f>
        <v>Cash</v>
      </c>
      <c r="L189">
        <f t="shared" si="2"/>
        <v>39.1</v>
      </c>
    </row>
    <row r="190" spans="1:12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  <c r="I190">
        <f>C190*D190*(1-VLOOKUP(A190,Orders!$A:$G,7,0))</f>
        <v>112.65900000000001</v>
      </c>
      <c r="J190" t="str">
        <f>VLOOKUP(A190,Orders!$A:$G,6,0)</f>
        <v>Dinner</v>
      </c>
      <c r="K190" t="str">
        <f>VLOOKUP(A190,Orders!$A:$G,5,0)</f>
        <v>Cash</v>
      </c>
      <c r="L190">
        <f t="shared" si="2"/>
        <v>46.53</v>
      </c>
    </row>
    <row r="191" spans="1:12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  <c r="I191">
        <f>C191*D191*(1-VLOOKUP(A191,Orders!$A:$G,7,0))</f>
        <v>53.658000000000001</v>
      </c>
      <c r="J191" t="str">
        <f>VLOOKUP(A191,Orders!$A:$G,6,0)</f>
        <v>Dinner</v>
      </c>
      <c r="K191" t="str">
        <f>VLOOKUP(A191,Orders!$A:$G,5,0)</f>
        <v>Card</v>
      </c>
      <c r="L191">
        <f t="shared" si="2"/>
        <v>21.95</v>
      </c>
    </row>
    <row r="192" spans="1:12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  <c r="I192">
        <f>C192*D192*(1-VLOOKUP(A192,Orders!$A:$G,7,0))</f>
        <v>49.688099999999999</v>
      </c>
      <c r="J192" t="str">
        <f>VLOOKUP(A192,Orders!$A:$G,6,0)</f>
        <v>Dinner</v>
      </c>
      <c r="K192" t="str">
        <f>VLOOKUP(A192,Orders!$A:$G,5,0)</f>
        <v>Card</v>
      </c>
      <c r="L192">
        <f t="shared" si="2"/>
        <v>22.61</v>
      </c>
    </row>
    <row r="193" spans="1:12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  <c r="I193">
        <f>C193*D193*(1-VLOOKUP(A193,Orders!$A:$G,7,0))</f>
        <v>289.87200000000001</v>
      </c>
      <c r="J193" t="str">
        <f>VLOOKUP(A193,Orders!$A:$G,6,0)</f>
        <v>Dinner</v>
      </c>
      <c r="K193" t="str">
        <f>VLOOKUP(A193,Orders!$A:$G,5,0)</f>
        <v>Card</v>
      </c>
      <c r="L193">
        <f t="shared" si="2"/>
        <v>161.84</v>
      </c>
    </row>
    <row r="194" spans="1:12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  <c r="I194">
        <f>C194*D194*(1-VLOOKUP(A194,Orders!$A:$G,7,0))</f>
        <v>29.352199999999996</v>
      </c>
      <c r="J194" t="str">
        <f>VLOOKUP(A194,Orders!$A:$G,6,0)</f>
        <v>Lunch</v>
      </c>
      <c r="K194" t="str">
        <f>VLOOKUP(A194,Orders!$A:$G,5,0)</f>
        <v>UPI</v>
      </c>
      <c r="L194">
        <f t="shared" ref="L194:L257" si="3">C194*E194</f>
        <v>11.84</v>
      </c>
    </row>
    <row r="195" spans="1:12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  <c r="I195">
        <f>C195*D195*(1-VLOOKUP(A195,Orders!$A:$G,7,0))</f>
        <v>62.780600000000007</v>
      </c>
      <c r="J195" t="str">
        <f>VLOOKUP(A195,Orders!$A:$G,6,0)</f>
        <v>Lunch</v>
      </c>
      <c r="K195" t="str">
        <f>VLOOKUP(A195,Orders!$A:$G,5,0)</f>
        <v>UPI</v>
      </c>
      <c r="L195">
        <f t="shared" si="3"/>
        <v>35.81</v>
      </c>
    </row>
    <row r="196" spans="1:12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  <c r="I196">
        <f>C196*D196*(1-VLOOKUP(A196,Orders!$A:$G,7,0))</f>
        <v>45.672899999999998</v>
      </c>
      <c r="J196" t="str">
        <f>VLOOKUP(A196,Orders!$A:$G,6,0)</f>
        <v>Dinner</v>
      </c>
      <c r="K196" t="str">
        <f>VLOOKUP(A196,Orders!$A:$G,5,0)</f>
        <v>Card</v>
      </c>
      <c r="L196">
        <f t="shared" si="3"/>
        <v>22.61</v>
      </c>
    </row>
    <row r="197" spans="1:12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  <c r="I197">
        <f>C197*D197*(1-VLOOKUP(A197,Orders!$A:$G,7,0))</f>
        <v>90.035399999999996</v>
      </c>
      <c r="J197" t="str">
        <f>VLOOKUP(A197,Orders!$A:$G,6,0)</f>
        <v>Dinner</v>
      </c>
      <c r="K197" t="str">
        <f>VLOOKUP(A197,Orders!$A:$G,5,0)</f>
        <v>Card</v>
      </c>
      <c r="L197">
        <f t="shared" si="3"/>
        <v>35.519999999999996</v>
      </c>
    </row>
    <row r="198" spans="1:12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  <c r="I198">
        <f>C198*D198*(1-VLOOKUP(A198,Orders!$A:$G,7,0))</f>
        <v>34.634600000000006</v>
      </c>
      <c r="J198" t="str">
        <f>VLOOKUP(A198,Orders!$A:$G,6,0)</f>
        <v>Breakfast</v>
      </c>
      <c r="K198" t="str">
        <f>VLOOKUP(A198,Orders!$A:$G,5,0)</f>
        <v>Card</v>
      </c>
      <c r="L198">
        <f t="shared" si="3"/>
        <v>19.55</v>
      </c>
    </row>
    <row r="199" spans="1:12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  <c r="I199">
        <f>C199*D199*(1-VLOOKUP(A199,Orders!$A:$G,7,0))</f>
        <v>51.742600000000003</v>
      </c>
      <c r="J199" t="str">
        <f>VLOOKUP(A199,Orders!$A:$G,6,0)</f>
        <v>Breakfast</v>
      </c>
      <c r="K199" t="str">
        <f>VLOOKUP(A199,Orders!$A:$G,5,0)</f>
        <v>Card</v>
      </c>
      <c r="L199">
        <f t="shared" si="3"/>
        <v>27.78</v>
      </c>
    </row>
    <row r="200" spans="1:12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  <c r="I200">
        <f>C200*D200*(1-VLOOKUP(A200,Orders!$A:$G,7,0))</f>
        <v>43.512</v>
      </c>
      <c r="J200" t="str">
        <f>VLOOKUP(A200,Orders!$A:$G,6,0)</f>
        <v>Dinner</v>
      </c>
      <c r="K200" t="str">
        <f>VLOOKUP(A200,Orders!$A:$G,5,0)</f>
        <v>Cash</v>
      </c>
      <c r="L200">
        <f t="shared" si="3"/>
        <v>18.760000000000002</v>
      </c>
    </row>
    <row r="201" spans="1:12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  <c r="I201">
        <f>C201*D201*(1-VLOOKUP(A201,Orders!$A:$G,7,0))</f>
        <v>64.640799999999999</v>
      </c>
      <c r="J201" t="str">
        <f>VLOOKUP(A201,Orders!$A:$G,6,0)</f>
        <v>Dinner</v>
      </c>
      <c r="K201" t="str">
        <f>VLOOKUP(A201,Orders!$A:$G,5,0)</f>
        <v>Cash</v>
      </c>
      <c r="L201">
        <f t="shared" si="3"/>
        <v>23.68</v>
      </c>
    </row>
    <row r="202" spans="1:12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  <c r="I202">
        <f>C202*D202*(1-VLOOKUP(A202,Orders!$A:$G,7,0))</f>
        <v>251.77180000000001</v>
      </c>
      <c r="J202" t="str">
        <f>VLOOKUP(A202,Orders!$A:$G,6,0)</f>
        <v>Dinner</v>
      </c>
      <c r="K202" t="str">
        <f>VLOOKUP(A202,Orders!$A:$G,5,0)</f>
        <v>Cash</v>
      </c>
      <c r="L202">
        <f t="shared" si="3"/>
        <v>121.24</v>
      </c>
    </row>
    <row r="203" spans="1:12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  <c r="I203">
        <f>C203*D203*(1-VLOOKUP(A203,Orders!$A:$G,7,0))</f>
        <v>59.4664</v>
      </c>
      <c r="J203" t="str">
        <f>VLOOKUP(A203,Orders!$A:$G,6,0)</f>
        <v>Dinner</v>
      </c>
      <c r="K203" t="str">
        <f>VLOOKUP(A203,Orders!$A:$G,5,0)</f>
        <v>Cash</v>
      </c>
      <c r="L203">
        <f t="shared" si="3"/>
        <v>28.36</v>
      </c>
    </row>
    <row r="204" spans="1:12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  <c r="I204">
        <f>C204*D204*(1-VLOOKUP(A204,Orders!$A:$G,7,0))</f>
        <v>44.167200000000001</v>
      </c>
      <c r="J204" t="str">
        <f>VLOOKUP(A204,Orders!$A:$G,6,0)</f>
        <v>Breakfast</v>
      </c>
      <c r="K204" t="str">
        <f>VLOOKUP(A204,Orders!$A:$G,5,0)</f>
        <v>UPI</v>
      </c>
      <c r="L204">
        <f t="shared" si="3"/>
        <v>22.61</v>
      </c>
    </row>
    <row r="205" spans="1:12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  <c r="I205">
        <f>C205*D205*(1-VLOOKUP(A205,Orders!$A:$G,7,0))</f>
        <v>119.85000000000001</v>
      </c>
      <c r="J205" t="str">
        <f>VLOOKUP(A205,Orders!$A:$G,6,0)</f>
        <v>Breakfast</v>
      </c>
      <c r="K205" t="str">
        <f>VLOOKUP(A205,Orders!$A:$G,5,0)</f>
        <v>Cash</v>
      </c>
      <c r="L205">
        <f t="shared" si="3"/>
        <v>46.53</v>
      </c>
    </row>
    <row r="206" spans="1:12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  <c r="I206">
        <f>C206*D206*(1-VLOOKUP(A206,Orders!$A:$G,7,0))</f>
        <v>27.912800000000001</v>
      </c>
      <c r="J206" t="str">
        <f>VLOOKUP(A206,Orders!$A:$G,6,0)</f>
        <v>Breakfast</v>
      </c>
      <c r="K206" t="str">
        <f>VLOOKUP(A206,Orders!$A:$G,5,0)</f>
        <v>UPI</v>
      </c>
      <c r="L206">
        <f t="shared" si="3"/>
        <v>14.18</v>
      </c>
    </row>
    <row r="207" spans="1:12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  <c r="I207">
        <f>C207*D207*(1-VLOOKUP(A207,Orders!$A:$G,7,0))</f>
        <v>269.37600000000003</v>
      </c>
      <c r="J207" t="str">
        <f>VLOOKUP(A207,Orders!$A:$G,6,0)</f>
        <v>Breakfast</v>
      </c>
      <c r="K207" t="str">
        <f>VLOOKUP(A207,Orders!$A:$G,5,0)</f>
        <v>UPI</v>
      </c>
      <c r="L207">
        <f t="shared" si="3"/>
        <v>161.84</v>
      </c>
    </row>
    <row r="208" spans="1:12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  <c r="I208">
        <f>C208*D208*(1-VLOOKUP(A208,Orders!$A:$G,7,0))</f>
        <v>25.788999999999998</v>
      </c>
      <c r="J208" t="str">
        <f>VLOOKUP(A208,Orders!$A:$G,6,0)</f>
        <v>Dinner</v>
      </c>
      <c r="K208" t="str">
        <f>VLOOKUP(A208,Orders!$A:$G,5,0)</f>
        <v>Cash</v>
      </c>
      <c r="L208">
        <f t="shared" si="3"/>
        <v>14.18</v>
      </c>
    </row>
    <row r="209" spans="1:12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  <c r="I209">
        <f>C209*D209*(1-VLOOKUP(A209,Orders!$A:$G,7,0))</f>
        <v>130.13499999999999</v>
      </c>
      <c r="J209" t="str">
        <f>VLOOKUP(A209,Orders!$A:$G,6,0)</f>
        <v>Dinner</v>
      </c>
      <c r="K209" t="str">
        <f>VLOOKUP(A209,Orders!$A:$G,5,0)</f>
        <v>Cash</v>
      </c>
      <c r="L209">
        <f t="shared" si="3"/>
        <v>76.459999999999994</v>
      </c>
    </row>
    <row r="210" spans="1:12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  <c r="I210">
        <f>C210*D210*(1-VLOOKUP(A210,Orders!$A:$G,7,0))</f>
        <v>44.582500000000003</v>
      </c>
      <c r="J210" t="str">
        <f>VLOOKUP(A210,Orders!$A:$G,6,0)</f>
        <v>Dinner</v>
      </c>
      <c r="K210" t="str">
        <f>VLOOKUP(A210,Orders!$A:$G,5,0)</f>
        <v>Cash</v>
      </c>
      <c r="L210">
        <f t="shared" si="3"/>
        <v>25.8</v>
      </c>
    </row>
    <row r="211" spans="1:12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  <c r="I211">
        <f>C211*D211*(1-VLOOKUP(A211,Orders!$A:$G,7,0))</f>
        <v>53.116</v>
      </c>
      <c r="J211" t="str">
        <f>VLOOKUP(A211,Orders!$A:$G,6,0)</f>
        <v>Lunch</v>
      </c>
      <c r="K211" t="str">
        <f>VLOOKUP(A211,Orders!$A:$G,5,0)</f>
        <v>Card</v>
      </c>
      <c r="L211">
        <f t="shared" si="3"/>
        <v>21.95</v>
      </c>
    </row>
    <row r="212" spans="1:12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  <c r="I212">
        <f>C212*D212*(1-VLOOKUP(A212,Orders!$A:$G,7,0))</f>
        <v>98.372399999999999</v>
      </c>
      <c r="J212" t="str">
        <f>VLOOKUP(A212,Orders!$A:$G,6,0)</f>
        <v>Lunch</v>
      </c>
      <c r="K212" t="str">
        <f>VLOOKUP(A212,Orders!$A:$G,5,0)</f>
        <v>Card</v>
      </c>
      <c r="L212">
        <f t="shared" si="3"/>
        <v>45.22</v>
      </c>
    </row>
    <row r="213" spans="1:12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  <c r="I213">
        <f>C213*D213*(1-VLOOKUP(A213,Orders!$A:$G,7,0))</f>
        <v>31.660799999999995</v>
      </c>
      <c r="J213" t="str">
        <f>VLOOKUP(A213,Orders!$A:$G,6,0)</f>
        <v>Lunch</v>
      </c>
      <c r="K213" t="str">
        <f>VLOOKUP(A213,Orders!$A:$G,5,0)</f>
        <v>Card</v>
      </c>
      <c r="L213">
        <f t="shared" si="3"/>
        <v>11.84</v>
      </c>
    </row>
    <row r="214" spans="1:12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  <c r="I214">
        <f>C214*D214*(1-VLOOKUP(A214,Orders!$A:$G,7,0))</f>
        <v>146.976</v>
      </c>
      <c r="J214" t="str">
        <f>VLOOKUP(A214,Orders!$A:$G,6,0)</f>
        <v>Lunch</v>
      </c>
      <c r="K214" t="str">
        <f>VLOOKUP(A214,Orders!$A:$G,5,0)</f>
        <v>Card</v>
      </c>
      <c r="L214">
        <f t="shared" si="3"/>
        <v>76.459999999999994</v>
      </c>
    </row>
    <row r="215" spans="1:12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  <c r="I215">
        <f>C215*D215*(1-VLOOKUP(A215,Orders!$A:$G,7,0))</f>
        <v>98.605999999999995</v>
      </c>
      <c r="J215" t="str">
        <f>VLOOKUP(A215,Orders!$A:$G,6,0)</f>
        <v>Breakfast</v>
      </c>
      <c r="K215" t="str">
        <f>VLOOKUP(A215,Orders!$A:$G,5,0)</f>
        <v>UPI</v>
      </c>
      <c r="L215">
        <f t="shared" si="3"/>
        <v>51.6</v>
      </c>
    </row>
    <row r="216" spans="1:12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  <c r="I216">
        <f>C216*D216*(1-VLOOKUP(A216,Orders!$A:$G,7,0))</f>
        <v>20.867999999999999</v>
      </c>
      <c r="J216" t="str">
        <f>VLOOKUP(A216,Orders!$A:$G,6,0)</f>
        <v>Breakfast</v>
      </c>
      <c r="K216" t="str">
        <f>VLOOKUP(A216,Orders!$A:$G,5,0)</f>
        <v>UPI</v>
      </c>
      <c r="L216">
        <f t="shared" si="3"/>
        <v>9.3800000000000008</v>
      </c>
    </row>
    <row r="217" spans="1:12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  <c r="I217">
        <f>C217*D217*(1-VLOOKUP(A217,Orders!$A:$G,7,0))</f>
        <v>132.61520000000002</v>
      </c>
      <c r="J217" t="str">
        <f>VLOOKUP(A217,Orders!$A:$G,6,0)</f>
        <v>Breakfast</v>
      </c>
      <c r="K217" t="str">
        <f>VLOOKUP(A217,Orders!$A:$G,5,0)</f>
        <v>UPI</v>
      </c>
      <c r="L217">
        <f t="shared" si="3"/>
        <v>71.62</v>
      </c>
    </row>
    <row r="218" spans="1:12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  <c r="I218">
        <f>C218*D218*(1-VLOOKUP(A218,Orders!$A:$G,7,0))</f>
        <v>218.50560000000002</v>
      </c>
      <c r="J218" t="str">
        <f>VLOOKUP(A218,Orders!$A:$G,6,0)</f>
        <v>Breakfast</v>
      </c>
      <c r="K218" t="str">
        <f>VLOOKUP(A218,Orders!$A:$G,5,0)</f>
        <v>Cash</v>
      </c>
      <c r="L218">
        <f t="shared" si="3"/>
        <v>96.22</v>
      </c>
    </row>
    <row r="219" spans="1:12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  <c r="I219">
        <f>C219*D219*(1-VLOOKUP(A219,Orders!$A:$G,7,0))</f>
        <v>73.488</v>
      </c>
      <c r="J219" t="str">
        <f>VLOOKUP(A219,Orders!$A:$G,6,0)</f>
        <v>Breakfast</v>
      </c>
      <c r="K219" t="str">
        <f>VLOOKUP(A219,Orders!$A:$G,5,0)</f>
        <v>Cash</v>
      </c>
      <c r="L219">
        <f t="shared" si="3"/>
        <v>38.229999999999997</v>
      </c>
    </row>
    <row r="220" spans="1:12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  <c r="I220">
        <f>C220*D220*(1-VLOOKUP(A220,Orders!$A:$G,7,0))</f>
        <v>39.950000000000003</v>
      </c>
      <c r="J220" t="str">
        <f>VLOOKUP(A220,Orders!$A:$G,6,0)</f>
        <v>Dinner</v>
      </c>
      <c r="K220" t="str">
        <f>VLOOKUP(A220,Orders!$A:$G,5,0)</f>
        <v>Card</v>
      </c>
      <c r="L220">
        <f t="shared" si="3"/>
        <v>15.51</v>
      </c>
    </row>
    <row r="221" spans="1:12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  <c r="I221">
        <f>C221*D221*(1-VLOOKUP(A221,Orders!$A:$G,7,0))</f>
        <v>513.82000000000005</v>
      </c>
      <c r="J221" t="str">
        <f>VLOOKUP(A221,Orders!$A:$G,6,0)</f>
        <v>Dinner</v>
      </c>
      <c r="K221" t="str">
        <f>VLOOKUP(A221,Orders!$A:$G,5,0)</f>
        <v>Card</v>
      </c>
      <c r="L221">
        <f t="shared" si="3"/>
        <v>242.48</v>
      </c>
    </row>
    <row r="222" spans="1:12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  <c r="I222">
        <f>C222*D222*(1-VLOOKUP(A222,Orders!$A:$G,7,0))</f>
        <v>104.9</v>
      </c>
      <c r="J222" t="str">
        <f>VLOOKUP(A222,Orders!$A:$G,6,0)</f>
        <v>Dinner</v>
      </c>
      <c r="K222" t="str">
        <f>VLOOKUP(A222,Orders!$A:$G,5,0)</f>
        <v>Card</v>
      </c>
      <c r="L222">
        <f t="shared" si="3"/>
        <v>51.6</v>
      </c>
    </row>
    <row r="223" spans="1:12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  <c r="I223">
        <f>C223*D223*(1-VLOOKUP(A223,Orders!$A:$G,7,0))</f>
        <v>641.86019999999996</v>
      </c>
      <c r="J223" t="str">
        <f>VLOOKUP(A223,Orders!$A:$G,6,0)</f>
        <v>Dinner</v>
      </c>
      <c r="K223" t="str">
        <f>VLOOKUP(A223,Orders!$A:$G,5,0)</f>
        <v>Card</v>
      </c>
      <c r="L223">
        <f t="shared" si="3"/>
        <v>288.65999999999997</v>
      </c>
    </row>
    <row r="224" spans="1:12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  <c r="I224">
        <f>C224*D224*(1-VLOOKUP(A224,Orders!$A:$G,7,0))</f>
        <v>31.001199999999994</v>
      </c>
      <c r="J224" t="str">
        <f>VLOOKUP(A224,Orders!$A:$G,6,0)</f>
        <v>Dinner</v>
      </c>
      <c r="K224" t="str">
        <f>VLOOKUP(A224,Orders!$A:$G,5,0)</f>
        <v>Card</v>
      </c>
      <c r="L224">
        <f t="shared" si="3"/>
        <v>11.84</v>
      </c>
    </row>
    <row r="225" spans="1:12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  <c r="I225">
        <f>C225*D225*(1-VLOOKUP(A225,Orders!$A:$G,7,0))</f>
        <v>41.735999999999997</v>
      </c>
      <c r="J225" t="str">
        <f>VLOOKUP(A225,Orders!$A:$G,6,0)</f>
        <v>Dinner</v>
      </c>
      <c r="K225" t="str">
        <f>VLOOKUP(A225,Orders!$A:$G,5,0)</f>
        <v>Card</v>
      </c>
      <c r="L225">
        <f t="shared" si="3"/>
        <v>18.760000000000002</v>
      </c>
    </row>
    <row r="226" spans="1:12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  <c r="I226">
        <f>C226*D226*(1-VLOOKUP(A226,Orders!$A:$G,7,0))</f>
        <v>286.94400000000002</v>
      </c>
      <c r="J226" t="str">
        <f>VLOOKUP(A226,Orders!$A:$G,6,0)</f>
        <v>Breakfast</v>
      </c>
      <c r="K226" t="str">
        <f>VLOOKUP(A226,Orders!$A:$G,5,0)</f>
        <v>Cash</v>
      </c>
      <c r="L226">
        <f t="shared" si="3"/>
        <v>161.84</v>
      </c>
    </row>
    <row r="227" spans="1:12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  <c r="I227">
        <f>C227*D227*(1-VLOOKUP(A227,Orders!$A:$G,7,0))</f>
        <v>52.311199999999999</v>
      </c>
      <c r="J227" t="str">
        <f>VLOOKUP(A227,Orders!$A:$G,6,0)</f>
        <v>Breakfast</v>
      </c>
      <c r="K227" t="str">
        <f>VLOOKUP(A227,Orders!$A:$G,5,0)</f>
        <v>Cash</v>
      </c>
      <c r="L227">
        <f t="shared" si="3"/>
        <v>27.78</v>
      </c>
    </row>
    <row r="228" spans="1:12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  <c r="I228">
        <f>C228*D228*(1-VLOOKUP(A228,Orders!$A:$G,7,0))</f>
        <v>418.80240000000003</v>
      </c>
      <c r="J228" t="str">
        <f>VLOOKUP(A228,Orders!$A:$G,6,0)</f>
        <v>Breakfast</v>
      </c>
      <c r="K228" t="str">
        <f>VLOOKUP(A228,Orders!$A:$G,5,0)</f>
        <v>Cash</v>
      </c>
      <c r="L228">
        <f t="shared" si="3"/>
        <v>192.44</v>
      </c>
    </row>
    <row r="229" spans="1:12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  <c r="I229">
        <f>C229*D229*(1-VLOOKUP(A229,Orders!$A:$G,7,0))</f>
        <v>214.91200000000001</v>
      </c>
      <c r="J229" t="str">
        <f>VLOOKUP(A229,Orders!$A:$G,6,0)</f>
        <v>Breakfast</v>
      </c>
      <c r="K229" t="str">
        <f>VLOOKUP(A229,Orders!$A:$G,5,0)</f>
        <v>Cash</v>
      </c>
      <c r="L229">
        <f t="shared" si="3"/>
        <v>97.94</v>
      </c>
    </row>
    <row r="230" spans="1:12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  <c r="I230">
        <f>C230*D230*(1-VLOOKUP(A230,Orders!$A:$G,7,0))</f>
        <v>111.85719999999999</v>
      </c>
      <c r="J230" t="str">
        <f>VLOOKUP(A230,Orders!$A:$G,6,0)</f>
        <v>Breakfast</v>
      </c>
      <c r="K230" t="str">
        <f>VLOOKUP(A230,Orders!$A:$G,5,0)</f>
        <v>UPI</v>
      </c>
      <c r="L230">
        <f t="shared" si="3"/>
        <v>58.28</v>
      </c>
    </row>
    <row r="231" spans="1:12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  <c r="I231">
        <f>C231*D231*(1-VLOOKUP(A231,Orders!$A:$G,7,0))</f>
        <v>286.94400000000002</v>
      </c>
      <c r="J231" t="str">
        <f>VLOOKUP(A231,Orders!$A:$G,6,0)</f>
        <v>Breakfast</v>
      </c>
      <c r="K231" t="str">
        <f>VLOOKUP(A231,Orders!$A:$G,5,0)</f>
        <v>UPI</v>
      </c>
      <c r="L231">
        <f t="shared" si="3"/>
        <v>161.84</v>
      </c>
    </row>
    <row r="232" spans="1:12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  <c r="I232">
        <f>C232*D232*(1-VLOOKUP(A232,Orders!$A:$G,7,0))</f>
        <v>44.167200000000001</v>
      </c>
      <c r="J232" t="str">
        <f>VLOOKUP(A232,Orders!$A:$G,6,0)</f>
        <v>Breakfast</v>
      </c>
      <c r="K232" t="str">
        <f>VLOOKUP(A232,Orders!$A:$G,5,0)</f>
        <v>Cash</v>
      </c>
      <c r="L232">
        <f t="shared" si="3"/>
        <v>22.61</v>
      </c>
    </row>
    <row r="233" spans="1:12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  <c r="I233">
        <f>C233*D233*(1-VLOOKUP(A233,Orders!$A:$G,7,0))</f>
        <v>102.78399999999999</v>
      </c>
      <c r="J233" t="str">
        <f>VLOOKUP(A233,Orders!$A:$G,6,0)</f>
        <v>Breakfast</v>
      </c>
      <c r="K233" t="str">
        <f>VLOOKUP(A233,Orders!$A:$G,5,0)</f>
        <v>Cash</v>
      </c>
      <c r="L233">
        <f t="shared" si="3"/>
        <v>48.97</v>
      </c>
    </row>
    <row r="234" spans="1:12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  <c r="I234">
        <f>C234*D234*(1-VLOOKUP(A234,Orders!$A:$G,7,0))</f>
        <v>25.0184</v>
      </c>
      <c r="J234" t="str">
        <f>VLOOKUP(A234,Orders!$A:$G,6,0)</f>
        <v>Breakfast</v>
      </c>
      <c r="K234" t="str">
        <f>VLOOKUP(A234,Orders!$A:$G,5,0)</f>
        <v>Cash</v>
      </c>
      <c r="L234">
        <f t="shared" si="3"/>
        <v>13.89</v>
      </c>
    </row>
    <row r="235" spans="1:12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  <c r="I235">
        <f>C235*D235*(1-VLOOKUP(A235,Orders!$A:$G,7,0))</f>
        <v>77.503</v>
      </c>
      <c r="J235" t="str">
        <f>VLOOKUP(A235,Orders!$A:$G,6,0)</f>
        <v>Breakfast</v>
      </c>
      <c r="K235" t="str">
        <f>VLOOKUP(A235,Orders!$A:$G,5,0)</f>
        <v>UPI</v>
      </c>
      <c r="L235">
        <f t="shared" si="3"/>
        <v>31.02</v>
      </c>
    </row>
    <row r="236" spans="1:12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  <c r="I236">
        <f>C236*D236*(1-VLOOKUP(A236,Orders!$A:$G,7,0))</f>
        <v>662.3451</v>
      </c>
      <c r="J236" t="str">
        <f>VLOOKUP(A236,Orders!$A:$G,6,0)</f>
        <v>Breakfast</v>
      </c>
      <c r="K236" t="str">
        <f>VLOOKUP(A236,Orders!$A:$G,5,0)</f>
        <v>UPI</v>
      </c>
      <c r="L236">
        <f t="shared" si="3"/>
        <v>288.65999999999997</v>
      </c>
    </row>
    <row r="237" spans="1:12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  <c r="I237">
        <f>C237*D237*(1-VLOOKUP(A237,Orders!$A:$G,7,0))</f>
        <v>701.35649999999998</v>
      </c>
      <c r="J237" t="str">
        <f>VLOOKUP(A237,Orders!$A:$G,6,0)</f>
        <v>Breakfast</v>
      </c>
      <c r="K237" t="str">
        <f>VLOOKUP(A237,Orders!$A:$G,5,0)</f>
        <v>UPI</v>
      </c>
      <c r="L237">
        <f t="shared" si="3"/>
        <v>336.24</v>
      </c>
    </row>
    <row r="238" spans="1:12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  <c r="I238">
        <f>C238*D238*(1-VLOOKUP(A238,Orders!$A:$G,7,0))</f>
        <v>51.49</v>
      </c>
      <c r="J238" t="str">
        <f>VLOOKUP(A238,Orders!$A:$G,6,0)</f>
        <v>Breakfast</v>
      </c>
      <c r="K238" t="str">
        <f>VLOOKUP(A238,Orders!$A:$G,5,0)</f>
        <v>UPI</v>
      </c>
      <c r="L238">
        <f t="shared" si="3"/>
        <v>21.95</v>
      </c>
    </row>
    <row r="239" spans="1:12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  <c r="I239">
        <f>C239*D239*(1-VLOOKUP(A239,Orders!$A:$G,7,0))</f>
        <v>72.722499999999997</v>
      </c>
      <c r="J239" t="str">
        <f>VLOOKUP(A239,Orders!$A:$G,6,0)</f>
        <v>Breakfast</v>
      </c>
      <c r="K239" t="str">
        <f>VLOOKUP(A239,Orders!$A:$G,5,0)</f>
        <v>UPI</v>
      </c>
      <c r="L239">
        <f t="shared" si="3"/>
        <v>38.229999999999997</v>
      </c>
    </row>
    <row r="240" spans="1:12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  <c r="I240">
        <f>C240*D240*(1-VLOOKUP(A240,Orders!$A:$G,7,0))</f>
        <v>51.742600000000003</v>
      </c>
      <c r="J240" t="str">
        <f>VLOOKUP(A240,Orders!$A:$G,6,0)</f>
        <v>Breakfast</v>
      </c>
      <c r="K240" t="str">
        <f>VLOOKUP(A240,Orders!$A:$G,5,0)</f>
        <v>UPI</v>
      </c>
      <c r="L240">
        <f t="shared" si="3"/>
        <v>27.78</v>
      </c>
    </row>
    <row r="241" spans="1:12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  <c r="I241">
        <f>C241*D241*(1-VLOOKUP(A241,Orders!$A:$G,7,0))</f>
        <v>97.950599999999994</v>
      </c>
      <c r="J241" t="str">
        <f>VLOOKUP(A241,Orders!$A:$G,6,0)</f>
        <v>Breakfast</v>
      </c>
      <c r="K241" t="str">
        <f>VLOOKUP(A241,Orders!$A:$G,5,0)</f>
        <v>UPI</v>
      </c>
      <c r="L241">
        <f t="shared" si="3"/>
        <v>35.519999999999996</v>
      </c>
    </row>
    <row r="242" spans="1:12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  <c r="I242">
        <f>C242*D242*(1-VLOOKUP(A242,Orders!$A:$G,7,0))</f>
        <v>84.437099999999987</v>
      </c>
      <c r="J242" t="str">
        <f>VLOOKUP(A242,Orders!$A:$G,6,0)</f>
        <v>Breakfast</v>
      </c>
      <c r="K242" t="str">
        <f>VLOOKUP(A242,Orders!$A:$G,5,0)</f>
        <v>UPI</v>
      </c>
      <c r="L242">
        <f t="shared" si="3"/>
        <v>41.67</v>
      </c>
    </row>
    <row r="243" spans="1:12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  <c r="I243">
        <f>C243*D243*(1-VLOOKUP(A243,Orders!$A:$G,7,0))</f>
        <v>106.1502</v>
      </c>
      <c r="J243" t="str">
        <f>VLOOKUP(A243,Orders!$A:$G,6,0)</f>
        <v>Lunch</v>
      </c>
      <c r="K243" t="str">
        <f>VLOOKUP(A243,Orders!$A:$G,5,0)</f>
        <v>Card</v>
      </c>
      <c r="L243">
        <f t="shared" si="3"/>
        <v>58.28</v>
      </c>
    </row>
    <row r="244" spans="1:12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  <c r="I244">
        <f>C244*D244*(1-VLOOKUP(A244,Orders!$A:$G,7,0))</f>
        <v>136.15199999999999</v>
      </c>
      <c r="J244" t="str">
        <f>VLOOKUP(A244,Orders!$A:$G,6,0)</f>
        <v>Lunch</v>
      </c>
      <c r="K244" t="str">
        <f>VLOOKUP(A244,Orders!$A:$G,5,0)</f>
        <v>Card</v>
      </c>
      <c r="L244">
        <f t="shared" si="3"/>
        <v>80.92</v>
      </c>
    </row>
    <row r="245" spans="1:12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  <c r="I245">
        <f>C245*D245*(1-VLOOKUP(A245,Orders!$A:$G,7,0))</f>
        <v>89.338200000000001</v>
      </c>
      <c r="J245" t="str">
        <f>VLOOKUP(A245,Orders!$A:$G,6,0)</f>
        <v>Lunch</v>
      </c>
      <c r="K245" t="str">
        <f>VLOOKUP(A245,Orders!$A:$G,5,0)</f>
        <v>UPI</v>
      </c>
      <c r="L245">
        <f t="shared" si="3"/>
        <v>45.22</v>
      </c>
    </row>
    <row r="246" spans="1:12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  <c r="I246">
        <f>C246*D246*(1-VLOOKUP(A246,Orders!$A:$G,7,0))</f>
        <v>228.64990000000003</v>
      </c>
      <c r="J246" t="str">
        <f>VLOOKUP(A246,Orders!$A:$G,6,0)</f>
        <v>Lunch</v>
      </c>
      <c r="K246" t="str">
        <f>VLOOKUP(A246,Orders!$A:$G,5,0)</f>
        <v>UPI</v>
      </c>
      <c r="L246">
        <f t="shared" si="3"/>
        <v>121.24</v>
      </c>
    </row>
    <row r="247" spans="1:12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  <c r="I247">
        <f>C247*D247*(1-VLOOKUP(A247,Orders!$A:$G,7,0))</f>
        <v>30.34</v>
      </c>
      <c r="J247" t="str">
        <f>VLOOKUP(A247,Orders!$A:$G,6,0)</f>
        <v>Breakfast</v>
      </c>
      <c r="K247" t="str">
        <f>VLOOKUP(A247,Orders!$A:$G,5,0)</f>
        <v>UPI</v>
      </c>
      <c r="L247">
        <f t="shared" si="3"/>
        <v>14.18</v>
      </c>
    </row>
    <row r="248" spans="1:12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  <c r="I248">
        <f>C248*D248*(1-VLOOKUP(A248,Orders!$A:$G,7,0))</f>
        <v>70.540000000000006</v>
      </c>
      <c r="J248" t="str">
        <f>VLOOKUP(A248,Orders!$A:$G,6,0)</f>
        <v>Breakfast</v>
      </c>
      <c r="K248" t="str">
        <f>VLOOKUP(A248,Orders!$A:$G,5,0)</f>
        <v>UPI</v>
      </c>
      <c r="L248">
        <f t="shared" si="3"/>
        <v>35.81</v>
      </c>
    </row>
    <row r="249" spans="1:12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  <c r="I249">
        <f>C249*D249*(1-VLOOKUP(A249,Orders!$A:$G,7,0))</f>
        <v>39.950000000000003</v>
      </c>
      <c r="J249" t="str">
        <f>VLOOKUP(A249,Orders!$A:$G,6,0)</f>
        <v>Breakfast</v>
      </c>
      <c r="K249" t="str">
        <f>VLOOKUP(A249,Orders!$A:$G,5,0)</f>
        <v>UPI</v>
      </c>
      <c r="L249">
        <f t="shared" si="3"/>
        <v>15.51</v>
      </c>
    </row>
    <row r="250" spans="1:12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  <c r="I250">
        <f>C250*D250*(1-VLOOKUP(A250,Orders!$A:$G,7,0))</f>
        <v>70.791600000000003</v>
      </c>
      <c r="J250" t="str">
        <f>VLOOKUP(A250,Orders!$A:$G,6,0)</f>
        <v>Breakfast</v>
      </c>
      <c r="K250" t="str">
        <f>VLOOKUP(A250,Orders!$A:$G,5,0)</f>
        <v>UPI</v>
      </c>
      <c r="L250">
        <f t="shared" si="3"/>
        <v>39.1</v>
      </c>
    </row>
    <row r="251" spans="1:12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  <c r="I251">
        <f>C251*D251*(1-VLOOKUP(A251,Orders!$A:$G,7,0))</f>
        <v>131.20439999999999</v>
      </c>
      <c r="J251" t="str">
        <f>VLOOKUP(A251,Orders!$A:$G,6,0)</f>
        <v>Breakfast</v>
      </c>
      <c r="K251" t="str">
        <f>VLOOKUP(A251,Orders!$A:$G,5,0)</f>
        <v>UPI</v>
      </c>
      <c r="L251">
        <f t="shared" si="3"/>
        <v>71.62</v>
      </c>
    </row>
    <row r="252" spans="1:12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  <c r="I252">
        <f>C252*D252*(1-VLOOKUP(A252,Orders!$A:$G,7,0))</f>
        <v>49.322000000000003</v>
      </c>
      <c r="J252" t="str">
        <f>VLOOKUP(A252,Orders!$A:$G,6,0)</f>
        <v>Lunch</v>
      </c>
      <c r="K252" t="str">
        <f>VLOOKUP(A252,Orders!$A:$G,5,0)</f>
        <v>Cash</v>
      </c>
      <c r="L252">
        <f t="shared" si="3"/>
        <v>21.95</v>
      </c>
    </row>
    <row r="253" spans="1:12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  <c r="I253">
        <f>C253*D253*(1-VLOOKUP(A253,Orders!$A:$G,7,0))</f>
        <v>30.0366</v>
      </c>
      <c r="J253" t="str">
        <f>VLOOKUP(A253,Orders!$A:$G,6,0)</f>
        <v>Breakfast</v>
      </c>
      <c r="K253" t="str">
        <f>VLOOKUP(A253,Orders!$A:$G,5,0)</f>
        <v>UPI</v>
      </c>
      <c r="L253">
        <f t="shared" si="3"/>
        <v>14.18</v>
      </c>
    </row>
    <row r="254" spans="1:12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  <c r="I254">
        <f>C254*D254*(1-VLOOKUP(A254,Orders!$A:$G,7,0))</f>
        <v>113.0382</v>
      </c>
      <c r="J254" t="str">
        <f>VLOOKUP(A254,Orders!$A:$G,6,0)</f>
        <v>Lunch</v>
      </c>
      <c r="K254" t="str">
        <f>VLOOKUP(A254,Orders!$A:$G,5,0)</f>
        <v>UPI</v>
      </c>
      <c r="L254">
        <f t="shared" si="3"/>
        <v>58.650000000000006</v>
      </c>
    </row>
    <row r="255" spans="1:12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  <c r="I255">
        <f>C255*D255*(1-VLOOKUP(A255,Orders!$A:$G,7,0))</f>
        <v>56.291399999999996</v>
      </c>
      <c r="J255" t="str">
        <f>VLOOKUP(A255,Orders!$A:$G,6,0)</f>
        <v>Lunch</v>
      </c>
      <c r="K255" t="str">
        <f>VLOOKUP(A255,Orders!$A:$G,5,0)</f>
        <v>UPI</v>
      </c>
      <c r="L255">
        <f t="shared" si="3"/>
        <v>27.78</v>
      </c>
    </row>
    <row r="256" spans="1:12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  <c r="I256">
        <f>C256*D256*(1-VLOOKUP(A256,Orders!$A:$G,7,0))</f>
        <v>254.34090000000003</v>
      </c>
      <c r="J256" t="str">
        <f>VLOOKUP(A256,Orders!$A:$G,6,0)</f>
        <v>Lunch</v>
      </c>
      <c r="K256" t="str">
        <f>VLOOKUP(A256,Orders!$A:$G,5,0)</f>
        <v>UPI</v>
      </c>
      <c r="L256">
        <f t="shared" si="3"/>
        <v>121.24</v>
      </c>
    </row>
    <row r="257" spans="1:12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  <c r="I257">
        <f>C257*D257*(1-VLOOKUP(A257,Orders!$A:$G,7,0))</f>
        <v>37.002400000000002</v>
      </c>
      <c r="J257" t="str">
        <f>VLOOKUP(A257,Orders!$A:$G,6,0)</f>
        <v>Lunch</v>
      </c>
      <c r="K257" t="str">
        <f>VLOOKUP(A257,Orders!$A:$G,5,0)</f>
        <v>Card</v>
      </c>
      <c r="L257">
        <f t="shared" si="3"/>
        <v>16</v>
      </c>
    </row>
    <row r="258" spans="1:12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  <c r="I258">
        <f>C258*D258*(1-VLOOKUP(A258,Orders!$A:$G,7,0))</f>
        <v>20.423999999999999</v>
      </c>
      <c r="J258" t="str">
        <f>VLOOKUP(A258,Orders!$A:$G,6,0)</f>
        <v>Lunch</v>
      </c>
      <c r="K258" t="str">
        <f>VLOOKUP(A258,Orders!$A:$G,5,0)</f>
        <v>Card</v>
      </c>
      <c r="L258">
        <f t="shared" ref="L258:L321" si="4">C258*E258</f>
        <v>9.3800000000000008</v>
      </c>
    </row>
    <row r="259" spans="1:12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  <c r="I259">
        <f>C259*D259*(1-VLOOKUP(A259,Orders!$A:$G,7,0))</f>
        <v>71.191499999999991</v>
      </c>
      <c r="J259" t="str">
        <f>VLOOKUP(A259,Orders!$A:$G,6,0)</f>
        <v>Lunch</v>
      </c>
      <c r="K259" t="str">
        <f>VLOOKUP(A259,Orders!$A:$G,5,0)</f>
        <v>Card</v>
      </c>
      <c r="L259">
        <f t="shared" si="4"/>
        <v>38.229999999999997</v>
      </c>
    </row>
    <row r="260" spans="1:12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  <c r="I260">
        <f>C260*D260*(1-VLOOKUP(A260,Orders!$A:$G,7,0))</f>
        <v>26.439899999999998</v>
      </c>
      <c r="J260" t="str">
        <f>VLOOKUP(A260,Orders!$A:$G,6,0)</f>
        <v>Lunch</v>
      </c>
      <c r="K260" t="str">
        <f>VLOOKUP(A260,Orders!$A:$G,5,0)</f>
        <v>Card</v>
      </c>
      <c r="L260">
        <f t="shared" si="4"/>
        <v>13.89</v>
      </c>
    </row>
    <row r="261" spans="1:12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  <c r="I261">
        <f>C261*D261*(1-VLOOKUP(A261,Orders!$A:$G,7,0))</f>
        <v>65.602199999999996</v>
      </c>
      <c r="J261" t="str">
        <f>VLOOKUP(A261,Orders!$A:$G,6,0)</f>
        <v>Lunch</v>
      </c>
      <c r="K261" t="str">
        <f>VLOOKUP(A261,Orders!$A:$G,5,0)</f>
        <v>Card</v>
      </c>
      <c r="L261">
        <f t="shared" si="4"/>
        <v>35.81</v>
      </c>
    </row>
    <row r="262" spans="1:12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  <c r="I262">
        <f>C262*D262*(1-VLOOKUP(A262,Orders!$A:$G,7,0))</f>
        <v>37.153500000000001</v>
      </c>
      <c r="J262" t="str">
        <f>VLOOKUP(A262,Orders!$A:$G,6,0)</f>
        <v>Lunch</v>
      </c>
      <c r="K262" t="str">
        <f>VLOOKUP(A262,Orders!$A:$G,5,0)</f>
        <v>Card</v>
      </c>
      <c r="L262">
        <f t="shared" si="4"/>
        <v>15.51</v>
      </c>
    </row>
    <row r="263" spans="1:12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  <c r="I263">
        <f>C263*D263*(1-VLOOKUP(A263,Orders!$A:$G,7,0))</f>
        <v>56.432399999999994</v>
      </c>
      <c r="J263" t="str">
        <f>VLOOKUP(A263,Orders!$A:$G,6,0)</f>
        <v>Dinner</v>
      </c>
      <c r="K263" t="str">
        <f>VLOOKUP(A263,Orders!$A:$G,5,0)</f>
        <v>UPI</v>
      </c>
      <c r="L263">
        <f t="shared" si="4"/>
        <v>28.36</v>
      </c>
    </row>
    <row r="264" spans="1:12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  <c r="I264">
        <f>C264*D264*(1-VLOOKUP(A264,Orders!$A:$G,7,0))</f>
        <v>56.432399999999994</v>
      </c>
      <c r="J264" t="str">
        <f>VLOOKUP(A264,Orders!$A:$G,6,0)</f>
        <v>Dinner</v>
      </c>
      <c r="K264" t="str">
        <f>VLOOKUP(A264,Orders!$A:$G,5,0)</f>
        <v>Card</v>
      </c>
      <c r="L264">
        <f t="shared" si="4"/>
        <v>28.36</v>
      </c>
    </row>
    <row r="265" spans="1:12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  <c r="I265">
        <f>C265*D265*(1-VLOOKUP(A265,Orders!$A:$G,7,0))</f>
        <v>423.3546</v>
      </c>
      <c r="J265" t="str">
        <f>VLOOKUP(A265,Orders!$A:$G,6,0)</f>
        <v>Dinner</v>
      </c>
      <c r="K265" t="str">
        <f>VLOOKUP(A265,Orders!$A:$G,5,0)</f>
        <v>Card</v>
      </c>
      <c r="L265">
        <f t="shared" si="4"/>
        <v>192.44</v>
      </c>
    </row>
    <row r="266" spans="1:12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  <c r="I266">
        <f>C266*D266*(1-VLOOKUP(A266,Orders!$A:$G,7,0))</f>
        <v>53.075099999999999</v>
      </c>
      <c r="J266" t="str">
        <f>VLOOKUP(A266,Orders!$A:$G,6,0)</f>
        <v>Dinner</v>
      </c>
      <c r="K266" t="str">
        <f>VLOOKUP(A266,Orders!$A:$G,5,0)</f>
        <v>Card</v>
      </c>
      <c r="L266">
        <f t="shared" si="4"/>
        <v>29.14</v>
      </c>
    </row>
    <row r="267" spans="1:12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  <c r="I267">
        <f>C267*D267*(1-VLOOKUP(A267,Orders!$A:$G,7,0))</f>
        <v>228.86369999999999</v>
      </c>
      <c r="J267" t="str">
        <f>VLOOKUP(A267,Orders!$A:$G,6,0)</f>
        <v>Dinner</v>
      </c>
      <c r="K267" t="str">
        <f>VLOOKUP(A267,Orders!$A:$G,5,0)</f>
        <v>Card</v>
      </c>
      <c r="L267">
        <f t="shared" si="4"/>
        <v>112.08</v>
      </c>
    </row>
    <row r="268" spans="1:12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  <c r="I268">
        <f>C268*D268*(1-VLOOKUP(A268,Orders!$A:$G,7,0))</f>
        <v>284.01600000000002</v>
      </c>
      <c r="J268" t="str">
        <f>VLOOKUP(A268,Orders!$A:$G,6,0)</f>
        <v>Lunch</v>
      </c>
      <c r="K268" t="str">
        <f>VLOOKUP(A268,Orders!$A:$G,5,0)</f>
        <v>Card</v>
      </c>
      <c r="L268">
        <f t="shared" si="4"/>
        <v>161.84</v>
      </c>
    </row>
    <row r="269" spans="1:12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  <c r="I269">
        <f>C269*D269*(1-VLOOKUP(A269,Orders!$A:$G,7,0))</f>
        <v>31.990599999999997</v>
      </c>
      <c r="J269" t="str">
        <f>VLOOKUP(A269,Orders!$A:$G,6,0)</f>
        <v>Lunch</v>
      </c>
      <c r="K269" t="str">
        <f>VLOOKUP(A269,Orders!$A:$G,5,0)</f>
        <v>Card</v>
      </c>
      <c r="L269">
        <f t="shared" si="4"/>
        <v>11.84</v>
      </c>
    </row>
    <row r="270" spans="1:12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  <c r="I270">
        <f>C270*D270*(1-VLOOKUP(A270,Orders!$A:$G,7,0))</f>
        <v>19.506699999999999</v>
      </c>
      <c r="J270" t="str">
        <f>VLOOKUP(A270,Orders!$A:$G,6,0)</f>
        <v>Lunch</v>
      </c>
      <c r="K270" t="str">
        <f>VLOOKUP(A270,Orders!$A:$G,5,0)</f>
        <v>Card</v>
      </c>
      <c r="L270">
        <f t="shared" si="4"/>
        <v>8</v>
      </c>
    </row>
    <row r="271" spans="1:12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  <c r="I271">
        <f>C271*D271*(1-VLOOKUP(A271,Orders!$A:$G,7,0))</f>
        <v>108.624</v>
      </c>
      <c r="J271" t="str">
        <f>VLOOKUP(A271,Orders!$A:$G,6,0)</f>
        <v>Breakfast</v>
      </c>
      <c r="K271" t="str">
        <f>VLOOKUP(A271,Orders!$A:$G,5,0)</f>
        <v>Card</v>
      </c>
      <c r="L271">
        <f t="shared" si="4"/>
        <v>48.97</v>
      </c>
    </row>
    <row r="272" spans="1:12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  <c r="I272">
        <f>C272*D272*(1-VLOOKUP(A272,Orders!$A:$G,7,0))</f>
        <v>272.30399999999997</v>
      </c>
      <c r="J272" t="str">
        <f>VLOOKUP(A272,Orders!$A:$G,6,0)</f>
        <v>Breakfast</v>
      </c>
      <c r="K272" t="str">
        <f>VLOOKUP(A272,Orders!$A:$G,5,0)</f>
        <v>Card</v>
      </c>
      <c r="L272">
        <f t="shared" si="4"/>
        <v>161.84</v>
      </c>
    </row>
    <row r="273" spans="1:12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  <c r="I273">
        <f>C273*D273*(1-VLOOKUP(A273,Orders!$A:$G,7,0))</f>
        <v>28.216199999999997</v>
      </c>
      <c r="J273" t="str">
        <f>VLOOKUP(A273,Orders!$A:$G,6,0)</f>
        <v>Breakfast</v>
      </c>
      <c r="K273" t="str">
        <f>VLOOKUP(A273,Orders!$A:$G,5,0)</f>
        <v>Card</v>
      </c>
      <c r="L273">
        <f t="shared" si="4"/>
        <v>14.18</v>
      </c>
    </row>
    <row r="274" spans="1:12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  <c r="I274">
        <f>C274*D274*(1-VLOOKUP(A274,Orders!$A:$G,7,0))</f>
        <v>136.15199999999999</v>
      </c>
      <c r="J274" t="str">
        <f>VLOOKUP(A274,Orders!$A:$G,6,0)</f>
        <v>Breakfast</v>
      </c>
      <c r="K274" t="str">
        <f>VLOOKUP(A274,Orders!$A:$G,5,0)</f>
        <v>Cash</v>
      </c>
      <c r="L274">
        <f t="shared" si="4"/>
        <v>80.92</v>
      </c>
    </row>
    <row r="275" spans="1:12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  <c r="I275">
        <f>C275*D275*(1-VLOOKUP(A275,Orders!$A:$G,7,0))</f>
        <v>158.87190000000001</v>
      </c>
      <c r="J275" t="str">
        <f>VLOOKUP(A275,Orders!$A:$G,6,0)</f>
        <v>Breakfast</v>
      </c>
      <c r="K275" t="str">
        <f>VLOOKUP(A275,Orders!$A:$G,5,0)</f>
        <v>Cash</v>
      </c>
      <c r="L275">
        <f t="shared" si="4"/>
        <v>74.069999999999993</v>
      </c>
    </row>
    <row r="276" spans="1:12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  <c r="I276">
        <f>C276*D276*(1-VLOOKUP(A276,Orders!$A:$G,7,0))</f>
        <v>108.624</v>
      </c>
      <c r="J276" t="str">
        <f>VLOOKUP(A276,Orders!$A:$G,6,0)</f>
        <v>Breakfast</v>
      </c>
      <c r="K276" t="str">
        <f>VLOOKUP(A276,Orders!$A:$G,5,0)</f>
        <v>Cash</v>
      </c>
      <c r="L276">
        <f t="shared" si="4"/>
        <v>48.97</v>
      </c>
    </row>
    <row r="277" spans="1:12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  <c r="I277">
        <f>C277*D277*(1-VLOOKUP(A277,Orders!$A:$G,7,0))</f>
        <v>106.1502</v>
      </c>
      <c r="J277" t="str">
        <f>VLOOKUP(A277,Orders!$A:$G,6,0)</f>
        <v>Breakfast</v>
      </c>
      <c r="K277" t="str">
        <f>VLOOKUP(A277,Orders!$A:$G,5,0)</f>
        <v>Cash</v>
      </c>
      <c r="L277">
        <f t="shared" si="4"/>
        <v>58.28</v>
      </c>
    </row>
    <row r="278" spans="1:12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  <c r="I278">
        <f>C278*D278*(1-VLOOKUP(A278,Orders!$A:$G,7,0))</f>
        <v>146.05289999999999</v>
      </c>
      <c r="J278" t="str">
        <f>VLOOKUP(A278,Orders!$A:$G,6,0)</f>
        <v>Dinner</v>
      </c>
      <c r="K278" t="str">
        <f>VLOOKUP(A278,Orders!$A:$G,5,0)</f>
        <v>Cash</v>
      </c>
      <c r="L278">
        <f t="shared" si="4"/>
        <v>67.83</v>
      </c>
    </row>
    <row r="279" spans="1:12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  <c r="I279">
        <f>C279*D279*(1-VLOOKUP(A279,Orders!$A:$G,7,0))</f>
        <v>105.148</v>
      </c>
      <c r="J279" t="str">
        <f>VLOOKUP(A279,Orders!$A:$G,6,0)</f>
        <v>Dinner</v>
      </c>
      <c r="K279" t="str">
        <f>VLOOKUP(A279,Orders!$A:$G,5,0)</f>
        <v>Cash</v>
      </c>
      <c r="L279">
        <f t="shared" si="4"/>
        <v>43.9</v>
      </c>
    </row>
    <row r="280" spans="1:12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  <c r="I280">
        <f>C280*D280*(1-VLOOKUP(A280,Orders!$A:$G,7,0))</f>
        <v>428.19659999999999</v>
      </c>
      <c r="J280" t="str">
        <f>VLOOKUP(A280,Orders!$A:$G,6,0)</f>
        <v>Dinner</v>
      </c>
      <c r="K280" t="str">
        <f>VLOOKUP(A280,Orders!$A:$G,5,0)</f>
        <v>Cash</v>
      </c>
      <c r="L280">
        <f t="shared" si="4"/>
        <v>224.16</v>
      </c>
    </row>
    <row r="281" spans="1:12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  <c r="I281">
        <f>C281*D281*(1-VLOOKUP(A281,Orders!$A:$G,7,0))</f>
        <v>28.692599999999999</v>
      </c>
      <c r="J281" t="str">
        <f>VLOOKUP(A281,Orders!$A:$G,6,0)</f>
        <v>Dinner</v>
      </c>
      <c r="K281" t="str">
        <f>VLOOKUP(A281,Orders!$A:$G,5,0)</f>
        <v>Cash</v>
      </c>
      <c r="L281">
        <f t="shared" si="4"/>
        <v>11.84</v>
      </c>
    </row>
    <row r="282" spans="1:12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  <c r="I282">
        <f>C282*D282*(1-VLOOKUP(A282,Orders!$A:$G,7,0))</f>
        <v>199.79549999999998</v>
      </c>
      <c r="J282" t="str">
        <f>VLOOKUP(A282,Orders!$A:$G,6,0)</f>
        <v>Dinner</v>
      </c>
      <c r="K282" t="str">
        <f>VLOOKUP(A282,Orders!$A:$G,5,0)</f>
        <v>Cash</v>
      </c>
      <c r="L282">
        <f t="shared" si="4"/>
        <v>114.69</v>
      </c>
    </row>
    <row r="283" spans="1:12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  <c r="I283">
        <f>C283*D283*(1-VLOOKUP(A283,Orders!$A:$G,7,0))</f>
        <v>94.308000000000007</v>
      </c>
      <c r="J283" t="str">
        <f>VLOOKUP(A283,Orders!$A:$G,6,0)</f>
        <v>Dinner</v>
      </c>
      <c r="K283" t="str">
        <f>VLOOKUP(A283,Orders!$A:$G,5,0)</f>
        <v>Cash</v>
      </c>
      <c r="L283">
        <f t="shared" si="4"/>
        <v>43.9</v>
      </c>
    </row>
    <row r="284" spans="1:12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  <c r="I284">
        <f>C284*D284*(1-VLOOKUP(A284,Orders!$A:$G,7,0))</f>
        <v>110.26200000000001</v>
      </c>
      <c r="J284" t="str">
        <f>VLOOKUP(A284,Orders!$A:$G,6,0)</f>
        <v>Dinner</v>
      </c>
      <c r="K284" t="str">
        <f>VLOOKUP(A284,Orders!$A:$G,5,0)</f>
        <v>Cash</v>
      </c>
      <c r="L284">
        <f t="shared" si="4"/>
        <v>46.53</v>
      </c>
    </row>
    <row r="285" spans="1:12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  <c r="I285">
        <f>C285*D285*(1-VLOOKUP(A285,Orders!$A:$G,7,0))</f>
        <v>236.35720000000003</v>
      </c>
      <c r="J285" t="str">
        <f>VLOOKUP(A285,Orders!$A:$G,6,0)</f>
        <v>Dinner</v>
      </c>
      <c r="K285" t="str">
        <f>VLOOKUP(A285,Orders!$A:$G,5,0)</f>
        <v>Cash</v>
      </c>
      <c r="L285">
        <f t="shared" si="4"/>
        <v>121.24</v>
      </c>
    </row>
    <row r="286" spans="1:12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  <c r="I286">
        <f>C286*D286*(1-VLOOKUP(A286,Orders!$A:$G,7,0))</f>
        <v>30.3416</v>
      </c>
      <c r="J286" t="str">
        <f>VLOOKUP(A286,Orders!$A:$G,6,0)</f>
        <v>Dinner</v>
      </c>
      <c r="K286" t="str">
        <f>VLOOKUP(A286,Orders!$A:$G,5,0)</f>
        <v>Cash</v>
      </c>
      <c r="L286">
        <f t="shared" si="4"/>
        <v>11.84</v>
      </c>
    </row>
    <row r="287" spans="1:12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  <c r="I287">
        <f>C287*D287*(1-VLOOKUP(A287,Orders!$A:$G,7,0))</f>
        <v>231.26399999999998</v>
      </c>
      <c r="J287" t="str">
        <f>VLOOKUP(A287,Orders!$A:$G,6,0)</f>
        <v>Dinner</v>
      </c>
      <c r="K287" t="str">
        <f>VLOOKUP(A287,Orders!$A:$G,5,0)</f>
        <v>UPI</v>
      </c>
      <c r="L287">
        <f t="shared" si="4"/>
        <v>97.94</v>
      </c>
    </row>
    <row r="288" spans="1:12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  <c r="I288">
        <f>C288*D288*(1-VLOOKUP(A288,Orders!$A:$G,7,0))</f>
        <v>149.0643</v>
      </c>
      <c r="J288" t="str">
        <f>VLOOKUP(A288,Orders!$A:$G,6,0)</f>
        <v>Dinner</v>
      </c>
      <c r="K288" t="str">
        <f>VLOOKUP(A288,Orders!$A:$G,5,0)</f>
        <v>UPI</v>
      </c>
      <c r="L288">
        <f t="shared" si="4"/>
        <v>67.83</v>
      </c>
    </row>
    <row r="289" spans="1:12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  <c r="I289">
        <f>C289*D289*(1-VLOOKUP(A289,Orders!$A:$G,7,0))</f>
        <v>59.726700000000001</v>
      </c>
      <c r="J289" t="str">
        <f>VLOOKUP(A289,Orders!$A:$G,6,0)</f>
        <v>Dinner</v>
      </c>
      <c r="K289" t="str">
        <f>VLOOKUP(A289,Orders!$A:$G,5,0)</f>
        <v>UPI</v>
      </c>
      <c r="L289">
        <f t="shared" si="4"/>
        <v>24</v>
      </c>
    </row>
    <row r="290" spans="1:12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  <c r="I290">
        <f>C290*D290*(1-VLOOKUP(A290,Orders!$A:$G,7,0))</f>
        <v>227.35349999999997</v>
      </c>
      <c r="J290" t="str">
        <f>VLOOKUP(A290,Orders!$A:$G,6,0)</f>
        <v>Dinner</v>
      </c>
      <c r="K290" t="str">
        <f>VLOOKUP(A290,Orders!$A:$G,5,0)</f>
        <v>UPI</v>
      </c>
      <c r="L290">
        <f t="shared" si="4"/>
        <v>114.69</v>
      </c>
    </row>
    <row r="291" spans="1:12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  <c r="I291">
        <f>C291*D291*(1-VLOOKUP(A291,Orders!$A:$G,7,0))</f>
        <v>47.729500000000002</v>
      </c>
      <c r="J291" t="str">
        <f>VLOOKUP(A291,Orders!$A:$G,6,0)</f>
        <v>Lunch</v>
      </c>
      <c r="K291" t="str">
        <f>VLOOKUP(A291,Orders!$A:$G,5,0)</f>
        <v>UPI</v>
      </c>
      <c r="L291">
        <f t="shared" si="4"/>
        <v>25.8</v>
      </c>
    </row>
    <row r="292" spans="1:12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  <c r="I292">
        <f>C292*D292*(1-VLOOKUP(A292,Orders!$A:$G,7,0))</f>
        <v>69.129200000000012</v>
      </c>
      <c r="J292" t="str">
        <f>VLOOKUP(A292,Orders!$A:$G,6,0)</f>
        <v>Breakfast</v>
      </c>
      <c r="K292" t="str">
        <f>VLOOKUP(A292,Orders!$A:$G,5,0)</f>
        <v>Card</v>
      </c>
      <c r="L292">
        <f t="shared" si="4"/>
        <v>35.81</v>
      </c>
    </row>
    <row r="293" spans="1:12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  <c r="I293">
        <f>C293*D293*(1-VLOOKUP(A293,Orders!$A:$G,7,0))</f>
        <v>18.3001</v>
      </c>
      <c r="J293" t="str">
        <f>VLOOKUP(A293,Orders!$A:$G,6,0)</f>
        <v>Lunch</v>
      </c>
      <c r="K293" t="str">
        <f>VLOOKUP(A293,Orders!$A:$G,5,0)</f>
        <v>UPI</v>
      </c>
      <c r="L293">
        <f t="shared" si="4"/>
        <v>8</v>
      </c>
    </row>
    <row r="294" spans="1:12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  <c r="I294">
        <f>C294*D294*(1-VLOOKUP(A294,Orders!$A:$G,7,0))</f>
        <v>64.191400000000002</v>
      </c>
      <c r="J294" t="str">
        <f>VLOOKUP(A294,Orders!$A:$G,6,0)</f>
        <v>Lunch</v>
      </c>
      <c r="K294" t="str">
        <f>VLOOKUP(A294,Orders!$A:$G,5,0)</f>
        <v>UPI</v>
      </c>
      <c r="L294">
        <f t="shared" si="4"/>
        <v>35.81</v>
      </c>
    </row>
    <row r="295" spans="1:12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  <c r="I295">
        <f>C295*D295*(1-VLOOKUP(A295,Orders!$A:$G,7,0))</f>
        <v>311.85599999999999</v>
      </c>
      <c r="J295" t="str">
        <f>VLOOKUP(A295,Orders!$A:$G,6,0)</f>
        <v>Dinner</v>
      </c>
      <c r="K295" t="str">
        <f>VLOOKUP(A295,Orders!$A:$G,5,0)</f>
        <v>UPI</v>
      </c>
      <c r="L295">
        <f t="shared" si="4"/>
        <v>146.91</v>
      </c>
    </row>
    <row r="296" spans="1:12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  <c r="I296">
        <f>C296*D296*(1-VLOOKUP(A296,Orders!$A:$G,7,0))</f>
        <v>68.129499999999993</v>
      </c>
      <c r="J296" t="str">
        <f>VLOOKUP(A296,Orders!$A:$G,6,0)</f>
        <v>Dinner</v>
      </c>
      <c r="K296" t="str">
        <f>VLOOKUP(A296,Orders!$A:$G,5,0)</f>
        <v>UPI</v>
      </c>
      <c r="L296">
        <f t="shared" si="4"/>
        <v>38.229999999999997</v>
      </c>
    </row>
    <row r="297" spans="1:12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  <c r="I297">
        <f>C297*D297*(1-VLOOKUP(A297,Orders!$A:$G,7,0))</f>
        <v>67.746800000000007</v>
      </c>
      <c r="J297" t="str">
        <f>VLOOKUP(A297,Orders!$A:$G,6,0)</f>
        <v>Dinner</v>
      </c>
      <c r="K297" t="str">
        <f>VLOOKUP(A297,Orders!$A:$G,5,0)</f>
        <v>UPI</v>
      </c>
      <c r="L297">
        <f t="shared" si="4"/>
        <v>39.1</v>
      </c>
    </row>
    <row r="298" spans="1:12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  <c r="I298">
        <f>C298*D298*(1-VLOOKUP(A298,Orders!$A:$G,7,0))</f>
        <v>93.361000000000004</v>
      </c>
      <c r="J298" t="str">
        <f>VLOOKUP(A298,Orders!$A:$G,6,0)</f>
        <v>Dinner</v>
      </c>
      <c r="K298" t="str">
        <f>VLOOKUP(A298,Orders!$A:$G,5,0)</f>
        <v>UPI</v>
      </c>
      <c r="L298">
        <f t="shared" si="4"/>
        <v>51.6</v>
      </c>
    </row>
    <row r="299" spans="1:12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  <c r="I299">
        <f>C299*D299*(1-VLOOKUP(A299,Orders!$A:$G,7,0))</f>
        <v>249.20270000000002</v>
      </c>
      <c r="J299" t="str">
        <f>VLOOKUP(A299,Orders!$A:$G,6,0)</f>
        <v>Dinner</v>
      </c>
      <c r="K299" t="str">
        <f>VLOOKUP(A299,Orders!$A:$G,5,0)</f>
        <v>Card</v>
      </c>
      <c r="L299">
        <f t="shared" si="4"/>
        <v>121.24</v>
      </c>
    </row>
    <row r="300" spans="1:12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  <c r="I300">
        <f>C300*D300*(1-VLOOKUP(A300,Orders!$A:$G,7,0))</f>
        <v>29.4298</v>
      </c>
      <c r="J300" t="str">
        <f>VLOOKUP(A300,Orders!$A:$G,6,0)</f>
        <v>Dinner</v>
      </c>
      <c r="K300" t="str">
        <f>VLOOKUP(A300,Orders!$A:$G,5,0)</f>
        <v>Card</v>
      </c>
      <c r="L300">
        <f t="shared" si="4"/>
        <v>14.18</v>
      </c>
    </row>
    <row r="301" spans="1:12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  <c r="I301">
        <f>C301*D301*(1-VLOOKUP(A301,Orders!$A:$G,7,0))</f>
        <v>110.7158</v>
      </c>
      <c r="J301" t="str">
        <f>VLOOKUP(A301,Orders!$A:$G,6,0)</f>
        <v>Dinner</v>
      </c>
      <c r="K301" t="str">
        <f>VLOOKUP(A301,Orders!$A:$G,5,0)</f>
        <v>Card</v>
      </c>
      <c r="L301">
        <f t="shared" si="4"/>
        <v>58.28</v>
      </c>
    </row>
    <row r="302" spans="1:12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  <c r="I302">
        <f>C302*D302*(1-VLOOKUP(A302,Orders!$A:$G,7,0))</f>
        <v>226.59199999999998</v>
      </c>
      <c r="J302" t="str">
        <f>VLOOKUP(A302,Orders!$A:$G,6,0)</f>
        <v>Dinner</v>
      </c>
      <c r="K302" t="str">
        <f>VLOOKUP(A302,Orders!$A:$G,5,0)</f>
        <v>Card</v>
      </c>
      <c r="L302">
        <f t="shared" si="4"/>
        <v>97.94</v>
      </c>
    </row>
    <row r="303" spans="1:12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  <c r="I303">
        <f>C303*D303*(1-VLOOKUP(A303,Orders!$A:$G,7,0))</f>
        <v>131.76000000000002</v>
      </c>
      <c r="J303" t="str">
        <f>VLOOKUP(A303,Orders!$A:$G,6,0)</f>
        <v>Lunch</v>
      </c>
      <c r="K303" t="str">
        <f>VLOOKUP(A303,Orders!$A:$G,5,0)</f>
        <v>Card</v>
      </c>
      <c r="L303">
        <f t="shared" si="4"/>
        <v>80.92</v>
      </c>
    </row>
    <row r="304" spans="1:12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  <c r="I304">
        <f>C304*D304*(1-VLOOKUP(A304,Orders!$A:$G,7,0))</f>
        <v>664.44299999999998</v>
      </c>
      <c r="J304" t="str">
        <f>VLOOKUP(A304,Orders!$A:$G,6,0)</f>
        <v>Lunch</v>
      </c>
      <c r="K304" t="str">
        <f>VLOOKUP(A304,Orders!$A:$G,5,0)</f>
        <v>Card</v>
      </c>
      <c r="L304">
        <f t="shared" si="4"/>
        <v>336.24</v>
      </c>
    </row>
    <row r="305" spans="1:12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  <c r="I305">
        <f>C305*D305*(1-VLOOKUP(A305,Orders!$A:$G,7,0))</f>
        <v>141.61500000000004</v>
      </c>
      <c r="J305" t="str">
        <f>VLOOKUP(A305,Orders!$A:$G,6,0)</f>
        <v>Lunch</v>
      </c>
      <c r="K305" t="str">
        <f>VLOOKUP(A305,Orders!$A:$G,5,0)</f>
        <v>Card</v>
      </c>
      <c r="L305">
        <f t="shared" si="4"/>
        <v>77.400000000000006</v>
      </c>
    </row>
    <row r="306" spans="1:12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  <c r="I306">
        <f>C306*D306*(1-VLOOKUP(A306,Orders!$A:$G,7,0))</f>
        <v>48.78</v>
      </c>
      <c r="J306" t="str">
        <f>VLOOKUP(A306,Orders!$A:$G,6,0)</f>
        <v>Lunch</v>
      </c>
      <c r="K306" t="str">
        <f>VLOOKUP(A306,Orders!$A:$G,5,0)</f>
        <v>Card</v>
      </c>
      <c r="L306">
        <f t="shared" si="4"/>
        <v>21.95</v>
      </c>
    </row>
    <row r="307" spans="1:12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  <c r="I307">
        <f>C307*D307*(1-VLOOKUP(A307,Orders!$A:$G,7,0))</f>
        <v>322.36799999999999</v>
      </c>
      <c r="J307" t="str">
        <f>VLOOKUP(A307,Orders!$A:$G,6,0)</f>
        <v>Breakfast</v>
      </c>
      <c r="K307" t="str">
        <f>VLOOKUP(A307,Orders!$A:$G,5,0)</f>
        <v>Card</v>
      </c>
      <c r="L307">
        <f t="shared" si="4"/>
        <v>146.91</v>
      </c>
    </row>
    <row r="308" spans="1:12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  <c r="I308">
        <f>C308*D308*(1-VLOOKUP(A308,Orders!$A:$G,7,0))</f>
        <v>52.504400000000004</v>
      </c>
      <c r="J308" t="str">
        <f>VLOOKUP(A308,Orders!$A:$G,6,0)</f>
        <v>Breakfast</v>
      </c>
      <c r="K308" t="str">
        <f>VLOOKUP(A308,Orders!$A:$G,5,0)</f>
        <v>Card</v>
      </c>
      <c r="L308">
        <f t="shared" si="4"/>
        <v>29.14</v>
      </c>
    </row>
    <row r="309" spans="1:12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  <c r="I309">
        <f>C309*D309*(1-VLOOKUP(A309,Orders!$A:$G,7,0))</f>
        <v>30.3416</v>
      </c>
      <c r="J309" t="str">
        <f>VLOOKUP(A309,Orders!$A:$G,6,0)</f>
        <v>Breakfast</v>
      </c>
      <c r="K309" t="str">
        <f>VLOOKUP(A309,Orders!$A:$G,5,0)</f>
        <v>Card</v>
      </c>
      <c r="L309">
        <f t="shared" si="4"/>
        <v>11.84</v>
      </c>
    </row>
    <row r="310" spans="1:12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  <c r="I310">
        <f>C310*D310*(1-VLOOKUP(A310,Orders!$A:$G,7,0))</f>
        <v>452.80560000000003</v>
      </c>
      <c r="J310" t="str">
        <f>VLOOKUP(A310,Orders!$A:$G,6,0)</f>
        <v>Breakfast</v>
      </c>
      <c r="K310" t="str">
        <f>VLOOKUP(A310,Orders!$A:$G,5,0)</f>
        <v>Card</v>
      </c>
      <c r="L310">
        <f t="shared" si="4"/>
        <v>224.16</v>
      </c>
    </row>
    <row r="311" spans="1:12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  <c r="I311">
        <f>C311*D311*(1-VLOOKUP(A311,Orders!$A:$G,7,0))</f>
        <v>106.288</v>
      </c>
      <c r="J311" t="str">
        <f>VLOOKUP(A311,Orders!$A:$G,6,0)</f>
        <v>Lunch</v>
      </c>
      <c r="K311" t="str">
        <f>VLOOKUP(A311,Orders!$A:$G,5,0)</f>
        <v>UPI</v>
      </c>
      <c r="L311">
        <f t="shared" si="4"/>
        <v>48.97</v>
      </c>
    </row>
    <row r="312" spans="1:12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  <c r="I312">
        <f>C312*D312*(1-VLOOKUP(A312,Orders!$A:$G,7,0))</f>
        <v>49.322000000000003</v>
      </c>
      <c r="J312" t="str">
        <f>VLOOKUP(A312,Orders!$A:$G,6,0)</f>
        <v>Lunch</v>
      </c>
      <c r="K312" t="str">
        <f>VLOOKUP(A312,Orders!$A:$G,5,0)</f>
        <v>UPI</v>
      </c>
      <c r="L312">
        <f t="shared" si="4"/>
        <v>21.95</v>
      </c>
    </row>
    <row r="313" spans="1:12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  <c r="I313">
        <f>C313*D313*(1-VLOOKUP(A313,Orders!$A:$G,7,0))</f>
        <v>45.106999999999999</v>
      </c>
      <c r="J313" t="str">
        <f>VLOOKUP(A313,Orders!$A:$G,6,0)</f>
        <v>Dinner</v>
      </c>
      <c r="K313" t="str">
        <f>VLOOKUP(A313,Orders!$A:$G,5,0)</f>
        <v>UPI</v>
      </c>
      <c r="L313">
        <f t="shared" si="4"/>
        <v>25.8</v>
      </c>
    </row>
    <row r="314" spans="1:12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  <c r="I314">
        <f>C314*D314*(1-VLOOKUP(A314,Orders!$A:$G,7,0))</f>
        <v>125.904</v>
      </c>
      <c r="J314" t="str">
        <f>VLOOKUP(A314,Orders!$A:$G,6,0)</f>
        <v>Dinner</v>
      </c>
      <c r="K314" t="str">
        <f>VLOOKUP(A314,Orders!$A:$G,5,0)</f>
        <v>UPI</v>
      </c>
      <c r="L314">
        <f t="shared" si="4"/>
        <v>80.92</v>
      </c>
    </row>
    <row r="315" spans="1:12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  <c r="I315">
        <f>C315*D315*(1-VLOOKUP(A315,Orders!$A:$G,7,0))</f>
        <v>147.2406</v>
      </c>
      <c r="J315" t="str">
        <f>VLOOKUP(A315,Orders!$A:$G,6,0)</f>
        <v>Dinner</v>
      </c>
      <c r="K315" t="str">
        <f>VLOOKUP(A315,Orders!$A:$G,5,0)</f>
        <v>UPI</v>
      </c>
      <c r="L315">
        <f t="shared" si="4"/>
        <v>87.42</v>
      </c>
    </row>
    <row r="316" spans="1:12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  <c r="I316">
        <f>C316*D316*(1-VLOOKUP(A316,Orders!$A:$G,7,0))</f>
        <v>134.02600000000001</v>
      </c>
      <c r="J316" t="str">
        <f>VLOOKUP(A316,Orders!$A:$G,6,0)</f>
        <v>Lunch</v>
      </c>
      <c r="K316" t="str">
        <f>VLOOKUP(A316,Orders!$A:$G,5,0)</f>
        <v>Cash</v>
      </c>
      <c r="L316">
        <f t="shared" si="4"/>
        <v>71.62</v>
      </c>
    </row>
    <row r="317" spans="1:12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  <c r="I317">
        <f>C317*D317*(1-VLOOKUP(A317,Orders!$A:$G,7,0))</f>
        <v>57.645999999999994</v>
      </c>
      <c r="J317" t="str">
        <f>VLOOKUP(A317,Orders!$A:$G,6,0)</f>
        <v>Lunch</v>
      </c>
      <c r="K317" t="str">
        <f>VLOOKUP(A317,Orders!$A:$G,5,0)</f>
        <v>Cash</v>
      </c>
      <c r="L317">
        <f t="shared" si="4"/>
        <v>28.36</v>
      </c>
    </row>
    <row r="318" spans="1:12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  <c r="I318">
        <f>C318*D318*(1-VLOOKUP(A318,Orders!$A:$G,7,0))</f>
        <v>136.8476</v>
      </c>
      <c r="J318" t="str">
        <f>VLOOKUP(A318,Orders!$A:$G,6,0)</f>
        <v>Dinner</v>
      </c>
      <c r="K318" t="str">
        <f>VLOOKUP(A318,Orders!$A:$G,5,0)</f>
        <v>Card</v>
      </c>
      <c r="L318">
        <f t="shared" si="4"/>
        <v>71.62</v>
      </c>
    </row>
    <row r="319" spans="1:12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  <c r="I319">
        <f>C319*D319*(1-VLOOKUP(A319,Orders!$A:$G,7,0))</f>
        <v>498.40540000000004</v>
      </c>
      <c r="J319" t="str">
        <f>VLOOKUP(A319,Orders!$A:$G,6,0)</f>
        <v>Dinner</v>
      </c>
      <c r="K319" t="str">
        <f>VLOOKUP(A319,Orders!$A:$G,5,0)</f>
        <v>Card</v>
      </c>
      <c r="L319">
        <f t="shared" si="4"/>
        <v>242.48</v>
      </c>
    </row>
    <row r="320" spans="1:12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  <c r="I320">
        <f>C320*D320*(1-VLOOKUP(A320,Orders!$A:$G,7,0))</f>
        <v>63.981199999999994</v>
      </c>
      <c r="J320" t="str">
        <f>VLOOKUP(A320,Orders!$A:$G,6,0)</f>
        <v>Dinner</v>
      </c>
      <c r="K320" t="str">
        <f>VLOOKUP(A320,Orders!$A:$G,5,0)</f>
        <v>Card</v>
      </c>
      <c r="L320">
        <f t="shared" si="4"/>
        <v>23.68</v>
      </c>
    </row>
    <row r="321" spans="1:12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  <c r="I321">
        <f>C321*D321*(1-VLOOKUP(A321,Orders!$A:$G,7,0))</f>
        <v>334.82679999999999</v>
      </c>
      <c r="J321" t="str">
        <f>VLOOKUP(A321,Orders!$A:$G,6,0)</f>
        <v>Breakfast</v>
      </c>
      <c r="K321" t="str">
        <f>VLOOKUP(A321,Orders!$A:$G,5,0)</f>
        <v>Card</v>
      </c>
      <c r="L321">
        <f t="shared" si="4"/>
        <v>148.13999999999999</v>
      </c>
    </row>
    <row r="322" spans="1:12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  <c r="I322">
        <f>C322*D322*(1-VLOOKUP(A322,Orders!$A:$G,7,0))</f>
        <v>159.34800000000001</v>
      </c>
      <c r="J322" t="str">
        <f>VLOOKUP(A322,Orders!$A:$G,6,0)</f>
        <v>Breakfast</v>
      </c>
      <c r="K322" t="str">
        <f>VLOOKUP(A322,Orders!$A:$G,5,0)</f>
        <v>Card</v>
      </c>
      <c r="L322">
        <f t="shared" ref="L322:L385" si="5">C322*E322</f>
        <v>65.849999999999994</v>
      </c>
    </row>
    <row r="323" spans="1:12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  <c r="I323">
        <f>C323*D323*(1-VLOOKUP(A323,Orders!$A:$G,7,0))</f>
        <v>241.16820000000001</v>
      </c>
      <c r="J323" t="str">
        <f>VLOOKUP(A323,Orders!$A:$G,6,0)</f>
        <v>Breakfast</v>
      </c>
      <c r="K323" t="str">
        <f>VLOOKUP(A323,Orders!$A:$G,5,0)</f>
        <v>Card</v>
      </c>
      <c r="L323">
        <f t="shared" si="5"/>
        <v>112.08</v>
      </c>
    </row>
    <row r="324" spans="1:12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  <c r="I324">
        <f>C324*D324*(1-VLOOKUP(A324,Orders!$A:$G,7,0))</f>
        <v>113.29599999999999</v>
      </c>
      <c r="J324" t="str">
        <f>VLOOKUP(A324,Orders!$A:$G,6,0)</f>
        <v>Breakfast</v>
      </c>
      <c r="K324" t="str">
        <f>VLOOKUP(A324,Orders!$A:$G,5,0)</f>
        <v>Card</v>
      </c>
      <c r="L324">
        <f t="shared" si="5"/>
        <v>48.97</v>
      </c>
    </row>
    <row r="325" spans="1:12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  <c r="I325">
        <f>C325*D325*(1-VLOOKUP(A325,Orders!$A:$G,7,0))</f>
        <v>222.76049999999998</v>
      </c>
      <c r="J325" t="str">
        <f>VLOOKUP(A325,Orders!$A:$G,6,0)</f>
        <v>Breakfast</v>
      </c>
      <c r="K325" t="str">
        <f>VLOOKUP(A325,Orders!$A:$G,5,0)</f>
        <v>Card</v>
      </c>
      <c r="L325">
        <f t="shared" si="5"/>
        <v>114.69</v>
      </c>
    </row>
    <row r="326" spans="1:12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  <c r="I326">
        <f>C326*D326*(1-VLOOKUP(A326,Orders!$A:$G,7,0))</f>
        <v>68.4238</v>
      </c>
      <c r="J326" t="str">
        <f>VLOOKUP(A326,Orders!$A:$G,6,0)</f>
        <v>Breakfast</v>
      </c>
      <c r="K326" t="str">
        <f>VLOOKUP(A326,Orders!$A:$G,5,0)</f>
        <v>Card</v>
      </c>
      <c r="L326">
        <f t="shared" si="5"/>
        <v>35.81</v>
      </c>
    </row>
    <row r="327" spans="1:12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  <c r="I327">
        <f>C327*D327*(1-VLOOKUP(A327,Orders!$A:$G,7,0))</f>
        <v>241.49540000000002</v>
      </c>
      <c r="J327" t="str">
        <f>VLOOKUP(A327,Orders!$A:$G,6,0)</f>
        <v>Breakfast</v>
      </c>
      <c r="K327" t="str">
        <f>VLOOKUP(A327,Orders!$A:$G,5,0)</f>
        <v>Cash</v>
      </c>
      <c r="L327">
        <f t="shared" si="5"/>
        <v>121.24</v>
      </c>
    </row>
    <row r="328" spans="1:12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  <c r="I328">
        <f>C328*D328*(1-VLOOKUP(A328,Orders!$A:$G,7,0))</f>
        <v>137.61599999999999</v>
      </c>
      <c r="J328" t="str">
        <f>VLOOKUP(A328,Orders!$A:$G,6,0)</f>
        <v>Breakfast</v>
      </c>
      <c r="K328" t="str">
        <f>VLOOKUP(A328,Orders!$A:$G,5,0)</f>
        <v>Cash</v>
      </c>
      <c r="L328">
        <f t="shared" si="5"/>
        <v>80.92</v>
      </c>
    </row>
    <row r="329" spans="1:12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  <c r="I329">
        <f>C329*D329*(1-VLOOKUP(A329,Orders!$A:$G,7,0))</f>
        <v>53.448399999999999</v>
      </c>
      <c r="J329" t="str">
        <f>VLOOKUP(A329,Orders!$A:$G,6,0)</f>
        <v>Breakfast</v>
      </c>
      <c r="K329" t="str">
        <f>VLOOKUP(A329,Orders!$A:$G,5,0)</f>
        <v>Cash</v>
      </c>
      <c r="L329">
        <f t="shared" si="5"/>
        <v>27.78</v>
      </c>
    </row>
    <row r="330" spans="1:12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  <c r="I330">
        <f>C330*D330*(1-VLOOKUP(A330,Orders!$A:$G,7,0))</f>
        <v>160.58019999999999</v>
      </c>
      <c r="J330" t="str">
        <f>VLOOKUP(A330,Orders!$A:$G,6,0)</f>
        <v>Breakfast</v>
      </c>
      <c r="K330" t="str">
        <f>VLOOKUP(A330,Orders!$A:$G,5,0)</f>
        <v>Cash</v>
      </c>
      <c r="L330">
        <f t="shared" si="5"/>
        <v>74.069999999999993</v>
      </c>
    </row>
    <row r="331" spans="1:12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  <c r="I331">
        <f>C331*D331*(1-VLOOKUP(A331,Orders!$A:$G,7,0))</f>
        <v>238.9263</v>
      </c>
      <c r="J331" t="str">
        <f>VLOOKUP(A331,Orders!$A:$G,6,0)</f>
        <v>Dinner</v>
      </c>
      <c r="K331" t="str">
        <f>VLOOKUP(A331,Orders!$A:$G,5,0)</f>
        <v>Cash</v>
      </c>
      <c r="L331">
        <f t="shared" si="5"/>
        <v>121.24</v>
      </c>
    </row>
    <row r="332" spans="1:12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  <c r="I332">
        <f>C332*D332*(1-VLOOKUP(A332,Orders!$A:$G,7,0))</f>
        <v>217.24799999999999</v>
      </c>
      <c r="J332" t="str">
        <f>VLOOKUP(A332,Orders!$A:$G,6,0)</f>
        <v>Dinner</v>
      </c>
      <c r="K332" t="str">
        <f>VLOOKUP(A332,Orders!$A:$G,5,0)</f>
        <v>Cash</v>
      </c>
      <c r="L332">
        <f t="shared" si="5"/>
        <v>97.94</v>
      </c>
    </row>
    <row r="333" spans="1:12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  <c r="I333">
        <f>C333*D333*(1-VLOOKUP(A333,Orders!$A:$G,7,0))</f>
        <v>26.439899999999998</v>
      </c>
      <c r="J333" t="str">
        <f>VLOOKUP(A333,Orders!$A:$G,6,0)</f>
        <v>Dinner</v>
      </c>
      <c r="K333" t="str">
        <f>VLOOKUP(A333,Orders!$A:$G,5,0)</f>
        <v>UPI</v>
      </c>
      <c r="L333">
        <f t="shared" si="5"/>
        <v>13.89</v>
      </c>
    </row>
    <row r="334" spans="1:12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  <c r="I334">
        <f>C334*D334*(1-VLOOKUP(A334,Orders!$A:$G,7,0))</f>
        <v>106.1502</v>
      </c>
      <c r="J334" t="str">
        <f>VLOOKUP(A334,Orders!$A:$G,6,0)</f>
        <v>Dinner</v>
      </c>
      <c r="K334" t="str">
        <f>VLOOKUP(A334,Orders!$A:$G,5,0)</f>
        <v>UPI</v>
      </c>
      <c r="L334">
        <f t="shared" si="5"/>
        <v>58.28</v>
      </c>
    </row>
    <row r="335" spans="1:12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  <c r="I335">
        <f>C335*D335*(1-VLOOKUP(A335,Orders!$A:$G,7,0))</f>
        <v>217.24799999999999</v>
      </c>
      <c r="J335" t="str">
        <f>VLOOKUP(A335,Orders!$A:$G,6,0)</f>
        <v>Dinner</v>
      </c>
      <c r="K335" t="str">
        <f>VLOOKUP(A335,Orders!$A:$G,5,0)</f>
        <v>UPI</v>
      </c>
      <c r="L335">
        <f t="shared" si="5"/>
        <v>97.94</v>
      </c>
    </row>
    <row r="336" spans="1:12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  <c r="I336">
        <f>C336*D336*(1-VLOOKUP(A336,Orders!$A:$G,7,0))</f>
        <v>90.035399999999996</v>
      </c>
      <c r="J336" t="str">
        <f>VLOOKUP(A336,Orders!$A:$G,6,0)</f>
        <v>Dinner</v>
      </c>
      <c r="K336" t="str">
        <f>VLOOKUP(A336,Orders!$A:$G,5,0)</f>
        <v>Card</v>
      </c>
      <c r="L336">
        <f t="shared" si="5"/>
        <v>35.519999999999996</v>
      </c>
    </row>
    <row r="337" spans="1:12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  <c r="I337">
        <f>C337*D337*(1-VLOOKUP(A337,Orders!$A:$G,7,0))</f>
        <v>107.29159999999999</v>
      </c>
      <c r="J337" t="str">
        <f>VLOOKUP(A337,Orders!$A:$G,6,0)</f>
        <v>Breakfast</v>
      </c>
      <c r="K337" t="str">
        <f>VLOOKUP(A337,Orders!$A:$G,5,0)</f>
        <v>UPI</v>
      </c>
      <c r="L337">
        <f t="shared" si="5"/>
        <v>58.28</v>
      </c>
    </row>
    <row r="338" spans="1:12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  <c r="I338">
        <f>C338*D338*(1-VLOOKUP(A338,Orders!$A:$G,7,0))</f>
        <v>18.903399999999998</v>
      </c>
      <c r="J338" t="str">
        <f>VLOOKUP(A338,Orders!$A:$G,6,0)</f>
        <v>Breakfast</v>
      </c>
      <c r="K338" t="str">
        <f>VLOOKUP(A338,Orders!$A:$G,5,0)</f>
        <v>UPI</v>
      </c>
      <c r="L338">
        <f t="shared" si="5"/>
        <v>8</v>
      </c>
    </row>
    <row r="339" spans="1:12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  <c r="I339">
        <f>C339*D339*(1-VLOOKUP(A339,Orders!$A:$G,7,0))</f>
        <v>62.002399999999987</v>
      </c>
      <c r="J339" t="str">
        <f>VLOOKUP(A339,Orders!$A:$G,6,0)</f>
        <v>Breakfast</v>
      </c>
      <c r="K339" t="str">
        <f>VLOOKUP(A339,Orders!$A:$G,5,0)</f>
        <v>UPI</v>
      </c>
      <c r="L339">
        <f t="shared" si="5"/>
        <v>23.68</v>
      </c>
    </row>
    <row r="340" spans="1:12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  <c r="I340">
        <f>C340*D340*(1-VLOOKUP(A340,Orders!$A:$G,7,0))</f>
        <v>92.312000000000012</v>
      </c>
      <c r="J340" t="str">
        <f>VLOOKUP(A340,Orders!$A:$G,6,0)</f>
        <v>Breakfast</v>
      </c>
      <c r="K340" t="str">
        <f>VLOOKUP(A340,Orders!$A:$G,5,0)</f>
        <v>Cash</v>
      </c>
      <c r="L340">
        <f t="shared" si="5"/>
        <v>51.6</v>
      </c>
    </row>
    <row r="341" spans="1:12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  <c r="I341">
        <f>C341*D341*(1-VLOOKUP(A341,Orders!$A:$G,7,0))</f>
        <v>400.59360000000004</v>
      </c>
      <c r="J341" t="str">
        <f>VLOOKUP(A341,Orders!$A:$G,6,0)</f>
        <v>Breakfast</v>
      </c>
      <c r="K341" t="str">
        <f>VLOOKUP(A341,Orders!$A:$G,5,0)</f>
        <v>Cash</v>
      </c>
      <c r="L341">
        <f t="shared" si="5"/>
        <v>192.44</v>
      </c>
    </row>
    <row r="342" spans="1:12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  <c r="I342">
        <f>C342*D342*(1-VLOOKUP(A342,Orders!$A:$G,7,0))</f>
        <v>21.09</v>
      </c>
      <c r="J342" t="str">
        <f>VLOOKUP(A342,Orders!$A:$G,6,0)</f>
        <v>Dinner</v>
      </c>
      <c r="K342" t="str">
        <f>VLOOKUP(A342,Orders!$A:$G,5,0)</f>
        <v>Cash</v>
      </c>
      <c r="L342">
        <f t="shared" si="5"/>
        <v>9.3800000000000008</v>
      </c>
    </row>
    <row r="343" spans="1:12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  <c r="I343">
        <f>C343*D343*(1-VLOOKUP(A343,Orders!$A:$G,7,0))</f>
        <v>31.330999999999996</v>
      </c>
      <c r="J343" t="str">
        <f>VLOOKUP(A343,Orders!$A:$G,6,0)</f>
        <v>Dinner</v>
      </c>
      <c r="K343" t="str">
        <f>VLOOKUP(A343,Orders!$A:$G,5,0)</f>
        <v>Cash</v>
      </c>
      <c r="L343">
        <f t="shared" si="5"/>
        <v>11.84</v>
      </c>
    </row>
    <row r="344" spans="1:12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  <c r="I344">
        <f>C344*D344*(1-VLOOKUP(A344,Orders!$A:$G,7,0))</f>
        <v>108.43299999999999</v>
      </c>
      <c r="J344" t="str">
        <f>VLOOKUP(A344,Orders!$A:$G,6,0)</f>
        <v>Dinner</v>
      </c>
      <c r="K344" t="str">
        <f>VLOOKUP(A344,Orders!$A:$G,5,0)</f>
        <v>Cash</v>
      </c>
      <c r="L344">
        <f t="shared" si="5"/>
        <v>58.28</v>
      </c>
    </row>
    <row r="345" spans="1:12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  <c r="I345">
        <f>C345*D345*(1-VLOOKUP(A345,Orders!$A:$G,7,0))</f>
        <v>139.08000000000001</v>
      </c>
      <c r="J345" t="str">
        <f>VLOOKUP(A345,Orders!$A:$G,6,0)</f>
        <v>Dinner</v>
      </c>
      <c r="K345" t="str">
        <f>VLOOKUP(A345,Orders!$A:$G,5,0)</f>
        <v>Cash</v>
      </c>
      <c r="L345">
        <f t="shared" si="5"/>
        <v>80.92</v>
      </c>
    </row>
    <row r="346" spans="1:12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  <c r="I346">
        <f>C346*D346*(1-VLOOKUP(A346,Orders!$A:$G,7,0))</f>
        <v>83.315399999999997</v>
      </c>
      <c r="J346" t="str">
        <f>VLOOKUP(A346,Orders!$A:$G,6,0)</f>
        <v>Breakfast</v>
      </c>
      <c r="K346" t="str">
        <f>VLOOKUP(A346,Orders!$A:$G,5,0)</f>
        <v>Cash</v>
      </c>
      <c r="L346">
        <f t="shared" si="5"/>
        <v>45.22</v>
      </c>
    </row>
    <row r="347" spans="1:12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  <c r="I347">
        <f>C347*D347*(1-VLOOKUP(A347,Orders!$A:$G,7,0))</f>
        <v>103.8674</v>
      </c>
      <c r="J347" t="str">
        <f>VLOOKUP(A347,Orders!$A:$G,6,0)</f>
        <v>Dinner</v>
      </c>
      <c r="K347" t="str">
        <f>VLOOKUP(A347,Orders!$A:$G,5,0)</f>
        <v>UPI</v>
      </c>
      <c r="L347">
        <f t="shared" si="5"/>
        <v>58.28</v>
      </c>
    </row>
    <row r="348" spans="1:12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  <c r="I348">
        <f>C348*D348*(1-VLOOKUP(A348,Orders!$A:$G,7,0))</f>
        <v>414.25020000000006</v>
      </c>
      <c r="J348" t="str">
        <f>VLOOKUP(A348,Orders!$A:$G,6,0)</f>
        <v>Dinner</v>
      </c>
      <c r="K348" t="str">
        <f>VLOOKUP(A348,Orders!$A:$G,5,0)</f>
        <v>UPI</v>
      </c>
      <c r="L348">
        <f t="shared" si="5"/>
        <v>192.44</v>
      </c>
    </row>
    <row r="349" spans="1:12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  <c r="I349">
        <f>C349*D349*(1-VLOOKUP(A349,Orders!$A:$G,7,0))</f>
        <v>143.18850000000003</v>
      </c>
      <c r="J349" t="str">
        <f>VLOOKUP(A349,Orders!$A:$G,6,0)</f>
        <v>Dinner</v>
      </c>
      <c r="K349" t="str">
        <f>VLOOKUP(A349,Orders!$A:$G,5,0)</f>
        <v>UPI</v>
      </c>
      <c r="L349">
        <f t="shared" si="5"/>
        <v>77.400000000000006</v>
      </c>
    </row>
    <row r="350" spans="1:12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  <c r="I350">
        <f>C350*D350*(1-VLOOKUP(A350,Orders!$A:$G,7,0))</f>
        <v>146.05289999999999</v>
      </c>
      <c r="J350" t="str">
        <f>VLOOKUP(A350,Orders!$A:$G,6,0)</f>
        <v>Lunch</v>
      </c>
      <c r="K350" t="str">
        <f>VLOOKUP(A350,Orders!$A:$G,5,0)</f>
        <v>Card</v>
      </c>
      <c r="L350">
        <f t="shared" si="5"/>
        <v>67.83</v>
      </c>
    </row>
    <row r="351" spans="1:12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  <c r="I351">
        <f>C351*D351*(1-VLOOKUP(A351,Orders!$A:$G,7,0))</f>
        <v>73.836399999999998</v>
      </c>
      <c r="J351" t="str">
        <f>VLOOKUP(A351,Orders!$A:$G,6,0)</f>
        <v>Lunch</v>
      </c>
      <c r="K351" t="str">
        <f>VLOOKUP(A351,Orders!$A:$G,5,0)</f>
        <v>Card</v>
      </c>
      <c r="L351">
        <f t="shared" si="5"/>
        <v>39.1</v>
      </c>
    </row>
    <row r="352" spans="1:12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  <c r="I352">
        <f>C352*D352*(1-VLOOKUP(A352,Orders!$A:$G,7,0))</f>
        <v>31.990599999999997</v>
      </c>
      <c r="J352" t="str">
        <f>VLOOKUP(A352,Orders!$A:$G,6,0)</f>
        <v>Lunch</v>
      </c>
      <c r="K352" t="str">
        <f>VLOOKUP(A352,Orders!$A:$G,5,0)</f>
        <v>Card</v>
      </c>
      <c r="L352">
        <f t="shared" si="5"/>
        <v>11.84</v>
      </c>
    </row>
    <row r="353" spans="1:12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  <c r="I353">
        <f>C353*D353*(1-VLOOKUP(A353,Orders!$A:$G,7,0))</f>
        <v>58.8596</v>
      </c>
      <c r="J353" t="str">
        <f>VLOOKUP(A353,Orders!$A:$G,6,0)</f>
        <v>Lunch</v>
      </c>
      <c r="K353" t="str">
        <f>VLOOKUP(A353,Orders!$A:$G,5,0)</f>
        <v>Card</v>
      </c>
      <c r="L353">
        <f t="shared" si="5"/>
        <v>28.36</v>
      </c>
    </row>
    <row r="354" spans="1:12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  <c r="I354">
        <f>C354*D354*(1-VLOOKUP(A354,Orders!$A:$G,7,0))</f>
        <v>51.401000000000003</v>
      </c>
      <c r="J354" t="str">
        <f>VLOOKUP(A354,Orders!$A:$G,6,0)</f>
        <v>Breakfast</v>
      </c>
      <c r="K354" t="str">
        <f>VLOOKUP(A354,Orders!$A:$G,5,0)</f>
        <v>Cash</v>
      </c>
      <c r="L354">
        <f t="shared" si="5"/>
        <v>25.8</v>
      </c>
    </row>
    <row r="355" spans="1:12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  <c r="I355">
        <f>C355*D355*(1-VLOOKUP(A355,Orders!$A:$G,7,0))</f>
        <v>27.8614</v>
      </c>
      <c r="J355" t="str">
        <f>VLOOKUP(A355,Orders!$A:$G,6,0)</f>
        <v>Breakfast</v>
      </c>
      <c r="K355" t="str">
        <f>VLOOKUP(A355,Orders!$A:$G,5,0)</f>
        <v>Cash</v>
      </c>
      <c r="L355">
        <f t="shared" si="5"/>
        <v>13.89</v>
      </c>
    </row>
    <row r="356" spans="1:12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  <c r="I356">
        <f>C356*D356*(1-VLOOKUP(A356,Orders!$A:$G,7,0))</f>
        <v>26.1556</v>
      </c>
      <c r="J356" t="str">
        <f>VLOOKUP(A356,Orders!$A:$G,6,0)</f>
        <v>Lunch</v>
      </c>
      <c r="K356" t="str">
        <f>VLOOKUP(A356,Orders!$A:$G,5,0)</f>
        <v>Card</v>
      </c>
      <c r="L356">
        <f t="shared" si="5"/>
        <v>13.89</v>
      </c>
    </row>
    <row r="357" spans="1:12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  <c r="I357">
        <f>C357*D357*(1-VLOOKUP(A357,Orders!$A:$G,7,0))</f>
        <v>138.52439999999999</v>
      </c>
      <c r="J357" t="str">
        <f>VLOOKUP(A357,Orders!$A:$G,6,0)</f>
        <v>Lunch</v>
      </c>
      <c r="K357" t="str">
        <f>VLOOKUP(A357,Orders!$A:$G,5,0)</f>
        <v>Card</v>
      </c>
      <c r="L357">
        <f t="shared" si="5"/>
        <v>67.83</v>
      </c>
    </row>
    <row r="358" spans="1:12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  <c r="I358">
        <f>C358*D358*(1-VLOOKUP(A358,Orders!$A:$G,7,0))</f>
        <v>38.208999999999996</v>
      </c>
      <c r="J358" t="str">
        <f>VLOOKUP(A358,Orders!$A:$G,6,0)</f>
        <v>Breakfast</v>
      </c>
      <c r="K358" t="str">
        <f>VLOOKUP(A358,Orders!$A:$G,5,0)</f>
        <v>Cash</v>
      </c>
      <c r="L358">
        <f t="shared" si="5"/>
        <v>16</v>
      </c>
    </row>
    <row r="359" spans="1:12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  <c r="I359">
        <f>C359*D359*(1-VLOOKUP(A359,Orders!$A:$G,7,0))</f>
        <v>47.729500000000002</v>
      </c>
      <c r="J359" t="str">
        <f>VLOOKUP(A359,Orders!$A:$G,6,0)</f>
        <v>Breakfast</v>
      </c>
      <c r="K359" t="str">
        <f>VLOOKUP(A359,Orders!$A:$G,5,0)</f>
        <v>Cash</v>
      </c>
      <c r="L359">
        <f t="shared" si="5"/>
        <v>25.8</v>
      </c>
    </row>
    <row r="360" spans="1:12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  <c r="I360">
        <f>C360*D360*(1-VLOOKUP(A360,Orders!$A:$G,7,0))</f>
        <v>60.683199999999999</v>
      </c>
      <c r="J360" t="str">
        <f>VLOOKUP(A360,Orders!$A:$G,6,0)</f>
        <v>Breakfast</v>
      </c>
      <c r="K360" t="str">
        <f>VLOOKUP(A360,Orders!$A:$G,5,0)</f>
        <v>Card</v>
      </c>
      <c r="L360">
        <f t="shared" si="5"/>
        <v>23.68</v>
      </c>
    </row>
    <row r="361" spans="1:12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  <c r="I361">
        <f>C361*D361*(1-VLOOKUP(A361,Orders!$A:$G,7,0))</f>
        <v>52.504400000000004</v>
      </c>
      <c r="J361" t="str">
        <f>VLOOKUP(A361,Orders!$A:$G,6,0)</f>
        <v>Breakfast</v>
      </c>
      <c r="K361" t="str">
        <f>VLOOKUP(A361,Orders!$A:$G,5,0)</f>
        <v>Card</v>
      </c>
      <c r="L361">
        <f t="shared" si="5"/>
        <v>29.14</v>
      </c>
    </row>
    <row r="362" spans="1:12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  <c r="I362">
        <f>C362*D362*(1-VLOOKUP(A362,Orders!$A:$G,7,0))</f>
        <v>214.91200000000001</v>
      </c>
      <c r="J362" t="str">
        <f>VLOOKUP(A362,Orders!$A:$G,6,0)</f>
        <v>Breakfast</v>
      </c>
      <c r="K362" t="str">
        <f>VLOOKUP(A362,Orders!$A:$G,5,0)</f>
        <v>Card</v>
      </c>
      <c r="L362">
        <f t="shared" si="5"/>
        <v>97.94</v>
      </c>
    </row>
    <row r="363" spans="1:12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  <c r="I363">
        <f>C363*D363*(1-VLOOKUP(A363,Orders!$A:$G,7,0))</f>
        <v>724.48619999999994</v>
      </c>
      <c r="J363" t="str">
        <f>VLOOKUP(A363,Orders!$A:$G,6,0)</f>
        <v>Breakfast</v>
      </c>
      <c r="K363" t="str">
        <f>VLOOKUP(A363,Orders!$A:$G,5,0)</f>
        <v>Card</v>
      </c>
      <c r="L363">
        <f t="shared" si="5"/>
        <v>363.71999999999997</v>
      </c>
    </row>
    <row r="364" spans="1:12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  <c r="I364">
        <f>C364*D364*(1-VLOOKUP(A364,Orders!$A:$G,7,0))</f>
        <v>41.735999999999997</v>
      </c>
      <c r="J364" t="str">
        <f>VLOOKUP(A364,Orders!$A:$G,6,0)</f>
        <v>Breakfast</v>
      </c>
      <c r="K364" t="str">
        <f>VLOOKUP(A364,Orders!$A:$G,5,0)</f>
        <v>Card</v>
      </c>
      <c r="L364">
        <f t="shared" si="5"/>
        <v>18.760000000000002</v>
      </c>
    </row>
    <row r="365" spans="1:12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  <c r="I365">
        <f>C365*D365*(1-VLOOKUP(A365,Orders!$A:$G,7,0))</f>
        <v>109.79199999999999</v>
      </c>
      <c r="J365" t="str">
        <f>VLOOKUP(A365,Orders!$A:$G,6,0)</f>
        <v>Breakfast</v>
      </c>
      <c r="K365" t="str">
        <f>VLOOKUP(A365,Orders!$A:$G,5,0)</f>
        <v>Card</v>
      </c>
      <c r="L365">
        <f t="shared" si="5"/>
        <v>48.97</v>
      </c>
    </row>
    <row r="366" spans="1:12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  <c r="I366">
        <f>C366*D366*(1-VLOOKUP(A366,Orders!$A:$G,7,0))</f>
        <v>693.97379999999998</v>
      </c>
      <c r="J366" t="str">
        <f>VLOOKUP(A366,Orders!$A:$G,6,0)</f>
        <v>Breakfast</v>
      </c>
      <c r="K366" t="str">
        <f>VLOOKUP(A366,Orders!$A:$G,5,0)</f>
        <v>Card</v>
      </c>
      <c r="L366">
        <f t="shared" si="5"/>
        <v>336.24</v>
      </c>
    </row>
    <row r="367" spans="1:12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  <c r="I367">
        <f>C367*D367*(1-VLOOKUP(A367,Orders!$A:$G,7,0))</f>
        <v>68.4238</v>
      </c>
      <c r="J367" t="str">
        <f>VLOOKUP(A367,Orders!$A:$G,6,0)</f>
        <v>Dinner</v>
      </c>
      <c r="K367" t="str">
        <f>VLOOKUP(A367,Orders!$A:$G,5,0)</f>
        <v>Card</v>
      </c>
      <c r="L367">
        <f t="shared" si="5"/>
        <v>35.81</v>
      </c>
    </row>
    <row r="368" spans="1:12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  <c r="I368">
        <f>C368*D368*(1-VLOOKUP(A368,Orders!$A:$G,7,0))</f>
        <v>165.70510000000002</v>
      </c>
      <c r="J368" t="str">
        <f>VLOOKUP(A368,Orders!$A:$G,6,0)</f>
        <v>Dinner</v>
      </c>
      <c r="K368" t="str">
        <f>VLOOKUP(A368,Orders!$A:$G,5,0)</f>
        <v>Card</v>
      </c>
      <c r="L368">
        <f t="shared" si="5"/>
        <v>74.069999999999993</v>
      </c>
    </row>
    <row r="369" spans="1:12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  <c r="I369">
        <f>C369*D369*(1-VLOOKUP(A369,Orders!$A:$G,7,0))</f>
        <v>95.971800000000002</v>
      </c>
      <c r="J369" t="str">
        <f>VLOOKUP(A369,Orders!$A:$G,6,0)</f>
        <v>Dinner</v>
      </c>
      <c r="K369" t="str">
        <f>VLOOKUP(A369,Orders!$A:$G,5,0)</f>
        <v>Card</v>
      </c>
      <c r="L369">
        <f t="shared" si="5"/>
        <v>35.519999999999996</v>
      </c>
    </row>
    <row r="370" spans="1:12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  <c r="I370">
        <f>C370*D370*(1-VLOOKUP(A370,Orders!$A:$G,7,0))</f>
        <v>27.577099999999998</v>
      </c>
      <c r="J370" t="str">
        <f>VLOOKUP(A370,Orders!$A:$G,6,0)</f>
        <v>Dinner</v>
      </c>
      <c r="K370" t="str">
        <f>VLOOKUP(A370,Orders!$A:$G,5,0)</f>
        <v>Card</v>
      </c>
      <c r="L370">
        <f t="shared" si="5"/>
        <v>13.89</v>
      </c>
    </row>
    <row r="371" spans="1:12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  <c r="I371">
        <f>C371*D371*(1-VLOOKUP(A371,Orders!$A:$G,7,0))</f>
        <v>30.34</v>
      </c>
      <c r="J371" t="str">
        <f>VLOOKUP(A371,Orders!$A:$G,6,0)</f>
        <v>Breakfast</v>
      </c>
      <c r="K371" t="str">
        <f>VLOOKUP(A371,Orders!$A:$G,5,0)</f>
        <v>Card</v>
      </c>
      <c r="L371">
        <f t="shared" si="5"/>
        <v>14.18</v>
      </c>
    </row>
    <row r="372" spans="1:12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  <c r="I372">
        <f>C372*D372*(1-VLOOKUP(A372,Orders!$A:$G,7,0))</f>
        <v>39.950000000000003</v>
      </c>
      <c r="J372" t="str">
        <f>VLOOKUP(A372,Orders!$A:$G,6,0)</f>
        <v>Breakfast</v>
      </c>
      <c r="K372" t="str">
        <f>VLOOKUP(A372,Orders!$A:$G,5,0)</f>
        <v>Card</v>
      </c>
      <c r="L372">
        <f t="shared" si="5"/>
        <v>15.51</v>
      </c>
    </row>
    <row r="373" spans="1:12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  <c r="I373">
        <f>C373*D373*(1-VLOOKUP(A373,Orders!$A:$G,7,0))</f>
        <v>218.50560000000002</v>
      </c>
      <c r="J373" t="str">
        <f>VLOOKUP(A373,Orders!$A:$G,6,0)</f>
        <v>Dinner</v>
      </c>
      <c r="K373" t="str">
        <f>VLOOKUP(A373,Orders!$A:$G,5,0)</f>
        <v>Cash</v>
      </c>
      <c r="L373">
        <f t="shared" si="5"/>
        <v>96.22</v>
      </c>
    </row>
    <row r="374" spans="1:12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  <c r="I374">
        <f>C374*D374*(1-VLOOKUP(A374,Orders!$A:$G,7,0))</f>
        <v>67.718400000000003</v>
      </c>
      <c r="J374" t="str">
        <f>VLOOKUP(A374,Orders!$A:$G,6,0)</f>
        <v>Dinner</v>
      </c>
      <c r="K374" t="str">
        <f>VLOOKUP(A374,Orders!$A:$G,5,0)</f>
        <v>Cash</v>
      </c>
      <c r="L374">
        <f t="shared" si="5"/>
        <v>35.81</v>
      </c>
    </row>
    <row r="375" spans="1:12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  <c r="I375">
        <f>C375*D375*(1-VLOOKUP(A375,Orders!$A:$G,7,0))</f>
        <v>310.91060000000004</v>
      </c>
      <c r="J375" t="str">
        <f>VLOOKUP(A375,Orders!$A:$G,6,0)</f>
        <v>Breakfast</v>
      </c>
      <c r="K375" t="str">
        <f>VLOOKUP(A375,Orders!$A:$G,5,0)</f>
        <v>UPI</v>
      </c>
      <c r="L375">
        <f t="shared" si="5"/>
        <v>148.13999999999999</v>
      </c>
    </row>
    <row r="376" spans="1:12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  <c r="I376">
        <f>C376*D376*(1-VLOOKUP(A376,Orders!$A:$G,7,0))</f>
        <v>223.9419</v>
      </c>
      <c r="J376" t="str">
        <f>VLOOKUP(A376,Orders!$A:$G,6,0)</f>
        <v>Breakfast</v>
      </c>
      <c r="K376" t="str">
        <f>VLOOKUP(A376,Orders!$A:$G,5,0)</f>
        <v>UPI</v>
      </c>
      <c r="L376">
        <f t="shared" si="5"/>
        <v>112.08</v>
      </c>
    </row>
    <row r="377" spans="1:12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  <c r="I377">
        <f>C377*D377*(1-VLOOKUP(A377,Orders!$A:$G,7,0))</f>
        <v>207.12510000000003</v>
      </c>
      <c r="J377" t="str">
        <f>VLOOKUP(A377,Orders!$A:$G,6,0)</f>
        <v>Breakfast</v>
      </c>
      <c r="K377" t="str">
        <f>VLOOKUP(A377,Orders!$A:$G,5,0)</f>
        <v>UPI</v>
      </c>
      <c r="L377">
        <f t="shared" si="5"/>
        <v>96.22</v>
      </c>
    </row>
    <row r="378" spans="1:12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  <c r="I378">
        <f>C378*D378*(1-VLOOKUP(A378,Orders!$A:$G,7,0))</f>
        <v>423.3546</v>
      </c>
      <c r="J378" t="str">
        <f>VLOOKUP(A378,Orders!$A:$G,6,0)</f>
        <v>Breakfast</v>
      </c>
      <c r="K378" t="str">
        <f>VLOOKUP(A378,Orders!$A:$G,5,0)</f>
        <v>Card</v>
      </c>
      <c r="L378">
        <f t="shared" si="5"/>
        <v>192.44</v>
      </c>
    </row>
    <row r="379" spans="1:12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  <c r="I379">
        <f>C379*D379*(1-VLOOKUP(A379,Orders!$A:$G,7,0))</f>
        <v>408.45600000000002</v>
      </c>
      <c r="J379" t="str">
        <f>VLOOKUP(A379,Orders!$A:$G,6,0)</f>
        <v>Breakfast</v>
      </c>
      <c r="K379" t="str">
        <f>VLOOKUP(A379,Orders!$A:$G,5,0)</f>
        <v>Card</v>
      </c>
      <c r="L379">
        <f t="shared" si="5"/>
        <v>242.76</v>
      </c>
    </row>
    <row r="380" spans="1:12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  <c r="I380">
        <f>C380*D380*(1-VLOOKUP(A380,Orders!$A:$G,7,0))</f>
        <v>686.59109999999998</v>
      </c>
      <c r="J380" t="str">
        <f>VLOOKUP(A380,Orders!$A:$G,6,0)</f>
        <v>Breakfast</v>
      </c>
      <c r="K380" t="str">
        <f>VLOOKUP(A380,Orders!$A:$G,5,0)</f>
        <v>Card</v>
      </c>
      <c r="L380">
        <f t="shared" si="5"/>
        <v>336.24</v>
      </c>
    </row>
    <row r="381" spans="1:12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  <c r="I381">
        <f>C381*D381*(1-VLOOKUP(A381,Orders!$A:$G,7,0))</f>
        <v>144.93600000000001</v>
      </c>
      <c r="J381" t="str">
        <f>VLOOKUP(A381,Orders!$A:$G,6,0)</f>
        <v>Breakfast</v>
      </c>
      <c r="K381" t="str">
        <f>VLOOKUP(A381,Orders!$A:$G,5,0)</f>
        <v>UPI</v>
      </c>
      <c r="L381">
        <f t="shared" si="5"/>
        <v>80.92</v>
      </c>
    </row>
    <row r="382" spans="1:12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  <c r="I382">
        <f>C382*D382*(1-VLOOKUP(A382,Orders!$A:$G,7,0))</f>
        <v>90.109799999999993</v>
      </c>
      <c r="J382" t="str">
        <f>VLOOKUP(A382,Orders!$A:$G,6,0)</f>
        <v>Breakfast</v>
      </c>
      <c r="K382" t="str">
        <f>VLOOKUP(A382,Orders!$A:$G,5,0)</f>
        <v>UPI</v>
      </c>
      <c r="L382">
        <f t="shared" si="5"/>
        <v>42.54</v>
      </c>
    </row>
    <row r="383" spans="1:12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  <c r="I383">
        <f>C383*D383*(1-VLOOKUP(A383,Orders!$A:$G,7,0))</f>
        <v>18.702299999999997</v>
      </c>
      <c r="J383" t="str">
        <f>VLOOKUP(A383,Orders!$A:$G,6,0)</f>
        <v>Dinner</v>
      </c>
      <c r="K383" t="str">
        <f>VLOOKUP(A383,Orders!$A:$G,5,0)</f>
        <v>Card</v>
      </c>
      <c r="L383">
        <f t="shared" si="5"/>
        <v>8</v>
      </c>
    </row>
    <row r="384" spans="1:12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  <c r="I384">
        <f>C384*D384*(1-VLOOKUP(A384,Orders!$A:$G,7,0))</f>
        <v>52.879799999999996</v>
      </c>
      <c r="J384" t="str">
        <f>VLOOKUP(A384,Orders!$A:$G,6,0)</f>
        <v>Dinner</v>
      </c>
      <c r="K384" t="str">
        <f>VLOOKUP(A384,Orders!$A:$G,5,0)</f>
        <v>Card</v>
      </c>
      <c r="L384">
        <f t="shared" si="5"/>
        <v>27.78</v>
      </c>
    </row>
    <row r="385" spans="1:12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  <c r="I385">
        <f>C385*D385*(1-VLOOKUP(A385,Orders!$A:$G,7,0))</f>
        <v>46.174799999999998</v>
      </c>
      <c r="J385" t="str">
        <f>VLOOKUP(A385,Orders!$A:$G,6,0)</f>
        <v>Lunch</v>
      </c>
      <c r="K385" t="str">
        <f>VLOOKUP(A385,Orders!$A:$G,5,0)</f>
        <v>Cash</v>
      </c>
      <c r="L385">
        <f t="shared" si="5"/>
        <v>22.61</v>
      </c>
    </row>
    <row r="386" spans="1:12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  <c r="I386">
        <f>C386*D386*(1-VLOOKUP(A386,Orders!$A:$G,7,0))</f>
        <v>52.311199999999999</v>
      </c>
      <c r="J386" t="str">
        <f>VLOOKUP(A386,Orders!$A:$G,6,0)</f>
        <v>Lunch</v>
      </c>
      <c r="K386" t="str">
        <f>VLOOKUP(A386,Orders!$A:$G,5,0)</f>
        <v>Cash</v>
      </c>
      <c r="L386">
        <f t="shared" ref="L386:L449" si="6">C386*E386</f>
        <v>27.78</v>
      </c>
    </row>
    <row r="387" spans="1:12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  <c r="I387">
        <f>C387*D387*(1-VLOOKUP(A387,Orders!$A:$G,7,0))</f>
        <v>214.91200000000001</v>
      </c>
      <c r="J387" t="str">
        <f>VLOOKUP(A387,Orders!$A:$G,6,0)</f>
        <v>Lunch</v>
      </c>
      <c r="K387" t="str">
        <f>VLOOKUP(A387,Orders!$A:$G,5,0)</f>
        <v>Cash</v>
      </c>
      <c r="L387">
        <f t="shared" si="6"/>
        <v>97.94</v>
      </c>
    </row>
    <row r="388" spans="1:12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  <c r="I388">
        <f>C388*D388*(1-VLOOKUP(A388,Orders!$A:$G,7,0))</f>
        <v>30.3416</v>
      </c>
      <c r="J388" t="str">
        <f>VLOOKUP(A388,Orders!$A:$G,6,0)</f>
        <v>Lunch</v>
      </c>
      <c r="K388" t="str">
        <f>VLOOKUP(A388,Orders!$A:$G,5,0)</f>
        <v>Cash</v>
      </c>
      <c r="L388">
        <f t="shared" si="6"/>
        <v>11.84</v>
      </c>
    </row>
    <row r="389" spans="1:12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  <c r="I389">
        <f>C389*D389*(1-VLOOKUP(A389,Orders!$A:$G,7,0))</f>
        <v>78.302000000000007</v>
      </c>
      <c r="J389" t="str">
        <f>VLOOKUP(A389,Orders!$A:$G,6,0)</f>
        <v>Breakfast</v>
      </c>
      <c r="K389" t="str">
        <f>VLOOKUP(A389,Orders!$A:$G,5,0)</f>
        <v>Card</v>
      </c>
      <c r="L389">
        <f t="shared" si="6"/>
        <v>31.02</v>
      </c>
    </row>
    <row r="390" spans="1:12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  <c r="I390">
        <f>C390*D390*(1-VLOOKUP(A390,Orders!$A:$G,7,0))</f>
        <v>154.20300000000003</v>
      </c>
      <c r="J390" t="str">
        <f>VLOOKUP(A390,Orders!$A:$G,6,0)</f>
        <v>Breakfast</v>
      </c>
      <c r="K390" t="str">
        <f>VLOOKUP(A390,Orders!$A:$G,5,0)</f>
        <v>Card</v>
      </c>
      <c r="L390">
        <f t="shared" si="6"/>
        <v>77.400000000000006</v>
      </c>
    </row>
    <row r="391" spans="1:12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  <c r="I391">
        <f>C391*D391*(1-VLOOKUP(A391,Orders!$A:$G,7,0))</f>
        <v>503.54360000000003</v>
      </c>
      <c r="J391" t="str">
        <f>VLOOKUP(A391,Orders!$A:$G,6,0)</f>
        <v>Breakfast</v>
      </c>
      <c r="K391" t="str">
        <f>VLOOKUP(A391,Orders!$A:$G,5,0)</f>
        <v>Card</v>
      </c>
      <c r="L391">
        <f t="shared" si="6"/>
        <v>242.48</v>
      </c>
    </row>
    <row r="392" spans="1:12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  <c r="I392">
        <f>C392*D392*(1-VLOOKUP(A392,Orders!$A:$G,7,0))</f>
        <v>55.928599999999996</v>
      </c>
      <c r="J392" t="str">
        <f>VLOOKUP(A392,Orders!$A:$G,6,0)</f>
        <v>Breakfast</v>
      </c>
      <c r="K392" t="str">
        <f>VLOOKUP(A392,Orders!$A:$G,5,0)</f>
        <v>Card</v>
      </c>
      <c r="L392">
        <f t="shared" si="6"/>
        <v>29.14</v>
      </c>
    </row>
    <row r="393" spans="1:12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  <c r="I393">
        <f>C393*D393*(1-VLOOKUP(A393,Orders!$A:$G,7,0))</f>
        <v>84.648599999999988</v>
      </c>
      <c r="J393" t="str">
        <f>VLOOKUP(A393,Orders!$A:$G,6,0)</f>
        <v>Breakfast</v>
      </c>
      <c r="K393" t="str">
        <f>VLOOKUP(A393,Orders!$A:$G,5,0)</f>
        <v>Card</v>
      </c>
      <c r="L393">
        <f t="shared" si="6"/>
        <v>42.54</v>
      </c>
    </row>
    <row r="394" spans="1:12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  <c r="I394">
        <f>C394*D394*(1-VLOOKUP(A394,Orders!$A:$G,7,0))</f>
        <v>108.624</v>
      </c>
      <c r="J394" t="str">
        <f>VLOOKUP(A394,Orders!$A:$G,6,0)</f>
        <v>Breakfast</v>
      </c>
      <c r="K394" t="str">
        <f>VLOOKUP(A394,Orders!$A:$G,5,0)</f>
        <v>Card</v>
      </c>
      <c r="L394">
        <f t="shared" si="6"/>
        <v>48.97</v>
      </c>
    </row>
    <row r="395" spans="1:12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  <c r="I395">
        <f>C395*D395*(1-VLOOKUP(A395,Orders!$A:$G,7,0))</f>
        <v>635.03189999999995</v>
      </c>
      <c r="J395" t="str">
        <f>VLOOKUP(A395,Orders!$A:$G,6,0)</f>
        <v>Breakfast</v>
      </c>
      <c r="K395" t="str">
        <f>VLOOKUP(A395,Orders!$A:$G,5,0)</f>
        <v>Card</v>
      </c>
      <c r="L395">
        <f t="shared" si="6"/>
        <v>288.65999999999997</v>
      </c>
    </row>
    <row r="396" spans="1:12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  <c r="I396">
        <f>C396*D396*(1-VLOOKUP(A396,Orders!$A:$G,7,0))</f>
        <v>111.4605</v>
      </c>
      <c r="J396" t="str">
        <f>VLOOKUP(A396,Orders!$A:$G,6,0)</f>
        <v>Breakfast</v>
      </c>
      <c r="K396" t="str">
        <f>VLOOKUP(A396,Orders!$A:$G,5,0)</f>
        <v>Card</v>
      </c>
      <c r="L396">
        <f t="shared" si="6"/>
        <v>46.53</v>
      </c>
    </row>
    <row r="397" spans="1:12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  <c r="I397">
        <f>C397*D397*(1-VLOOKUP(A397,Orders!$A:$G,7,0))</f>
        <v>112.65900000000001</v>
      </c>
      <c r="J397" t="str">
        <f>VLOOKUP(A397,Orders!$A:$G,6,0)</f>
        <v>Dinner</v>
      </c>
      <c r="K397" t="str">
        <f>VLOOKUP(A397,Orders!$A:$G,5,0)</f>
        <v>Cash</v>
      </c>
      <c r="L397">
        <f t="shared" si="6"/>
        <v>46.53</v>
      </c>
    </row>
    <row r="398" spans="1:12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  <c r="I398">
        <f>C398*D398*(1-VLOOKUP(A398,Orders!$A:$G,7,0))</f>
        <v>693.97379999999998</v>
      </c>
      <c r="J398" t="str">
        <f>VLOOKUP(A398,Orders!$A:$G,6,0)</f>
        <v>Dinner</v>
      </c>
      <c r="K398" t="str">
        <f>VLOOKUP(A398,Orders!$A:$G,5,0)</f>
        <v>Cash</v>
      </c>
      <c r="L398">
        <f t="shared" si="6"/>
        <v>336.24</v>
      </c>
    </row>
    <row r="399" spans="1:12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  <c r="I399">
        <f>C399*D399*(1-VLOOKUP(A399,Orders!$A:$G,7,0))</f>
        <v>53.645799999999994</v>
      </c>
      <c r="J399" t="str">
        <f>VLOOKUP(A399,Orders!$A:$G,6,0)</f>
        <v>Dinner</v>
      </c>
      <c r="K399" t="str">
        <f>VLOOKUP(A399,Orders!$A:$G,5,0)</f>
        <v>Cash</v>
      </c>
      <c r="L399">
        <f t="shared" si="6"/>
        <v>29.14</v>
      </c>
    </row>
    <row r="400" spans="1:12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  <c r="I400">
        <f>C400*D400*(1-VLOOKUP(A400,Orders!$A:$G,7,0))</f>
        <v>19.908899999999999</v>
      </c>
      <c r="J400" t="str">
        <f>VLOOKUP(A400,Orders!$A:$G,6,0)</f>
        <v>Breakfast</v>
      </c>
      <c r="K400" t="str">
        <f>VLOOKUP(A400,Orders!$A:$G,5,0)</f>
        <v>UPI</v>
      </c>
      <c r="L400">
        <f t="shared" si="6"/>
        <v>8</v>
      </c>
    </row>
    <row r="401" spans="1:12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  <c r="I401">
        <f>C401*D401*(1-VLOOKUP(A401,Orders!$A:$G,7,0))</f>
        <v>107.316</v>
      </c>
      <c r="J401" t="str">
        <f>VLOOKUP(A401,Orders!$A:$G,6,0)</f>
        <v>Breakfast</v>
      </c>
      <c r="K401" t="str">
        <f>VLOOKUP(A401,Orders!$A:$G,5,0)</f>
        <v>UPI</v>
      </c>
      <c r="L401">
        <f t="shared" si="6"/>
        <v>43.9</v>
      </c>
    </row>
    <row r="402" spans="1:12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  <c r="I402">
        <f>C402*D402*(1-VLOOKUP(A402,Orders!$A:$G,7,0))</f>
        <v>169.49790000000002</v>
      </c>
      <c r="J402" t="str">
        <f>VLOOKUP(A402,Orders!$A:$G,6,0)</f>
        <v>Breakfast</v>
      </c>
      <c r="K402" t="str">
        <f>VLOOKUP(A402,Orders!$A:$G,5,0)</f>
        <v>UPI</v>
      </c>
      <c r="L402">
        <f t="shared" si="6"/>
        <v>87.42</v>
      </c>
    </row>
    <row r="403" spans="1:12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  <c r="I403">
        <f>C403*D403*(1-VLOOKUP(A403,Orders!$A:$G,7,0))</f>
        <v>37.679400000000001</v>
      </c>
      <c r="J403" t="str">
        <f>VLOOKUP(A403,Orders!$A:$G,6,0)</f>
        <v>Breakfast</v>
      </c>
      <c r="K403" t="str">
        <f>VLOOKUP(A403,Orders!$A:$G,5,0)</f>
        <v>UPI</v>
      </c>
      <c r="L403">
        <f t="shared" si="6"/>
        <v>19.55</v>
      </c>
    </row>
    <row r="404" spans="1:12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  <c r="I404">
        <f>C404*D404*(1-VLOOKUP(A404,Orders!$A:$G,7,0))</f>
        <v>228.86369999999999</v>
      </c>
      <c r="J404" t="str">
        <f>VLOOKUP(A404,Orders!$A:$G,6,0)</f>
        <v>Breakfast</v>
      </c>
      <c r="K404" t="str">
        <f>VLOOKUP(A404,Orders!$A:$G,5,0)</f>
        <v>UPI</v>
      </c>
      <c r="L404">
        <f t="shared" si="6"/>
        <v>112.08</v>
      </c>
    </row>
    <row r="405" spans="1:12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  <c r="I405">
        <f>C405*D405*(1-VLOOKUP(A405,Orders!$A:$G,7,0))</f>
        <v>314.32720000000006</v>
      </c>
      <c r="J405" t="str">
        <f>VLOOKUP(A405,Orders!$A:$G,6,0)</f>
        <v>Lunch</v>
      </c>
      <c r="K405" t="str">
        <f>VLOOKUP(A405,Orders!$A:$G,5,0)</f>
        <v>Cash</v>
      </c>
      <c r="L405">
        <f t="shared" si="6"/>
        <v>148.13999999999999</v>
      </c>
    </row>
    <row r="406" spans="1:12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  <c r="I406">
        <f>C406*D406*(1-VLOOKUP(A406,Orders!$A:$G,7,0))</f>
        <v>51.363</v>
      </c>
      <c r="J406" t="str">
        <f>VLOOKUP(A406,Orders!$A:$G,6,0)</f>
        <v>Breakfast</v>
      </c>
      <c r="K406" t="str">
        <f>VLOOKUP(A406,Orders!$A:$G,5,0)</f>
        <v>Card</v>
      </c>
      <c r="L406">
        <f t="shared" si="6"/>
        <v>29.14</v>
      </c>
    </row>
    <row r="407" spans="1:12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  <c r="I407">
        <f>C407*D407*(1-VLOOKUP(A407,Orders!$A:$G,7,0))</f>
        <v>462.43800000000005</v>
      </c>
      <c r="J407" t="str">
        <f>VLOOKUP(A407,Orders!$A:$G,6,0)</f>
        <v>Breakfast</v>
      </c>
      <c r="K407" t="str">
        <f>VLOOKUP(A407,Orders!$A:$G,5,0)</f>
        <v>Card</v>
      </c>
      <c r="L407">
        <f t="shared" si="6"/>
        <v>242.48</v>
      </c>
    </row>
    <row r="408" spans="1:12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  <c r="I408">
        <f>C408*D408*(1-VLOOKUP(A408,Orders!$A:$G,7,0))</f>
        <v>25.587</v>
      </c>
      <c r="J408" t="str">
        <f>VLOOKUP(A408,Orders!$A:$G,6,0)</f>
        <v>Breakfast</v>
      </c>
      <c r="K408" t="str">
        <f>VLOOKUP(A408,Orders!$A:$G,5,0)</f>
        <v>Card</v>
      </c>
      <c r="L408">
        <f t="shared" si="6"/>
        <v>13.89</v>
      </c>
    </row>
    <row r="409" spans="1:12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  <c r="I409">
        <f>C409*D409*(1-VLOOKUP(A409,Orders!$A:$G,7,0))</f>
        <v>97.56</v>
      </c>
      <c r="J409" t="str">
        <f>VLOOKUP(A409,Orders!$A:$G,6,0)</f>
        <v>Breakfast</v>
      </c>
      <c r="K409" t="str">
        <f>VLOOKUP(A409,Orders!$A:$G,5,0)</f>
        <v>Card</v>
      </c>
      <c r="L409">
        <f t="shared" si="6"/>
        <v>43.9</v>
      </c>
    </row>
    <row r="410" spans="1:12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  <c r="I410">
        <f>C410*D410*(1-VLOOKUP(A410,Orders!$A:$G,7,0))</f>
        <v>71.910000000000011</v>
      </c>
      <c r="J410" t="str">
        <f>VLOOKUP(A410,Orders!$A:$G,6,0)</f>
        <v>Breakfast</v>
      </c>
      <c r="K410" t="str">
        <f>VLOOKUP(A410,Orders!$A:$G,5,0)</f>
        <v>UPI</v>
      </c>
      <c r="L410">
        <f t="shared" si="6"/>
        <v>31.02</v>
      </c>
    </row>
    <row r="411" spans="1:12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  <c r="I411">
        <f>C411*D411*(1-VLOOKUP(A411,Orders!$A:$G,7,0))</f>
        <v>154.089</v>
      </c>
      <c r="J411" t="str">
        <f>VLOOKUP(A411,Orders!$A:$G,6,0)</f>
        <v>Breakfast</v>
      </c>
      <c r="K411" t="str">
        <f>VLOOKUP(A411,Orders!$A:$G,5,0)</f>
        <v>UPI</v>
      </c>
      <c r="L411">
        <f t="shared" si="6"/>
        <v>87.42</v>
      </c>
    </row>
    <row r="412" spans="1:12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  <c r="I412">
        <f>C412*D412*(1-VLOOKUP(A412,Orders!$A:$G,7,0))</f>
        <v>131.76000000000002</v>
      </c>
      <c r="J412" t="str">
        <f>VLOOKUP(A412,Orders!$A:$G,6,0)</f>
        <v>Breakfast</v>
      </c>
      <c r="K412" t="str">
        <f>VLOOKUP(A412,Orders!$A:$G,5,0)</f>
        <v>UPI</v>
      </c>
      <c r="L412">
        <f t="shared" si="6"/>
        <v>80.92</v>
      </c>
    </row>
    <row r="413" spans="1:12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  <c r="I413">
        <f>C413*D413*(1-VLOOKUP(A413,Orders!$A:$G,7,0))</f>
        <v>48.78</v>
      </c>
      <c r="J413" t="str">
        <f>VLOOKUP(A413,Orders!$A:$G,6,0)</f>
        <v>Breakfast</v>
      </c>
      <c r="K413" t="str">
        <f>VLOOKUP(A413,Orders!$A:$G,5,0)</f>
        <v>UPI</v>
      </c>
      <c r="L413">
        <f t="shared" si="6"/>
        <v>21.95</v>
      </c>
    </row>
    <row r="414" spans="1:12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  <c r="I414">
        <f>C414*D414*(1-VLOOKUP(A414,Orders!$A:$G,7,0))</f>
        <v>513.82000000000005</v>
      </c>
      <c r="J414" t="str">
        <f>VLOOKUP(A414,Orders!$A:$G,6,0)</f>
        <v>Lunch</v>
      </c>
      <c r="K414" t="str">
        <f>VLOOKUP(A414,Orders!$A:$G,5,0)</f>
        <v>Cash</v>
      </c>
      <c r="L414">
        <f t="shared" si="6"/>
        <v>242.48</v>
      </c>
    </row>
    <row r="415" spans="1:12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  <c r="I415">
        <f>C415*D415*(1-VLOOKUP(A415,Orders!$A:$G,7,0))</f>
        <v>119.85000000000001</v>
      </c>
      <c r="J415" t="str">
        <f>VLOOKUP(A415,Orders!$A:$G,6,0)</f>
        <v>Lunch</v>
      </c>
      <c r="K415" t="str">
        <f>VLOOKUP(A415,Orders!$A:$G,5,0)</f>
        <v>Cash</v>
      </c>
      <c r="L415">
        <f t="shared" si="6"/>
        <v>46.53</v>
      </c>
    </row>
    <row r="416" spans="1:12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  <c r="I416">
        <f>C416*D416*(1-VLOOKUP(A416,Orders!$A:$G,7,0))</f>
        <v>138.25840000000002</v>
      </c>
      <c r="J416" t="str">
        <f>VLOOKUP(A416,Orders!$A:$G,6,0)</f>
        <v>Dinner</v>
      </c>
      <c r="K416" t="str">
        <f>VLOOKUP(A416,Orders!$A:$G,5,0)</f>
        <v>Cash</v>
      </c>
      <c r="L416">
        <f t="shared" si="6"/>
        <v>71.62</v>
      </c>
    </row>
    <row r="417" spans="1:12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  <c r="I417">
        <f>C417*D417*(1-VLOOKUP(A417,Orders!$A:$G,7,0))</f>
        <v>55.928599999999996</v>
      </c>
      <c r="J417" t="str">
        <f>VLOOKUP(A417,Orders!$A:$G,6,0)</f>
        <v>Dinner</v>
      </c>
      <c r="K417" t="str">
        <f>VLOOKUP(A417,Orders!$A:$G,5,0)</f>
        <v>Cash</v>
      </c>
      <c r="L417">
        <f t="shared" si="6"/>
        <v>29.14</v>
      </c>
    </row>
    <row r="418" spans="1:12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  <c r="I418">
        <f>C418*D418*(1-VLOOKUP(A418,Orders!$A:$G,7,0))</f>
        <v>20.423999999999999</v>
      </c>
      <c r="J418" t="str">
        <f>VLOOKUP(A418,Orders!$A:$G,6,0)</f>
        <v>Lunch</v>
      </c>
      <c r="K418" t="str">
        <f>VLOOKUP(A418,Orders!$A:$G,5,0)</f>
        <v>Card</v>
      </c>
      <c r="L418">
        <f t="shared" si="6"/>
        <v>9.3800000000000008</v>
      </c>
    </row>
    <row r="419" spans="1:12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  <c r="I419">
        <f>C419*D419*(1-VLOOKUP(A419,Orders!$A:$G,7,0))</f>
        <v>60.683199999999999</v>
      </c>
      <c r="J419" t="str">
        <f>VLOOKUP(A419,Orders!$A:$G,6,0)</f>
        <v>Lunch</v>
      </c>
      <c r="K419" t="str">
        <f>VLOOKUP(A419,Orders!$A:$G,5,0)</f>
        <v>Card</v>
      </c>
      <c r="L419">
        <f t="shared" si="6"/>
        <v>23.68</v>
      </c>
    </row>
    <row r="420" spans="1:12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  <c r="I420">
        <f>C420*D420*(1-VLOOKUP(A420,Orders!$A:$G,7,0))</f>
        <v>64.896800000000013</v>
      </c>
      <c r="J420" t="str">
        <f>VLOOKUP(A420,Orders!$A:$G,6,0)</f>
        <v>Lunch</v>
      </c>
      <c r="K420" t="str">
        <f>VLOOKUP(A420,Orders!$A:$G,5,0)</f>
        <v>Card</v>
      </c>
      <c r="L420">
        <f t="shared" si="6"/>
        <v>35.81</v>
      </c>
    </row>
    <row r="421" spans="1:12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  <c r="I421">
        <f>C421*D421*(1-VLOOKUP(A421,Orders!$A:$G,7,0))</f>
        <v>91.024799999999999</v>
      </c>
      <c r="J421" t="str">
        <f>VLOOKUP(A421,Orders!$A:$G,6,0)</f>
        <v>Lunch</v>
      </c>
      <c r="K421" t="str">
        <f>VLOOKUP(A421,Orders!$A:$G,5,0)</f>
        <v>Card</v>
      </c>
      <c r="L421">
        <f t="shared" si="6"/>
        <v>35.519999999999996</v>
      </c>
    </row>
    <row r="422" spans="1:12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  <c r="I422">
        <f>C422*D422*(1-VLOOKUP(A422,Orders!$A:$G,7,0))</f>
        <v>37.002400000000002</v>
      </c>
      <c r="J422" t="str">
        <f>VLOOKUP(A422,Orders!$A:$G,6,0)</f>
        <v>Breakfast</v>
      </c>
      <c r="K422" t="str">
        <f>VLOOKUP(A422,Orders!$A:$G,5,0)</f>
        <v>UPI</v>
      </c>
      <c r="L422">
        <f t="shared" si="6"/>
        <v>16</v>
      </c>
    </row>
    <row r="423" spans="1:12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  <c r="I423">
        <f>C423*D423*(1-VLOOKUP(A423,Orders!$A:$G,7,0))</f>
        <v>231.31200000000001</v>
      </c>
      <c r="J423" t="str">
        <f>VLOOKUP(A423,Orders!$A:$G,6,0)</f>
        <v>Lunch</v>
      </c>
      <c r="K423" t="str">
        <f>VLOOKUP(A423,Orders!$A:$G,5,0)</f>
        <v>UPI</v>
      </c>
      <c r="L423">
        <f t="shared" si="6"/>
        <v>161.84</v>
      </c>
    </row>
    <row r="424" spans="1:12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  <c r="I424">
        <f>C424*D424*(1-VLOOKUP(A424,Orders!$A:$G,7,0))</f>
        <v>39.650100000000002</v>
      </c>
      <c r="J424" t="str">
        <f>VLOOKUP(A424,Orders!$A:$G,6,0)</f>
        <v>Lunch</v>
      </c>
      <c r="K424" t="str">
        <f>VLOOKUP(A424,Orders!$A:$G,5,0)</f>
        <v>UPI</v>
      </c>
      <c r="L424">
        <f t="shared" si="6"/>
        <v>22.61</v>
      </c>
    </row>
    <row r="425" spans="1:12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  <c r="I425">
        <f>C425*D425*(1-VLOOKUP(A425,Orders!$A:$G,7,0))</f>
        <v>60.474499999999999</v>
      </c>
      <c r="J425" t="str">
        <f>VLOOKUP(A425,Orders!$A:$G,6,0)</f>
        <v>Lunch</v>
      </c>
      <c r="K425" t="str">
        <f>VLOOKUP(A425,Orders!$A:$G,5,0)</f>
        <v>UPI</v>
      </c>
      <c r="L425">
        <f t="shared" si="6"/>
        <v>38.229999999999997</v>
      </c>
    </row>
    <row r="426" spans="1:12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  <c r="I426">
        <f>C426*D426*(1-VLOOKUP(A426,Orders!$A:$G,7,0))</f>
        <v>52.504400000000004</v>
      </c>
      <c r="J426" t="str">
        <f>VLOOKUP(A426,Orders!$A:$G,6,0)</f>
        <v>Breakfast</v>
      </c>
      <c r="K426" t="str">
        <f>VLOOKUP(A426,Orders!$A:$G,5,0)</f>
        <v>Card</v>
      </c>
      <c r="L426">
        <f t="shared" si="6"/>
        <v>29.14</v>
      </c>
    </row>
    <row r="427" spans="1:12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  <c r="I427">
        <f>C427*D427*(1-VLOOKUP(A427,Orders!$A:$G,7,0))</f>
        <v>30.3416</v>
      </c>
      <c r="J427" t="str">
        <f>VLOOKUP(A427,Orders!$A:$G,6,0)</f>
        <v>Breakfast</v>
      </c>
      <c r="K427" t="str">
        <f>VLOOKUP(A427,Orders!$A:$G,5,0)</f>
        <v>Card</v>
      </c>
      <c r="L427">
        <f t="shared" si="6"/>
        <v>11.84</v>
      </c>
    </row>
    <row r="428" spans="1:12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  <c r="I428">
        <f>C428*D428*(1-VLOOKUP(A428,Orders!$A:$G,7,0))</f>
        <v>209.40120000000002</v>
      </c>
      <c r="J428" t="str">
        <f>VLOOKUP(A428,Orders!$A:$G,6,0)</f>
        <v>Breakfast</v>
      </c>
      <c r="K428" t="str">
        <f>VLOOKUP(A428,Orders!$A:$G,5,0)</f>
        <v>Card</v>
      </c>
      <c r="L428">
        <f t="shared" si="6"/>
        <v>96.22</v>
      </c>
    </row>
    <row r="429" spans="1:12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  <c r="I429">
        <f>C429*D429*(1-VLOOKUP(A429,Orders!$A:$G,7,0))</f>
        <v>26.1556</v>
      </c>
      <c r="J429" t="str">
        <f>VLOOKUP(A429,Orders!$A:$G,6,0)</f>
        <v>Breakfast</v>
      </c>
      <c r="K429" t="str">
        <f>VLOOKUP(A429,Orders!$A:$G,5,0)</f>
        <v>Card</v>
      </c>
      <c r="L429">
        <f t="shared" si="6"/>
        <v>13.89</v>
      </c>
    </row>
    <row r="430" spans="1:12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  <c r="I430">
        <f>C430*D430*(1-VLOOKUP(A430,Orders!$A:$G,7,0))</f>
        <v>33.873400000000004</v>
      </c>
      <c r="J430" t="str">
        <f>VLOOKUP(A430,Orders!$A:$G,6,0)</f>
        <v>Breakfast</v>
      </c>
      <c r="K430" t="str">
        <f>VLOOKUP(A430,Orders!$A:$G,5,0)</f>
        <v>UPI</v>
      </c>
      <c r="L430">
        <f t="shared" si="6"/>
        <v>19.55</v>
      </c>
    </row>
    <row r="431" spans="1:12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  <c r="I431">
        <f>C431*D431*(1-VLOOKUP(A431,Orders!$A:$G,7,0))</f>
        <v>39.515999999999998</v>
      </c>
      <c r="J431" t="str">
        <f>VLOOKUP(A431,Orders!$A:$G,6,0)</f>
        <v>Breakfast</v>
      </c>
      <c r="K431" t="str">
        <f>VLOOKUP(A431,Orders!$A:$G,5,0)</f>
        <v>UPI</v>
      </c>
      <c r="L431">
        <f t="shared" si="6"/>
        <v>18.760000000000002</v>
      </c>
    </row>
    <row r="432" spans="1:12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  <c r="I432">
        <f>C432*D432*(1-VLOOKUP(A432,Orders!$A:$G,7,0))</f>
        <v>44.6691</v>
      </c>
      <c r="J432" t="str">
        <f>VLOOKUP(A432,Orders!$A:$G,6,0)</f>
        <v>Breakfast</v>
      </c>
      <c r="K432" t="str">
        <f>VLOOKUP(A432,Orders!$A:$G,5,0)</f>
        <v>UPI</v>
      </c>
      <c r="L432">
        <f t="shared" si="6"/>
        <v>22.61</v>
      </c>
    </row>
    <row r="433" spans="1:12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  <c r="I433">
        <f>C433*D433*(1-VLOOKUP(A433,Orders!$A:$G,7,0))</f>
        <v>35.555500000000002</v>
      </c>
      <c r="J433" t="str">
        <f>VLOOKUP(A433,Orders!$A:$G,6,0)</f>
        <v>Breakfast</v>
      </c>
      <c r="K433" t="str">
        <f>VLOOKUP(A433,Orders!$A:$G,5,0)</f>
        <v>UPI</v>
      </c>
      <c r="L433">
        <f t="shared" si="6"/>
        <v>15.51</v>
      </c>
    </row>
    <row r="434" spans="1:12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  <c r="I434">
        <f>C434*D434*(1-VLOOKUP(A434,Orders!$A:$G,7,0))</f>
        <v>131.76000000000002</v>
      </c>
      <c r="J434" t="str">
        <f>VLOOKUP(A434,Orders!$A:$G,6,0)</f>
        <v>Breakfast</v>
      </c>
      <c r="K434" t="str">
        <f>VLOOKUP(A434,Orders!$A:$G,5,0)</f>
        <v>Card</v>
      </c>
      <c r="L434">
        <f t="shared" si="6"/>
        <v>80.92</v>
      </c>
    </row>
    <row r="435" spans="1:12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  <c r="I435">
        <f>C435*D435*(1-VLOOKUP(A435,Orders!$A:$G,7,0))</f>
        <v>63.486000000000004</v>
      </c>
      <c r="J435" t="str">
        <f>VLOOKUP(A435,Orders!$A:$G,6,0)</f>
        <v>Breakfast</v>
      </c>
      <c r="K435" t="str">
        <f>VLOOKUP(A435,Orders!$A:$G,5,0)</f>
        <v>Card</v>
      </c>
      <c r="L435">
        <f t="shared" si="6"/>
        <v>35.81</v>
      </c>
    </row>
    <row r="436" spans="1:12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  <c r="I436">
        <f>C436*D436*(1-VLOOKUP(A436,Orders!$A:$G,7,0))</f>
        <v>307.49400000000003</v>
      </c>
      <c r="J436" t="str">
        <f>VLOOKUP(A436,Orders!$A:$G,6,0)</f>
        <v>Breakfast</v>
      </c>
      <c r="K436" t="str">
        <f>VLOOKUP(A436,Orders!$A:$G,5,0)</f>
        <v>Card</v>
      </c>
      <c r="L436">
        <f t="shared" si="6"/>
        <v>148.13999999999999</v>
      </c>
    </row>
    <row r="437" spans="1:12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  <c r="I437">
        <f>C437*D437*(1-VLOOKUP(A437,Orders!$A:$G,7,0))</f>
        <v>414.25020000000006</v>
      </c>
      <c r="J437" t="str">
        <f>VLOOKUP(A437,Orders!$A:$G,6,0)</f>
        <v>Lunch</v>
      </c>
      <c r="K437" t="str">
        <f>VLOOKUP(A437,Orders!$A:$G,5,0)</f>
        <v>Card</v>
      </c>
      <c r="L437">
        <f t="shared" si="6"/>
        <v>192.44</v>
      </c>
    </row>
    <row r="438" spans="1:12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  <c r="I438">
        <f>C438*D438*(1-VLOOKUP(A438,Orders!$A:$G,7,0))</f>
        <v>488.12900000000002</v>
      </c>
      <c r="J438" t="str">
        <f>VLOOKUP(A438,Orders!$A:$G,6,0)</f>
        <v>Dinner</v>
      </c>
      <c r="K438" t="str">
        <f>VLOOKUP(A438,Orders!$A:$G,5,0)</f>
        <v>Card</v>
      </c>
      <c r="L438">
        <f t="shared" si="6"/>
        <v>242.48</v>
      </c>
    </row>
    <row r="439" spans="1:12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  <c r="I439">
        <f>C439*D439*(1-VLOOKUP(A439,Orders!$A:$G,7,0))</f>
        <v>36.600200000000001</v>
      </c>
      <c r="J439" t="str">
        <f>VLOOKUP(A439,Orders!$A:$G,6,0)</f>
        <v>Lunch</v>
      </c>
      <c r="K439" t="str">
        <f>VLOOKUP(A439,Orders!$A:$G,5,0)</f>
        <v>UPI</v>
      </c>
      <c r="L439">
        <f t="shared" si="6"/>
        <v>16</v>
      </c>
    </row>
    <row r="440" spans="1:12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  <c r="I440">
        <f>C440*D440*(1-VLOOKUP(A440,Orders!$A:$G,7,0))</f>
        <v>69.660499999999999</v>
      </c>
      <c r="J440" t="str">
        <f>VLOOKUP(A440,Orders!$A:$G,6,0)</f>
        <v>Lunch</v>
      </c>
      <c r="K440" t="str">
        <f>VLOOKUP(A440,Orders!$A:$G,5,0)</f>
        <v>UPI</v>
      </c>
      <c r="L440">
        <f t="shared" si="6"/>
        <v>38.229999999999997</v>
      </c>
    </row>
    <row r="441" spans="1:12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  <c r="I441">
        <f>C441*D441*(1-VLOOKUP(A441,Orders!$A:$G,7,0))</f>
        <v>60.023599999999995</v>
      </c>
      <c r="J441" t="str">
        <f>VLOOKUP(A441,Orders!$A:$G,6,0)</f>
        <v>Lunch</v>
      </c>
      <c r="K441" t="str">
        <f>VLOOKUP(A441,Orders!$A:$G,5,0)</f>
        <v>UPI</v>
      </c>
      <c r="L441">
        <f t="shared" si="6"/>
        <v>23.68</v>
      </c>
    </row>
    <row r="442" spans="1:12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  <c r="I442">
        <f>C442*D442*(1-VLOOKUP(A442,Orders!$A:$G,7,0))</f>
        <v>77.613900000000001</v>
      </c>
      <c r="J442" t="str">
        <f>VLOOKUP(A442,Orders!$A:$G,6,0)</f>
        <v>Lunch</v>
      </c>
      <c r="K442" t="str">
        <f>VLOOKUP(A442,Orders!$A:$G,5,0)</f>
        <v>UPI</v>
      </c>
      <c r="L442">
        <f t="shared" si="6"/>
        <v>41.67</v>
      </c>
    </row>
    <row r="443" spans="1:12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  <c r="I443">
        <f>C443*D443*(1-VLOOKUP(A443,Orders!$A:$G,7,0))</f>
        <v>97.368599999999986</v>
      </c>
      <c r="J443" t="str">
        <f>VLOOKUP(A443,Orders!$A:$G,6,0)</f>
        <v>Dinner</v>
      </c>
      <c r="K443" t="str">
        <f>VLOOKUP(A443,Orders!$A:$G,5,0)</f>
        <v>Card</v>
      </c>
      <c r="L443">
        <f t="shared" si="6"/>
        <v>45.22</v>
      </c>
    </row>
    <row r="444" spans="1:12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  <c r="I444">
        <f>C444*D444*(1-VLOOKUP(A444,Orders!$A:$G,7,0))</f>
        <v>220.7817</v>
      </c>
      <c r="J444" t="str">
        <f>VLOOKUP(A444,Orders!$A:$G,6,0)</f>
        <v>Dinner</v>
      </c>
      <c r="K444" t="str">
        <f>VLOOKUP(A444,Orders!$A:$G,5,0)</f>
        <v>Card</v>
      </c>
      <c r="L444">
        <f t="shared" si="6"/>
        <v>96.22</v>
      </c>
    </row>
    <row r="445" spans="1:12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  <c r="I445">
        <f>C445*D445*(1-VLOOKUP(A445,Orders!$A:$G,7,0))</f>
        <v>19.104499999999998</v>
      </c>
      <c r="J445" t="str">
        <f>VLOOKUP(A445,Orders!$A:$G,6,0)</f>
        <v>Breakfast</v>
      </c>
      <c r="K445" t="str">
        <f>VLOOKUP(A445,Orders!$A:$G,5,0)</f>
        <v>UPI</v>
      </c>
      <c r="L445">
        <f t="shared" si="6"/>
        <v>8</v>
      </c>
    </row>
    <row r="446" spans="1:12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  <c r="I446">
        <f>C446*D446*(1-VLOOKUP(A446,Orders!$A:$G,7,0))</f>
        <v>244.06450000000001</v>
      </c>
      <c r="J446" t="str">
        <f>VLOOKUP(A446,Orders!$A:$G,6,0)</f>
        <v>Breakfast</v>
      </c>
      <c r="K446" t="str">
        <f>VLOOKUP(A446,Orders!$A:$G,5,0)</f>
        <v>UPI</v>
      </c>
      <c r="L446">
        <f t="shared" si="6"/>
        <v>121.24</v>
      </c>
    </row>
    <row r="447" spans="1:12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  <c r="I447">
        <f>C447*D447*(1-VLOOKUP(A447,Orders!$A:$G,7,0))</f>
        <v>216.2295</v>
      </c>
      <c r="J447" t="str">
        <f>VLOOKUP(A447,Orders!$A:$G,6,0)</f>
        <v>Breakfast</v>
      </c>
      <c r="K447" t="str">
        <f>VLOOKUP(A447,Orders!$A:$G,5,0)</f>
        <v>UPI</v>
      </c>
      <c r="L447">
        <f t="shared" si="6"/>
        <v>96.22</v>
      </c>
    </row>
    <row r="448" spans="1:12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  <c r="I448">
        <f>C448*D448*(1-VLOOKUP(A448,Orders!$A:$G,7,0))</f>
        <v>54.787199999999999</v>
      </c>
      <c r="J448" t="str">
        <f>VLOOKUP(A448,Orders!$A:$G,6,0)</f>
        <v>Breakfast</v>
      </c>
      <c r="K448" t="str">
        <f>VLOOKUP(A448,Orders!$A:$G,5,0)</f>
        <v>UPI</v>
      </c>
      <c r="L448">
        <f t="shared" si="6"/>
        <v>29.14</v>
      </c>
    </row>
    <row r="449" spans="1:12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  <c r="I449">
        <f>C449*D449*(1-VLOOKUP(A449,Orders!$A:$G,7,0))</f>
        <v>54.585599999999999</v>
      </c>
      <c r="J449" t="str">
        <f>VLOOKUP(A449,Orders!$A:$G,6,0)</f>
        <v>Breakfast</v>
      </c>
      <c r="K449" t="str">
        <f>VLOOKUP(A449,Orders!$A:$G,5,0)</f>
        <v>UPI</v>
      </c>
      <c r="L449">
        <f t="shared" si="6"/>
        <v>27.78</v>
      </c>
    </row>
    <row r="450" spans="1:12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  <c r="I450">
        <f>C450*D450*(1-VLOOKUP(A450,Orders!$A:$G,7,0))</f>
        <v>36.537599999999998</v>
      </c>
      <c r="J450" t="str">
        <f>VLOOKUP(A450,Orders!$A:$G,6,0)</f>
        <v>Breakfast</v>
      </c>
      <c r="K450" t="str">
        <f>VLOOKUP(A450,Orders!$A:$G,5,0)</f>
        <v>UPI</v>
      </c>
      <c r="L450">
        <f t="shared" ref="L450:L513" si="7">C450*E450</f>
        <v>19.55</v>
      </c>
    </row>
    <row r="451" spans="1:12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  <c r="I451">
        <f>C451*D451*(1-VLOOKUP(A451,Orders!$A:$G,7,0))</f>
        <v>321.16039999999998</v>
      </c>
      <c r="J451" t="str">
        <f>VLOOKUP(A451,Orders!$A:$G,6,0)</f>
        <v>Dinner</v>
      </c>
      <c r="K451" t="str">
        <f>VLOOKUP(A451,Orders!$A:$G,5,0)</f>
        <v>UPI</v>
      </c>
      <c r="L451">
        <f t="shared" si="7"/>
        <v>148.13999999999999</v>
      </c>
    </row>
    <row r="452" spans="1:12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  <c r="I452">
        <f>C452*D452*(1-VLOOKUP(A452,Orders!$A:$G,7,0))</f>
        <v>50.948</v>
      </c>
      <c r="J452" t="str">
        <f>VLOOKUP(A452,Orders!$A:$G,6,0)</f>
        <v>Dinner</v>
      </c>
      <c r="K452" t="str">
        <f>VLOOKUP(A452,Orders!$A:$G,5,0)</f>
        <v>UPI</v>
      </c>
      <c r="L452">
        <f t="shared" si="7"/>
        <v>21.95</v>
      </c>
    </row>
    <row r="453" spans="1:12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  <c r="I453">
        <f>C453*D453*(1-VLOOKUP(A453,Orders!$A:$G,7,0))</f>
        <v>275.23199999999997</v>
      </c>
      <c r="J453" t="str">
        <f>VLOOKUP(A453,Orders!$A:$G,6,0)</f>
        <v>Dinner</v>
      </c>
      <c r="K453" t="str">
        <f>VLOOKUP(A453,Orders!$A:$G,5,0)</f>
        <v>UPI</v>
      </c>
      <c r="L453">
        <f t="shared" si="7"/>
        <v>161.84</v>
      </c>
    </row>
    <row r="454" spans="1:12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  <c r="I454">
        <f>C454*D454*(1-VLOOKUP(A454,Orders!$A:$G,7,0))</f>
        <v>329.37599999999998</v>
      </c>
      <c r="J454" t="str">
        <f>VLOOKUP(A454,Orders!$A:$G,6,0)</f>
        <v>Dinner</v>
      </c>
      <c r="K454" t="str">
        <f>VLOOKUP(A454,Orders!$A:$G,5,0)</f>
        <v>UPI</v>
      </c>
      <c r="L454">
        <f t="shared" si="7"/>
        <v>146.91</v>
      </c>
    </row>
    <row r="455" spans="1:12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  <c r="I455">
        <f>C455*D455*(1-VLOOKUP(A455,Orders!$A:$G,7,0))</f>
        <v>209.1765</v>
      </c>
      <c r="J455" t="str">
        <f>VLOOKUP(A455,Orders!$A:$G,6,0)</f>
        <v>Dinner</v>
      </c>
      <c r="K455" t="str">
        <f>VLOOKUP(A455,Orders!$A:$G,5,0)</f>
        <v>Card</v>
      </c>
      <c r="L455">
        <f t="shared" si="7"/>
        <v>112.08</v>
      </c>
    </row>
    <row r="456" spans="1:12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  <c r="I456">
        <f>C456*D456*(1-VLOOKUP(A456,Orders!$A:$G,7,0))</f>
        <v>85.322999999999993</v>
      </c>
      <c r="J456" t="str">
        <f>VLOOKUP(A456,Orders!$A:$G,6,0)</f>
        <v>Dinner</v>
      </c>
      <c r="K456" t="str">
        <f>VLOOKUP(A456,Orders!$A:$G,5,0)</f>
        <v>Card</v>
      </c>
      <c r="L456">
        <f t="shared" si="7"/>
        <v>45.22</v>
      </c>
    </row>
    <row r="457" spans="1:12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  <c r="I457">
        <f>C457*D457*(1-VLOOKUP(A457,Orders!$A:$G,7,0))</f>
        <v>44.582500000000003</v>
      </c>
      <c r="J457" t="str">
        <f>VLOOKUP(A457,Orders!$A:$G,6,0)</f>
        <v>Dinner</v>
      </c>
      <c r="K457" t="str">
        <f>VLOOKUP(A457,Orders!$A:$G,5,0)</f>
        <v>Card</v>
      </c>
      <c r="L457">
        <f t="shared" si="7"/>
        <v>25.8</v>
      </c>
    </row>
    <row r="458" spans="1:12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  <c r="I458">
        <f>C458*D458*(1-VLOOKUP(A458,Orders!$A:$G,7,0))</f>
        <v>28.43</v>
      </c>
      <c r="J458" t="str">
        <f>VLOOKUP(A458,Orders!$A:$G,6,0)</f>
        <v>Lunch</v>
      </c>
      <c r="K458" t="str">
        <f>VLOOKUP(A458,Orders!$A:$G,5,0)</f>
        <v>Card</v>
      </c>
      <c r="L458">
        <f t="shared" si="7"/>
        <v>13.89</v>
      </c>
    </row>
    <row r="459" spans="1:12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  <c r="I459">
        <f>C459*D459*(1-VLOOKUP(A459,Orders!$A:$G,7,0))</f>
        <v>621.37530000000004</v>
      </c>
      <c r="J459" t="str">
        <f>VLOOKUP(A459,Orders!$A:$G,6,0)</f>
        <v>Breakfast</v>
      </c>
      <c r="K459" t="str">
        <f>VLOOKUP(A459,Orders!$A:$G,5,0)</f>
        <v>UPI</v>
      </c>
      <c r="L459">
        <f t="shared" si="7"/>
        <v>288.65999999999997</v>
      </c>
    </row>
    <row r="460" spans="1:12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  <c r="I460">
        <f>C460*D460*(1-VLOOKUP(A460,Orders!$A:$G,7,0))</f>
        <v>223.9419</v>
      </c>
      <c r="J460" t="str">
        <f>VLOOKUP(A460,Orders!$A:$G,6,0)</f>
        <v>Breakfast</v>
      </c>
      <c r="K460" t="str">
        <f>VLOOKUP(A460,Orders!$A:$G,5,0)</f>
        <v>UPI</v>
      </c>
      <c r="L460">
        <f t="shared" si="7"/>
        <v>112.08</v>
      </c>
    </row>
    <row r="461" spans="1:12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  <c r="I461">
        <f>C461*D461*(1-VLOOKUP(A461,Orders!$A:$G,7,0))</f>
        <v>233.78810000000004</v>
      </c>
      <c r="J461" t="str">
        <f>VLOOKUP(A461,Orders!$A:$G,6,0)</f>
        <v>Breakfast</v>
      </c>
      <c r="K461" t="str">
        <f>VLOOKUP(A461,Orders!$A:$G,5,0)</f>
        <v>UPI</v>
      </c>
      <c r="L461">
        <f t="shared" si="7"/>
        <v>121.24</v>
      </c>
    </row>
    <row r="462" spans="1:12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  <c r="I462">
        <f>C462*D462*(1-VLOOKUP(A462,Orders!$A:$G,7,0))</f>
        <v>103.8674</v>
      </c>
      <c r="J462" t="str">
        <f>VLOOKUP(A462,Orders!$A:$G,6,0)</f>
        <v>Breakfast</v>
      </c>
      <c r="K462" t="str">
        <f>VLOOKUP(A462,Orders!$A:$G,5,0)</f>
        <v>UPI</v>
      </c>
      <c r="L462">
        <f t="shared" si="7"/>
        <v>58.28</v>
      </c>
    </row>
    <row r="463" spans="1:12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  <c r="I463">
        <f>C463*D463*(1-VLOOKUP(A463,Orders!$A:$G,7,0))</f>
        <v>52.45</v>
      </c>
      <c r="J463" t="str">
        <f>VLOOKUP(A463,Orders!$A:$G,6,0)</f>
        <v>Dinner</v>
      </c>
      <c r="K463" t="str">
        <f>VLOOKUP(A463,Orders!$A:$G,5,0)</f>
        <v>Card</v>
      </c>
      <c r="L463">
        <f t="shared" si="7"/>
        <v>25.8</v>
      </c>
    </row>
    <row r="464" spans="1:12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  <c r="I464">
        <f>C464*D464*(1-VLOOKUP(A464,Orders!$A:$G,7,0))</f>
        <v>87.379199999999997</v>
      </c>
      <c r="J464" t="str">
        <f>VLOOKUP(A464,Orders!$A:$G,6,0)</f>
        <v>Dinner</v>
      </c>
      <c r="K464" t="str">
        <f>VLOOKUP(A464,Orders!$A:$G,5,0)</f>
        <v>Cash</v>
      </c>
      <c r="L464">
        <f t="shared" si="7"/>
        <v>42.54</v>
      </c>
    </row>
    <row r="465" spans="1:12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  <c r="I465">
        <f>C465*D465*(1-VLOOKUP(A465,Orders!$A:$G,7,0))</f>
        <v>63.321599999999989</v>
      </c>
      <c r="J465" t="str">
        <f>VLOOKUP(A465,Orders!$A:$G,6,0)</f>
        <v>Dinner</v>
      </c>
      <c r="K465" t="str">
        <f>VLOOKUP(A465,Orders!$A:$G,5,0)</f>
        <v>Cash</v>
      </c>
      <c r="L465">
        <f t="shared" si="7"/>
        <v>23.68</v>
      </c>
    </row>
    <row r="466" spans="1:12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  <c r="I466">
        <f>C466*D466*(1-VLOOKUP(A466,Orders!$A:$G,7,0))</f>
        <v>34.254000000000005</v>
      </c>
      <c r="J466" t="str">
        <f>VLOOKUP(A466,Orders!$A:$G,6,0)</f>
        <v>Breakfast</v>
      </c>
      <c r="K466" t="str">
        <f>VLOOKUP(A466,Orders!$A:$G,5,0)</f>
        <v>Card</v>
      </c>
      <c r="L466">
        <f t="shared" si="7"/>
        <v>19.55</v>
      </c>
    </row>
    <row r="467" spans="1:12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  <c r="I467">
        <f>C467*D467*(1-VLOOKUP(A467,Orders!$A:$G,7,0))</f>
        <v>45.170999999999999</v>
      </c>
      <c r="J467" t="str">
        <f>VLOOKUP(A467,Orders!$A:$G,6,0)</f>
        <v>Breakfast</v>
      </c>
      <c r="K467" t="str">
        <f>VLOOKUP(A467,Orders!$A:$G,5,0)</f>
        <v>Card</v>
      </c>
      <c r="L467">
        <f t="shared" si="7"/>
        <v>22.61</v>
      </c>
    </row>
    <row r="468" spans="1:12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  <c r="I468">
        <f>C468*D468*(1-VLOOKUP(A468,Orders!$A:$G,7,0))</f>
        <v>51.363</v>
      </c>
      <c r="J468" t="str">
        <f>VLOOKUP(A468,Orders!$A:$G,6,0)</f>
        <v>Breakfast</v>
      </c>
      <c r="K468" t="str">
        <f>VLOOKUP(A468,Orders!$A:$G,5,0)</f>
        <v>Card</v>
      </c>
      <c r="L468">
        <f t="shared" si="7"/>
        <v>29.14</v>
      </c>
    </row>
    <row r="469" spans="1:12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  <c r="I469">
        <f>C469*D469*(1-VLOOKUP(A469,Orders!$A:$G,7,0))</f>
        <v>66.307600000000008</v>
      </c>
      <c r="J469" t="str">
        <f>VLOOKUP(A469,Orders!$A:$G,6,0)</f>
        <v>Breakfast</v>
      </c>
      <c r="K469" t="str">
        <f>VLOOKUP(A469,Orders!$A:$G,5,0)</f>
        <v>UPI</v>
      </c>
      <c r="L469">
        <f t="shared" si="7"/>
        <v>35.81</v>
      </c>
    </row>
    <row r="470" spans="1:12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  <c r="I470">
        <f>C470*D470*(1-VLOOKUP(A470,Orders!$A:$G,7,0))</f>
        <v>53.645799999999994</v>
      </c>
      <c r="J470" t="str">
        <f>VLOOKUP(A470,Orders!$A:$G,6,0)</f>
        <v>Breakfast</v>
      </c>
      <c r="K470" t="str">
        <f>VLOOKUP(A470,Orders!$A:$G,5,0)</f>
        <v>UPI</v>
      </c>
      <c r="L470">
        <f t="shared" si="7"/>
        <v>29.14</v>
      </c>
    </row>
    <row r="471" spans="1:12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  <c r="I471">
        <f>C471*D471*(1-VLOOKUP(A471,Orders!$A:$G,7,0))</f>
        <v>18.903399999999998</v>
      </c>
      <c r="J471" t="str">
        <f>VLOOKUP(A471,Orders!$A:$G,6,0)</f>
        <v>Breakfast</v>
      </c>
      <c r="K471" t="str">
        <f>VLOOKUP(A471,Orders!$A:$G,5,0)</f>
        <v>UPI</v>
      </c>
      <c r="L471">
        <f t="shared" si="7"/>
        <v>8</v>
      </c>
    </row>
    <row r="472" spans="1:12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  <c r="I472">
        <f>C472*D472*(1-VLOOKUP(A472,Orders!$A:$G,7,0))</f>
        <v>59.4664</v>
      </c>
      <c r="J472" t="str">
        <f>VLOOKUP(A472,Orders!$A:$G,6,0)</f>
        <v>Breakfast</v>
      </c>
      <c r="K472" t="str">
        <f>VLOOKUP(A472,Orders!$A:$G,5,0)</f>
        <v>Cash</v>
      </c>
      <c r="L472">
        <f t="shared" si="7"/>
        <v>28.36</v>
      </c>
    </row>
    <row r="473" spans="1:12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  <c r="I473">
        <f>C473*D473*(1-VLOOKUP(A473,Orders!$A:$G,7,0))</f>
        <v>68.4238</v>
      </c>
      <c r="J473" t="str">
        <f>VLOOKUP(A473,Orders!$A:$G,6,0)</f>
        <v>Breakfast</v>
      </c>
      <c r="K473" t="str">
        <f>VLOOKUP(A473,Orders!$A:$G,5,0)</f>
        <v>Cash</v>
      </c>
      <c r="L473">
        <f t="shared" si="7"/>
        <v>35.81</v>
      </c>
    </row>
    <row r="474" spans="1:12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  <c r="I474">
        <f>C474*D474*(1-VLOOKUP(A474,Orders!$A:$G,7,0))</f>
        <v>63.981199999999994</v>
      </c>
      <c r="J474" t="str">
        <f>VLOOKUP(A474,Orders!$A:$G,6,0)</f>
        <v>Breakfast</v>
      </c>
      <c r="K474" t="str">
        <f>VLOOKUP(A474,Orders!$A:$G,5,0)</f>
        <v>Cash</v>
      </c>
      <c r="L474">
        <f t="shared" si="7"/>
        <v>23.68</v>
      </c>
    </row>
    <row r="475" spans="1:12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  <c r="I475">
        <f>C475*D475*(1-VLOOKUP(A475,Orders!$A:$G,7,0))</f>
        <v>105.148</v>
      </c>
      <c r="J475" t="str">
        <f>VLOOKUP(A475,Orders!$A:$G,6,0)</f>
        <v>Breakfast</v>
      </c>
      <c r="K475" t="str">
        <f>VLOOKUP(A475,Orders!$A:$G,5,0)</f>
        <v>Cash</v>
      </c>
      <c r="L475">
        <f t="shared" si="7"/>
        <v>43.9</v>
      </c>
    </row>
    <row r="476" spans="1:12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  <c r="I476">
        <f>C476*D476*(1-VLOOKUP(A476,Orders!$A:$G,7,0))</f>
        <v>165.70510000000002</v>
      </c>
      <c r="J476" t="str">
        <f>VLOOKUP(A476,Orders!$A:$G,6,0)</f>
        <v>Breakfast</v>
      </c>
      <c r="K476" t="str">
        <f>VLOOKUP(A476,Orders!$A:$G,5,0)</f>
        <v>Cash</v>
      </c>
      <c r="L476">
        <f t="shared" si="7"/>
        <v>74.069999999999993</v>
      </c>
    </row>
    <row r="477" spans="1:12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  <c r="I477">
        <f>C477*D477*(1-VLOOKUP(A477,Orders!$A:$G,7,0))</f>
        <v>40.404000000000003</v>
      </c>
      <c r="J477" t="str">
        <f>VLOOKUP(A477,Orders!$A:$G,6,0)</f>
        <v>Dinner</v>
      </c>
      <c r="K477" t="str">
        <f>VLOOKUP(A477,Orders!$A:$G,5,0)</f>
        <v>UPI</v>
      </c>
      <c r="L477">
        <f t="shared" si="7"/>
        <v>18.760000000000002</v>
      </c>
    </row>
    <row r="478" spans="1:12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  <c r="I478">
        <f>C478*D478*(1-VLOOKUP(A478,Orders!$A:$G,7,0))</f>
        <v>36.600200000000001</v>
      </c>
      <c r="J478" t="str">
        <f>VLOOKUP(A478,Orders!$A:$G,6,0)</f>
        <v>Dinner</v>
      </c>
      <c r="K478" t="str">
        <f>VLOOKUP(A478,Orders!$A:$G,5,0)</f>
        <v>UPI</v>
      </c>
      <c r="L478">
        <f t="shared" si="7"/>
        <v>16</v>
      </c>
    </row>
    <row r="479" spans="1:12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  <c r="I479">
        <f>C479*D479*(1-VLOOKUP(A479,Orders!$A:$G,7,0))</f>
        <v>64.191400000000002</v>
      </c>
      <c r="J479" t="str">
        <f>VLOOKUP(A479,Orders!$A:$G,6,0)</f>
        <v>Dinner</v>
      </c>
      <c r="K479" t="str">
        <f>VLOOKUP(A479,Orders!$A:$G,5,0)</f>
        <v>UPI</v>
      </c>
      <c r="L479">
        <f t="shared" si="7"/>
        <v>35.81</v>
      </c>
    </row>
    <row r="480" spans="1:12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  <c r="I480">
        <f>C480*D480*(1-VLOOKUP(A480,Orders!$A:$G,7,0))</f>
        <v>45.672899999999998</v>
      </c>
      <c r="J480" t="str">
        <f>VLOOKUP(A480,Orders!$A:$G,6,0)</f>
        <v>Dinner</v>
      </c>
      <c r="K480" t="str">
        <f>VLOOKUP(A480,Orders!$A:$G,5,0)</f>
        <v>UPI</v>
      </c>
      <c r="L480">
        <f t="shared" si="7"/>
        <v>22.61</v>
      </c>
    </row>
    <row r="481" spans="1:12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  <c r="I481">
        <f>C481*D481*(1-VLOOKUP(A481,Orders!$A:$G,7,0))</f>
        <v>68.4238</v>
      </c>
      <c r="J481" t="str">
        <f>VLOOKUP(A481,Orders!$A:$G,6,0)</f>
        <v>Dinner</v>
      </c>
      <c r="K481" t="str">
        <f>VLOOKUP(A481,Orders!$A:$G,5,0)</f>
        <v>UPI</v>
      </c>
      <c r="L481">
        <f t="shared" si="7"/>
        <v>35.81</v>
      </c>
    </row>
    <row r="482" spans="1:12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  <c r="I482">
        <f>C482*D482*(1-VLOOKUP(A482,Orders!$A:$G,7,0))</f>
        <v>39.013399999999997</v>
      </c>
      <c r="J482" t="str">
        <f>VLOOKUP(A482,Orders!$A:$G,6,0)</f>
        <v>Dinner</v>
      </c>
      <c r="K482" t="str">
        <f>VLOOKUP(A482,Orders!$A:$G,5,0)</f>
        <v>UPI</v>
      </c>
      <c r="L482">
        <f t="shared" si="7"/>
        <v>16</v>
      </c>
    </row>
    <row r="483" spans="1:12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  <c r="I483">
        <f>C483*D483*(1-VLOOKUP(A483,Orders!$A:$G,7,0))</f>
        <v>477.41460000000001</v>
      </c>
      <c r="J483" t="str">
        <f>VLOOKUP(A483,Orders!$A:$G,6,0)</f>
        <v>Dinner</v>
      </c>
      <c r="K483" t="str">
        <f>VLOOKUP(A483,Orders!$A:$G,5,0)</f>
        <v>UPI</v>
      </c>
      <c r="L483">
        <f t="shared" si="7"/>
        <v>224.16</v>
      </c>
    </row>
    <row r="484" spans="1:12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  <c r="I484">
        <f>C484*D484*(1-VLOOKUP(A484,Orders!$A:$G,7,0))</f>
        <v>136.15199999999999</v>
      </c>
      <c r="J484" t="str">
        <f>VLOOKUP(A484,Orders!$A:$G,6,0)</f>
        <v>Lunch</v>
      </c>
      <c r="K484" t="str">
        <f>VLOOKUP(A484,Orders!$A:$G,5,0)</f>
        <v>Cash</v>
      </c>
      <c r="L484">
        <f t="shared" si="7"/>
        <v>80.92</v>
      </c>
    </row>
    <row r="485" spans="1:12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  <c r="I485">
        <f>C485*D485*(1-VLOOKUP(A485,Orders!$A:$G,7,0))</f>
        <v>94.357199999999992</v>
      </c>
      <c r="J485" t="str">
        <f>VLOOKUP(A485,Orders!$A:$G,6,0)</f>
        <v>Breakfast</v>
      </c>
      <c r="K485" t="str">
        <f>VLOOKUP(A485,Orders!$A:$G,5,0)</f>
        <v>Card</v>
      </c>
      <c r="L485">
        <f t="shared" si="7"/>
        <v>45.22</v>
      </c>
    </row>
    <row r="486" spans="1:12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  <c r="I486">
        <f>C486*D486*(1-VLOOKUP(A486,Orders!$A:$G,7,0))</f>
        <v>160.9374</v>
      </c>
      <c r="J486" t="str">
        <f>VLOOKUP(A486,Orders!$A:$G,6,0)</f>
        <v>Breakfast</v>
      </c>
      <c r="K486" t="str">
        <f>VLOOKUP(A486,Orders!$A:$G,5,0)</f>
        <v>Card</v>
      </c>
      <c r="L486">
        <f t="shared" si="7"/>
        <v>87.42</v>
      </c>
    </row>
    <row r="487" spans="1:12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  <c r="I487">
        <f>C487*D487*(1-VLOOKUP(A487,Orders!$A:$G,7,0))</f>
        <v>498.40540000000004</v>
      </c>
      <c r="J487" t="str">
        <f>VLOOKUP(A487,Orders!$A:$G,6,0)</f>
        <v>Breakfast</v>
      </c>
      <c r="K487" t="str">
        <f>VLOOKUP(A487,Orders!$A:$G,5,0)</f>
        <v>UPI</v>
      </c>
      <c r="L487">
        <f t="shared" si="7"/>
        <v>242.48</v>
      </c>
    </row>
    <row r="488" spans="1:12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  <c r="I488">
        <f>C488*D488*(1-VLOOKUP(A488,Orders!$A:$G,7,0))</f>
        <v>17.093499999999999</v>
      </c>
      <c r="J488" t="str">
        <f>VLOOKUP(A488,Orders!$A:$G,6,0)</f>
        <v>Lunch</v>
      </c>
      <c r="K488" t="str">
        <f>VLOOKUP(A488,Orders!$A:$G,5,0)</f>
        <v>Card</v>
      </c>
      <c r="L488">
        <f t="shared" si="7"/>
        <v>8</v>
      </c>
    </row>
    <row r="489" spans="1:12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  <c r="I489">
        <f>C489*D489*(1-VLOOKUP(A489,Orders!$A:$G,7,0))</f>
        <v>59.959000000000003</v>
      </c>
      <c r="J489" t="str">
        <f>VLOOKUP(A489,Orders!$A:$G,6,0)</f>
        <v>Lunch</v>
      </c>
      <c r="K489" t="str">
        <f>VLOOKUP(A489,Orders!$A:$G,5,0)</f>
        <v>Card</v>
      </c>
      <c r="L489">
        <f t="shared" si="7"/>
        <v>35.81</v>
      </c>
    </row>
    <row r="490" spans="1:12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  <c r="I490">
        <f>C490*D490*(1-VLOOKUP(A490,Orders!$A:$G,7,0))</f>
        <v>84.09899999999999</v>
      </c>
      <c r="J490" t="str">
        <f>VLOOKUP(A490,Orders!$A:$G,6,0)</f>
        <v>Lunch</v>
      </c>
      <c r="K490" t="str">
        <f>VLOOKUP(A490,Orders!$A:$G,5,0)</f>
        <v>Card</v>
      </c>
      <c r="L490">
        <f t="shared" si="7"/>
        <v>35.519999999999996</v>
      </c>
    </row>
    <row r="491" spans="1:12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  <c r="I491">
        <f>C491*D491*(1-VLOOKUP(A491,Orders!$A:$G,7,0))</f>
        <v>48.509499999999996</v>
      </c>
      <c r="J491" t="str">
        <f>VLOOKUP(A491,Orders!$A:$G,6,0)</f>
        <v>Lunch</v>
      </c>
      <c r="K491" t="str">
        <f>VLOOKUP(A491,Orders!$A:$G,5,0)</f>
        <v>Card</v>
      </c>
      <c r="L491">
        <f t="shared" si="7"/>
        <v>29.14</v>
      </c>
    </row>
    <row r="492" spans="1:12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  <c r="I492">
        <f>C492*D492*(1-VLOOKUP(A492,Orders!$A:$G,7,0))</f>
        <v>40.404000000000003</v>
      </c>
      <c r="J492" t="str">
        <f>VLOOKUP(A492,Orders!$A:$G,6,0)</f>
        <v>Breakfast</v>
      </c>
      <c r="K492" t="str">
        <f>VLOOKUP(A492,Orders!$A:$G,5,0)</f>
        <v>Card</v>
      </c>
      <c r="L492">
        <f t="shared" si="7"/>
        <v>18.760000000000002</v>
      </c>
    </row>
    <row r="493" spans="1:12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  <c r="I493">
        <f>C493*D493*(1-VLOOKUP(A493,Orders!$A:$G,7,0))</f>
        <v>91.345799999999997</v>
      </c>
      <c r="J493" t="str">
        <f>VLOOKUP(A493,Orders!$A:$G,6,0)</f>
        <v>Breakfast</v>
      </c>
      <c r="K493" t="str">
        <f>VLOOKUP(A493,Orders!$A:$G,5,0)</f>
        <v>Card</v>
      </c>
      <c r="L493">
        <f t="shared" si="7"/>
        <v>45.22</v>
      </c>
    </row>
    <row r="494" spans="1:12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  <c r="I494">
        <f>C494*D494*(1-VLOOKUP(A494,Orders!$A:$G,7,0))</f>
        <v>95.459000000000003</v>
      </c>
      <c r="J494" t="str">
        <f>VLOOKUP(A494,Orders!$A:$G,6,0)</f>
        <v>Breakfast</v>
      </c>
      <c r="K494" t="str">
        <f>VLOOKUP(A494,Orders!$A:$G,5,0)</f>
        <v>Card</v>
      </c>
      <c r="L494">
        <f t="shared" si="7"/>
        <v>51.6</v>
      </c>
    </row>
    <row r="495" spans="1:12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  <c r="I495">
        <f>C495*D495*(1-VLOOKUP(A495,Orders!$A:$G,7,0))</f>
        <v>116.8</v>
      </c>
      <c r="J495" t="str">
        <f>VLOOKUP(A495,Orders!$A:$G,6,0)</f>
        <v>Lunch</v>
      </c>
      <c r="K495" t="str">
        <f>VLOOKUP(A495,Orders!$A:$G,5,0)</f>
        <v>Cash</v>
      </c>
      <c r="L495">
        <f t="shared" si="7"/>
        <v>48.97</v>
      </c>
    </row>
    <row r="496" spans="1:12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  <c r="I496">
        <f>C496*D496*(1-VLOOKUP(A496,Orders!$A:$G,7,0))</f>
        <v>100.38</v>
      </c>
      <c r="J496" t="str">
        <f>VLOOKUP(A496,Orders!$A:$G,6,0)</f>
        <v>Lunch</v>
      </c>
      <c r="K496" t="str">
        <f>VLOOKUP(A496,Orders!$A:$G,5,0)</f>
        <v>Cash</v>
      </c>
      <c r="L496">
        <f t="shared" si="7"/>
        <v>45.22</v>
      </c>
    </row>
    <row r="497" spans="1:12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  <c r="I497">
        <f>C497*D497*(1-VLOOKUP(A497,Orders!$A:$G,7,0))</f>
        <v>513.82000000000005</v>
      </c>
      <c r="J497" t="str">
        <f>VLOOKUP(A497,Orders!$A:$G,6,0)</f>
        <v>Lunch</v>
      </c>
      <c r="K497" t="str">
        <f>VLOOKUP(A497,Orders!$A:$G,5,0)</f>
        <v>Cash</v>
      </c>
      <c r="L497">
        <f t="shared" si="7"/>
        <v>242.48</v>
      </c>
    </row>
    <row r="498" spans="1:12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  <c r="I498">
        <f>C498*D498*(1-VLOOKUP(A498,Orders!$A:$G,7,0))</f>
        <v>71.191499999999991</v>
      </c>
      <c r="J498" t="str">
        <f>VLOOKUP(A498,Orders!$A:$G,6,0)</f>
        <v>Breakfast</v>
      </c>
      <c r="K498" t="str">
        <f>VLOOKUP(A498,Orders!$A:$G,5,0)</f>
        <v>UPI</v>
      </c>
      <c r="L498">
        <f t="shared" si="7"/>
        <v>38.229999999999997</v>
      </c>
    </row>
    <row r="499" spans="1:12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  <c r="I499">
        <f>C499*D499*(1-VLOOKUP(A499,Orders!$A:$G,7,0))</f>
        <v>111.4605</v>
      </c>
      <c r="J499" t="str">
        <f>VLOOKUP(A499,Orders!$A:$G,6,0)</f>
        <v>Breakfast</v>
      </c>
      <c r="K499" t="str">
        <f>VLOOKUP(A499,Orders!$A:$G,5,0)</f>
        <v>UPI</v>
      </c>
      <c r="L499">
        <f t="shared" si="7"/>
        <v>46.53</v>
      </c>
    </row>
    <row r="500" spans="1:12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  <c r="I500">
        <f>C500*D500*(1-VLOOKUP(A500,Orders!$A:$G,7,0))</f>
        <v>136.15199999999999</v>
      </c>
      <c r="J500" t="str">
        <f>VLOOKUP(A500,Orders!$A:$G,6,0)</f>
        <v>Breakfast</v>
      </c>
      <c r="K500" t="str">
        <f>VLOOKUP(A500,Orders!$A:$G,5,0)</f>
        <v>UPI</v>
      </c>
      <c r="L500">
        <f t="shared" si="7"/>
        <v>80.92</v>
      </c>
    </row>
    <row r="501" spans="1:12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  <c r="I501">
        <f>C501*D501*(1-VLOOKUP(A501,Orders!$A:$G,7,0))</f>
        <v>58.8596</v>
      </c>
      <c r="J501" t="str">
        <f>VLOOKUP(A501,Orders!$A:$G,6,0)</f>
        <v>Dinner</v>
      </c>
      <c r="K501" t="str">
        <f>VLOOKUP(A501,Orders!$A:$G,5,0)</f>
        <v>Card</v>
      </c>
      <c r="L501">
        <f t="shared" si="7"/>
        <v>28.36</v>
      </c>
    </row>
    <row r="502" spans="1:12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  <c r="I502">
        <f>C502*D502*(1-VLOOKUP(A502,Orders!$A:$G,7,0))</f>
        <v>249.20270000000002</v>
      </c>
      <c r="J502" t="str">
        <f>VLOOKUP(A502,Orders!$A:$G,6,0)</f>
        <v>Dinner</v>
      </c>
      <c r="K502" t="str">
        <f>VLOOKUP(A502,Orders!$A:$G,5,0)</f>
        <v>Card</v>
      </c>
      <c r="L502">
        <f t="shared" si="7"/>
        <v>121.24</v>
      </c>
    </row>
    <row r="503" spans="1:12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  <c r="I503">
        <f>C503*D503*(1-VLOOKUP(A503,Orders!$A:$G,7,0))</f>
        <v>51.933700000000002</v>
      </c>
      <c r="J503" t="str">
        <f>VLOOKUP(A503,Orders!$A:$G,6,0)</f>
        <v>Breakfast</v>
      </c>
      <c r="K503" t="str">
        <f>VLOOKUP(A503,Orders!$A:$G,5,0)</f>
        <v>UPI</v>
      </c>
      <c r="L503">
        <f t="shared" si="7"/>
        <v>29.14</v>
      </c>
    </row>
    <row r="504" spans="1:12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  <c r="I504">
        <f>C504*D504*(1-VLOOKUP(A504,Orders!$A:$G,7,0))</f>
        <v>55.218800000000002</v>
      </c>
      <c r="J504" t="str">
        <f>VLOOKUP(A504,Orders!$A:$G,6,0)</f>
        <v>Breakfast</v>
      </c>
      <c r="K504" t="str">
        <f>VLOOKUP(A504,Orders!$A:$G,5,0)</f>
        <v>UPI</v>
      </c>
      <c r="L504">
        <f t="shared" si="7"/>
        <v>28.36</v>
      </c>
    </row>
    <row r="505" spans="1:12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  <c r="I505">
        <f>C505*D505*(1-VLOOKUP(A505,Orders!$A:$G,7,0))</f>
        <v>238.7073</v>
      </c>
      <c r="J505" t="str">
        <f>VLOOKUP(A505,Orders!$A:$G,6,0)</f>
        <v>Breakfast</v>
      </c>
      <c r="K505" t="str">
        <f>VLOOKUP(A505,Orders!$A:$G,5,0)</f>
        <v>Card</v>
      </c>
      <c r="L505">
        <f t="shared" si="7"/>
        <v>112.08</v>
      </c>
    </row>
    <row r="506" spans="1:12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  <c r="I506">
        <f>C506*D506*(1-VLOOKUP(A506,Orders!$A:$G,7,0))</f>
        <v>249.20270000000002</v>
      </c>
      <c r="J506" t="str">
        <f>VLOOKUP(A506,Orders!$A:$G,6,0)</f>
        <v>Breakfast</v>
      </c>
      <c r="K506" t="str">
        <f>VLOOKUP(A506,Orders!$A:$G,5,0)</f>
        <v>Card</v>
      </c>
      <c r="L506">
        <f t="shared" si="7"/>
        <v>121.24</v>
      </c>
    </row>
    <row r="507" spans="1:12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  <c r="I507">
        <f>C507*D507*(1-VLOOKUP(A507,Orders!$A:$G,7,0))</f>
        <v>331.41020000000003</v>
      </c>
      <c r="J507" t="str">
        <f>VLOOKUP(A507,Orders!$A:$G,6,0)</f>
        <v>Breakfast</v>
      </c>
      <c r="K507" t="str">
        <f>VLOOKUP(A507,Orders!$A:$G,5,0)</f>
        <v>Card</v>
      </c>
      <c r="L507">
        <f t="shared" si="7"/>
        <v>148.13999999999999</v>
      </c>
    </row>
    <row r="508" spans="1:12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  <c r="I508">
        <f>C508*D508*(1-VLOOKUP(A508,Orders!$A:$G,7,0))</f>
        <v>31.990599999999997</v>
      </c>
      <c r="J508" t="str">
        <f>VLOOKUP(A508,Orders!$A:$G,6,0)</f>
        <v>Breakfast</v>
      </c>
      <c r="K508" t="str">
        <f>VLOOKUP(A508,Orders!$A:$G,5,0)</f>
        <v>Card</v>
      </c>
      <c r="L508">
        <f t="shared" si="7"/>
        <v>11.84</v>
      </c>
    </row>
    <row r="509" spans="1:12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  <c r="I509">
        <f>C509*D509*(1-VLOOKUP(A509,Orders!$A:$G,7,0))</f>
        <v>37.552999999999997</v>
      </c>
      <c r="J509" t="str">
        <f>VLOOKUP(A509,Orders!$A:$G,6,0)</f>
        <v>Breakfast</v>
      </c>
      <c r="K509" t="str">
        <f>VLOOKUP(A509,Orders!$A:$G,5,0)</f>
        <v>UPI</v>
      </c>
      <c r="L509">
        <f t="shared" si="7"/>
        <v>15.51</v>
      </c>
    </row>
    <row r="510" spans="1:12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  <c r="I510">
        <f>C510*D510*(1-VLOOKUP(A510,Orders!$A:$G,7,0))</f>
        <v>35.0152</v>
      </c>
      <c r="J510" t="str">
        <f>VLOOKUP(A510,Orders!$A:$G,6,0)</f>
        <v>Lunch</v>
      </c>
      <c r="K510" t="str">
        <f>VLOOKUP(A510,Orders!$A:$G,5,0)</f>
        <v>UPI</v>
      </c>
      <c r="L510">
        <f t="shared" si="7"/>
        <v>19.55</v>
      </c>
    </row>
    <row r="511" spans="1:12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  <c r="I511">
        <f>C511*D511*(1-VLOOKUP(A511,Orders!$A:$G,7,0))</f>
        <v>155.45530000000002</v>
      </c>
      <c r="J511" t="str">
        <f>VLOOKUP(A511,Orders!$A:$G,6,0)</f>
        <v>Dinner</v>
      </c>
      <c r="K511" t="str">
        <f>VLOOKUP(A511,Orders!$A:$G,5,0)</f>
        <v>Cash</v>
      </c>
      <c r="L511">
        <f t="shared" si="7"/>
        <v>74.069999999999993</v>
      </c>
    </row>
    <row r="512" spans="1:12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  <c r="I512">
        <f>C512*D512*(1-VLOOKUP(A512,Orders!$A:$G,7,0))</f>
        <v>144.93600000000001</v>
      </c>
      <c r="J512" t="str">
        <f>VLOOKUP(A512,Orders!$A:$G,6,0)</f>
        <v>Breakfast</v>
      </c>
      <c r="K512" t="str">
        <f>VLOOKUP(A512,Orders!$A:$G,5,0)</f>
        <v>Card</v>
      </c>
      <c r="L512">
        <f t="shared" si="7"/>
        <v>80.92</v>
      </c>
    </row>
    <row r="513" spans="1:12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  <c r="I513">
        <f>C513*D513*(1-VLOOKUP(A513,Orders!$A:$G,7,0))</f>
        <v>107.316</v>
      </c>
      <c r="J513" t="str">
        <f>VLOOKUP(A513,Orders!$A:$G,6,0)</f>
        <v>Breakfast</v>
      </c>
      <c r="K513" t="str">
        <f>VLOOKUP(A513,Orders!$A:$G,5,0)</f>
        <v>Card</v>
      </c>
      <c r="L513">
        <f t="shared" si="7"/>
        <v>43.9</v>
      </c>
    </row>
    <row r="514" spans="1:12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  <c r="I514">
        <f>C514*D514*(1-VLOOKUP(A514,Orders!$A:$G,7,0))</f>
        <v>21.09</v>
      </c>
      <c r="J514" t="str">
        <f>VLOOKUP(A514,Orders!$A:$G,6,0)</f>
        <v>Breakfast</v>
      </c>
      <c r="K514" t="str">
        <f>VLOOKUP(A514,Orders!$A:$G,5,0)</f>
        <v>UPI</v>
      </c>
      <c r="L514">
        <f t="shared" ref="L514:L577" si="8">C514*E514</f>
        <v>9.3800000000000008</v>
      </c>
    </row>
    <row r="515" spans="1:12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  <c r="I515">
        <f>C515*D515*(1-VLOOKUP(A515,Orders!$A:$G,7,0))</f>
        <v>648.68849999999998</v>
      </c>
      <c r="J515" t="str">
        <f>VLOOKUP(A515,Orders!$A:$G,6,0)</f>
        <v>Breakfast</v>
      </c>
      <c r="K515" t="str">
        <f>VLOOKUP(A515,Orders!$A:$G,5,0)</f>
        <v>UPI</v>
      </c>
      <c r="L515">
        <f t="shared" si="8"/>
        <v>288.65999999999997</v>
      </c>
    </row>
    <row r="516" spans="1:12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  <c r="I516">
        <f>C516*D516*(1-VLOOKUP(A516,Orders!$A:$G,7,0))</f>
        <v>233.78549999999998</v>
      </c>
      <c r="J516" t="str">
        <f>VLOOKUP(A516,Orders!$A:$G,6,0)</f>
        <v>Breakfast</v>
      </c>
      <c r="K516" t="str">
        <f>VLOOKUP(A516,Orders!$A:$G,5,0)</f>
        <v>UPI</v>
      </c>
      <c r="L516">
        <f t="shared" si="8"/>
        <v>112.08</v>
      </c>
    </row>
    <row r="517" spans="1:12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  <c r="I517">
        <f>C517*D517*(1-VLOOKUP(A517,Orders!$A:$G,7,0))</f>
        <v>140.54400000000001</v>
      </c>
      <c r="J517" t="str">
        <f>VLOOKUP(A517,Orders!$A:$G,6,0)</f>
        <v>Breakfast</v>
      </c>
      <c r="K517" t="str">
        <f>VLOOKUP(A517,Orders!$A:$G,5,0)</f>
        <v>UPI</v>
      </c>
      <c r="L517">
        <f t="shared" si="8"/>
        <v>80.92</v>
      </c>
    </row>
    <row r="518" spans="1:12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  <c r="I518">
        <f>C518*D518*(1-VLOOKUP(A518,Orders!$A:$G,7,0))</f>
        <v>76.704000000000008</v>
      </c>
      <c r="J518" t="str">
        <f>VLOOKUP(A518,Orders!$A:$G,6,0)</f>
        <v>Breakfast</v>
      </c>
      <c r="K518" t="str">
        <f>VLOOKUP(A518,Orders!$A:$G,5,0)</f>
        <v>UPI</v>
      </c>
      <c r="L518">
        <f t="shared" si="8"/>
        <v>31.02</v>
      </c>
    </row>
    <row r="519" spans="1:12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  <c r="I519">
        <f>C519*D519*(1-VLOOKUP(A519,Orders!$A:$G,7,0))</f>
        <v>29.1264</v>
      </c>
      <c r="J519" t="str">
        <f>VLOOKUP(A519,Orders!$A:$G,6,0)</f>
        <v>Breakfast</v>
      </c>
      <c r="K519" t="str">
        <f>VLOOKUP(A519,Orders!$A:$G,5,0)</f>
        <v>UPI</v>
      </c>
      <c r="L519">
        <f t="shared" si="8"/>
        <v>14.18</v>
      </c>
    </row>
    <row r="520" spans="1:12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  <c r="I520">
        <f>C520*D520*(1-VLOOKUP(A520,Orders!$A:$G,7,0))</f>
        <v>50.352000000000004</v>
      </c>
      <c r="J520" t="str">
        <f>VLOOKUP(A520,Orders!$A:$G,6,0)</f>
        <v>Breakfast</v>
      </c>
      <c r="K520" t="str">
        <f>VLOOKUP(A520,Orders!$A:$G,5,0)</f>
        <v>UPI</v>
      </c>
      <c r="L520">
        <f t="shared" si="8"/>
        <v>25.8</v>
      </c>
    </row>
    <row r="521" spans="1:12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  <c r="I521">
        <f>C521*D521*(1-VLOOKUP(A521,Orders!$A:$G,7,0))</f>
        <v>82.73129999999999</v>
      </c>
      <c r="J521" t="str">
        <f>VLOOKUP(A521,Orders!$A:$G,6,0)</f>
        <v>Dinner</v>
      </c>
      <c r="K521" t="str">
        <f>VLOOKUP(A521,Orders!$A:$G,5,0)</f>
        <v>Cash</v>
      </c>
      <c r="L521">
        <f t="shared" si="8"/>
        <v>41.67</v>
      </c>
    </row>
    <row r="522" spans="1:12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  <c r="I522">
        <f>C522*D522*(1-VLOOKUP(A522,Orders!$A:$G,7,0))</f>
        <v>36.918199999999999</v>
      </c>
      <c r="J522" t="str">
        <f>VLOOKUP(A522,Orders!$A:$G,6,0)</f>
        <v>Dinner</v>
      </c>
      <c r="K522" t="str">
        <f>VLOOKUP(A522,Orders!$A:$G,5,0)</f>
        <v>Cash</v>
      </c>
      <c r="L522">
        <f t="shared" si="8"/>
        <v>19.55</v>
      </c>
    </row>
    <row r="523" spans="1:12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  <c r="I523">
        <f>C523*D523*(1-VLOOKUP(A523,Orders!$A:$G,7,0))</f>
        <v>63.981199999999994</v>
      </c>
      <c r="J523" t="str">
        <f>VLOOKUP(A523,Orders!$A:$G,6,0)</f>
        <v>Dinner</v>
      </c>
      <c r="K523" t="str">
        <f>VLOOKUP(A523,Orders!$A:$G,5,0)</f>
        <v>Cash</v>
      </c>
      <c r="L523">
        <f t="shared" si="8"/>
        <v>23.68</v>
      </c>
    </row>
    <row r="524" spans="1:12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  <c r="I524">
        <f>C524*D524*(1-VLOOKUP(A524,Orders!$A:$G,7,0))</f>
        <v>29.4298</v>
      </c>
      <c r="J524" t="str">
        <f>VLOOKUP(A524,Orders!$A:$G,6,0)</f>
        <v>Dinner</v>
      </c>
      <c r="K524" t="str">
        <f>VLOOKUP(A524,Orders!$A:$G,5,0)</f>
        <v>Cash</v>
      </c>
      <c r="L524">
        <f t="shared" si="8"/>
        <v>14.18</v>
      </c>
    </row>
    <row r="525" spans="1:12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  <c r="I525">
        <f>C525*D525*(1-VLOOKUP(A525,Orders!$A:$G,7,0))</f>
        <v>214.09829999999999</v>
      </c>
      <c r="J525" t="str">
        <f>VLOOKUP(A525,Orders!$A:$G,6,0)</f>
        <v>Breakfast</v>
      </c>
      <c r="K525" t="str">
        <f>VLOOKUP(A525,Orders!$A:$G,5,0)</f>
        <v>Card</v>
      </c>
      <c r="L525">
        <f t="shared" si="8"/>
        <v>112.08</v>
      </c>
    </row>
    <row r="526" spans="1:12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  <c r="I526">
        <f>C526*D526*(1-VLOOKUP(A526,Orders!$A:$G,7,0))</f>
        <v>148.95269999999999</v>
      </c>
      <c r="J526" t="str">
        <f>VLOOKUP(A526,Orders!$A:$G,6,0)</f>
        <v>Breakfast</v>
      </c>
      <c r="K526" t="str">
        <f>VLOOKUP(A526,Orders!$A:$G,5,0)</f>
        <v>Card</v>
      </c>
      <c r="L526">
        <f t="shared" si="8"/>
        <v>87.42</v>
      </c>
    </row>
    <row r="527" spans="1:12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  <c r="I527">
        <f>C527*D527*(1-VLOOKUP(A527,Orders!$A:$G,7,0))</f>
        <v>61.271999999999998</v>
      </c>
      <c r="J527" t="str">
        <f>VLOOKUP(A527,Orders!$A:$G,6,0)</f>
        <v>Dinner</v>
      </c>
      <c r="K527" t="str">
        <f>VLOOKUP(A527,Orders!$A:$G,5,0)</f>
        <v>Cash</v>
      </c>
      <c r="L527">
        <f t="shared" si="8"/>
        <v>28.14</v>
      </c>
    </row>
    <row r="528" spans="1:12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  <c r="I528">
        <f>C528*D528*(1-VLOOKUP(A528,Orders!$A:$G,7,0))</f>
        <v>70.0304</v>
      </c>
      <c r="J528" t="str">
        <f>VLOOKUP(A528,Orders!$A:$G,6,0)</f>
        <v>Dinner</v>
      </c>
      <c r="K528" t="str">
        <f>VLOOKUP(A528,Orders!$A:$G,5,0)</f>
        <v>Cash</v>
      </c>
      <c r="L528">
        <f t="shared" si="8"/>
        <v>39.1</v>
      </c>
    </row>
    <row r="529" spans="1:12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  <c r="I529">
        <f>C529*D529*(1-VLOOKUP(A529,Orders!$A:$G,7,0))</f>
        <v>149.0643</v>
      </c>
      <c r="J529" t="str">
        <f>VLOOKUP(A529,Orders!$A:$G,6,0)</f>
        <v>Breakfast</v>
      </c>
      <c r="K529" t="str">
        <f>VLOOKUP(A529,Orders!$A:$G,5,0)</f>
        <v>Card</v>
      </c>
      <c r="L529">
        <f t="shared" si="8"/>
        <v>67.83</v>
      </c>
    </row>
    <row r="530" spans="1:12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  <c r="I530">
        <f>C530*D530*(1-VLOOKUP(A530,Orders!$A:$G,7,0))</f>
        <v>19.908899999999999</v>
      </c>
      <c r="J530" t="str">
        <f>VLOOKUP(A530,Orders!$A:$G,6,0)</f>
        <v>Breakfast</v>
      </c>
      <c r="K530" t="str">
        <f>VLOOKUP(A530,Orders!$A:$G,5,0)</f>
        <v>Card</v>
      </c>
      <c r="L530">
        <f t="shared" si="8"/>
        <v>8</v>
      </c>
    </row>
    <row r="531" spans="1:12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  <c r="I531">
        <f>C531*D531*(1-VLOOKUP(A531,Orders!$A:$G,7,0))</f>
        <v>56.291399999999996</v>
      </c>
      <c r="J531" t="str">
        <f>VLOOKUP(A531,Orders!$A:$G,6,0)</f>
        <v>Breakfast</v>
      </c>
      <c r="K531" t="str">
        <f>VLOOKUP(A531,Orders!$A:$G,5,0)</f>
        <v>Card</v>
      </c>
      <c r="L531">
        <f t="shared" si="8"/>
        <v>27.78</v>
      </c>
    </row>
    <row r="532" spans="1:12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  <c r="I532">
        <f>C532*D532*(1-VLOOKUP(A532,Orders!$A:$G,7,0))</f>
        <v>18.099</v>
      </c>
      <c r="J532" t="str">
        <f>VLOOKUP(A532,Orders!$A:$G,6,0)</f>
        <v>Dinner</v>
      </c>
      <c r="K532" t="str">
        <f>VLOOKUP(A532,Orders!$A:$G,5,0)</f>
        <v>Card</v>
      </c>
      <c r="L532">
        <f t="shared" si="8"/>
        <v>8</v>
      </c>
    </row>
    <row r="533" spans="1:12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  <c r="I533">
        <f>C533*D533*(1-VLOOKUP(A533,Orders!$A:$G,7,0))</f>
        <v>442.96199999999999</v>
      </c>
      <c r="J533" t="str">
        <f>VLOOKUP(A533,Orders!$A:$G,6,0)</f>
        <v>Dinner</v>
      </c>
      <c r="K533" t="str">
        <f>VLOOKUP(A533,Orders!$A:$G,5,0)</f>
        <v>Card</v>
      </c>
      <c r="L533">
        <f t="shared" si="8"/>
        <v>224.16</v>
      </c>
    </row>
    <row r="534" spans="1:12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  <c r="I534">
        <f>C534*D534*(1-VLOOKUP(A534,Orders!$A:$G,7,0))</f>
        <v>19.98</v>
      </c>
      <c r="J534" t="str">
        <f>VLOOKUP(A534,Orders!$A:$G,6,0)</f>
        <v>Dinner</v>
      </c>
      <c r="K534" t="str">
        <f>VLOOKUP(A534,Orders!$A:$G,5,0)</f>
        <v>Card</v>
      </c>
      <c r="L534">
        <f t="shared" si="8"/>
        <v>9.3800000000000008</v>
      </c>
    </row>
    <row r="535" spans="1:12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  <c r="I535">
        <f>C535*D535*(1-VLOOKUP(A535,Orders!$A:$G,7,0))</f>
        <v>662.82780000000002</v>
      </c>
      <c r="J535" t="str">
        <f>VLOOKUP(A535,Orders!$A:$G,6,0)</f>
        <v>Dinner</v>
      </c>
      <c r="K535" t="str">
        <f>VLOOKUP(A535,Orders!$A:$G,5,0)</f>
        <v>UPI</v>
      </c>
      <c r="L535">
        <f t="shared" si="8"/>
        <v>363.71999999999997</v>
      </c>
    </row>
    <row r="536" spans="1:12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  <c r="I536">
        <f>C536*D536*(1-VLOOKUP(A536,Orders!$A:$G,7,0))</f>
        <v>181.9932</v>
      </c>
      <c r="J536" t="str">
        <f>VLOOKUP(A536,Orders!$A:$G,6,0)</f>
        <v>Dinner</v>
      </c>
      <c r="K536" t="str">
        <f>VLOOKUP(A536,Orders!$A:$G,5,0)</f>
        <v>UPI</v>
      </c>
      <c r="L536">
        <f t="shared" si="8"/>
        <v>107.43</v>
      </c>
    </row>
    <row r="537" spans="1:12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  <c r="I537">
        <f>C537*D537*(1-VLOOKUP(A537,Orders!$A:$G,7,0))</f>
        <v>35.955000000000005</v>
      </c>
      <c r="J537" t="str">
        <f>VLOOKUP(A537,Orders!$A:$G,6,0)</f>
        <v>Dinner</v>
      </c>
      <c r="K537" t="str">
        <f>VLOOKUP(A537,Orders!$A:$G,5,0)</f>
        <v>Card</v>
      </c>
      <c r="L537">
        <f t="shared" si="8"/>
        <v>15.51</v>
      </c>
    </row>
    <row r="538" spans="1:12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  <c r="I538">
        <f>C538*D538*(1-VLOOKUP(A538,Orders!$A:$G,7,0))</f>
        <v>51.363</v>
      </c>
      <c r="J538" t="str">
        <f>VLOOKUP(A538,Orders!$A:$G,6,0)</f>
        <v>Dinner</v>
      </c>
      <c r="K538" t="str">
        <f>VLOOKUP(A538,Orders!$A:$G,5,0)</f>
        <v>Card</v>
      </c>
      <c r="L538">
        <f t="shared" si="8"/>
        <v>29.14</v>
      </c>
    </row>
    <row r="539" spans="1:12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  <c r="I539">
        <f>C539*D539*(1-VLOOKUP(A539,Orders!$A:$G,7,0))</f>
        <v>25.587</v>
      </c>
      <c r="J539" t="str">
        <f>VLOOKUP(A539,Orders!$A:$G,6,0)</f>
        <v>Dinner</v>
      </c>
      <c r="K539" t="str">
        <f>VLOOKUP(A539,Orders!$A:$G,5,0)</f>
        <v>Card</v>
      </c>
      <c r="L539">
        <f t="shared" si="8"/>
        <v>13.89</v>
      </c>
    </row>
    <row r="540" spans="1:12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  <c r="I540">
        <f>C540*D540*(1-VLOOKUP(A540,Orders!$A:$G,7,0))</f>
        <v>204.84900000000002</v>
      </c>
      <c r="J540" t="str">
        <f>VLOOKUP(A540,Orders!$A:$G,6,0)</f>
        <v>Dinner</v>
      </c>
      <c r="K540" t="str">
        <f>VLOOKUP(A540,Orders!$A:$G,5,0)</f>
        <v>Card</v>
      </c>
      <c r="L540">
        <f t="shared" si="8"/>
        <v>96.22</v>
      </c>
    </row>
    <row r="541" spans="1:12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  <c r="I541">
        <f>C541*D541*(1-VLOOKUP(A541,Orders!$A:$G,7,0))</f>
        <v>100.38</v>
      </c>
      <c r="J541" t="str">
        <f>VLOOKUP(A541,Orders!$A:$G,6,0)</f>
        <v>Dinner</v>
      </c>
      <c r="K541" t="str">
        <f>VLOOKUP(A541,Orders!$A:$G,5,0)</f>
        <v>Cash</v>
      </c>
      <c r="L541">
        <f t="shared" si="8"/>
        <v>45.22</v>
      </c>
    </row>
    <row r="542" spans="1:12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  <c r="I542">
        <f>C542*D542*(1-VLOOKUP(A542,Orders!$A:$G,7,0))</f>
        <v>114.18</v>
      </c>
      <c r="J542" t="str">
        <f>VLOOKUP(A542,Orders!$A:$G,6,0)</f>
        <v>Dinner</v>
      </c>
      <c r="K542" t="str">
        <f>VLOOKUP(A542,Orders!$A:$G,5,0)</f>
        <v>Cash</v>
      </c>
      <c r="L542">
        <f t="shared" si="8"/>
        <v>58.650000000000006</v>
      </c>
    </row>
    <row r="543" spans="1:12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  <c r="I543">
        <f>C543*D543*(1-VLOOKUP(A543,Orders!$A:$G,7,0))</f>
        <v>227.61</v>
      </c>
      <c r="J543" t="str">
        <f>VLOOKUP(A543,Orders!$A:$G,6,0)</f>
        <v>Dinner</v>
      </c>
      <c r="K543" t="str">
        <f>VLOOKUP(A543,Orders!$A:$G,5,0)</f>
        <v>Cash</v>
      </c>
      <c r="L543">
        <f t="shared" si="8"/>
        <v>96.22</v>
      </c>
    </row>
    <row r="544" spans="1:12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  <c r="I544">
        <f>C544*D544*(1-VLOOKUP(A544,Orders!$A:$G,7,0))</f>
        <v>54.787199999999999</v>
      </c>
      <c r="J544" t="str">
        <f>VLOOKUP(A544,Orders!$A:$G,6,0)</f>
        <v>Breakfast</v>
      </c>
      <c r="K544" t="str">
        <f>VLOOKUP(A544,Orders!$A:$G,5,0)</f>
        <v>UPI</v>
      </c>
      <c r="L544">
        <f t="shared" si="8"/>
        <v>29.14</v>
      </c>
    </row>
    <row r="545" spans="1:12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  <c r="I545">
        <f>C545*D545*(1-VLOOKUP(A545,Orders!$A:$G,7,0))</f>
        <v>21.311999999999998</v>
      </c>
      <c r="J545" t="str">
        <f>VLOOKUP(A545,Orders!$A:$G,6,0)</f>
        <v>Breakfast</v>
      </c>
      <c r="K545" t="str">
        <f>VLOOKUP(A545,Orders!$A:$G,5,0)</f>
        <v>UPI</v>
      </c>
      <c r="L545">
        <f t="shared" si="8"/>
        <v>9.3800000000000008</v>
      </c>
    </row>
    <row r="546" spans="1:12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  <c r="I546">
        <f>C546*D546*(1-VLOOKUP(A546,Orders!$A:$G,7,0))</f>
        <v>655.51679999999999</v>
      </c>
      <c r="J546" t="str">
        <f>VLOOKUP(A546,Orders!$A:$G,6,0)</f>
        <v>Breakfast</v>
      </c>
      <c r="K546" t="str">
        <f>VLOOKUP(A546,Orders!$A:$G,5,0)</f>
        <v>UPI</v>
      </c>
      <c r="L546">
        <f t="shared" si="8"/>
        <v>288.65999999999997</v>
      </c>
    </row>
    <row r="547" spans="1:12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  <c r="I547">
        <f>C547*D547*(1-VLOOKUP(A547,Orders!$A:$G,7,0))</f>
        <v>44.6691</v>
      </c>
      <c r="J547" t="str">
        <f>VLOOKUP(A547,Orders!$A:$G,6,0)</f>
        <v>Lunch</v>
      </c>
      <c r="K547" t="str">
        <f>VLOOKUP(A547,Orders!$A:$G,5,0)</f>
        <v>Cash</v>
      </c>
      <c r="L547">
        <f t="shared" si="8"/>
        <v>22.61</v>
      </c>
    </row>
    <row r="548" spans="1:12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  <c r="I548">
        <f>C548*D548*(1-VLOOKUP(A548,Orders!$A:$G,7,0))</f>
        <v>130.29600000000002</v>
      </c>
      <c r="J548" t="str">
        <f>VLOOKUP(A548,Orders!$A:$G,6,0)</f>
        <v>Lunch</v>
      </c>
      <c r="K548" t="str">
        <f>VLOOKUP(A548,Orders!$A:$G,5,0)</f>
        <v>Cash</v>
      </c>
      <c r="L548">
        <f t="shared" si="8"/>
        <v>80.92</v>
      </c>
    </row>
    <row r="549" spans="1:12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  <c r="I549">
        <f>C549*D549*(1-VLOOKUP(A549,Orders!$A:$G,7,0))</f>
        <v>17.8979</v>
      </c>
      <c r="J549" t="str">
        <f>VLOOKUP(A549,Orders!$A:$G,6,0)</f>
        <v>Lunch</v>
      </c>
      <c r="K549" t="str">
        <f>VLOOKUP(A549,Orders!$A:$G,5,0)</f>
        <v>Cash</v>
      </c>
      <c r="L549">
        <f t="shared" si="8"/>
        <v>8</v>
      </c>
    </row>
    <row r="550" spans="1:12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  <c r="I550">
        <f>C550*D550*(1-VLOOKUP(A550,Orders!$A:$G,7,0))</f>
        <v>136.25899999999999</v>
      </c>
      <c r="J550" t="str">
        <f>VLOOKUP(A550,Orders!$A:$G,6,0)</f>
        <v>Lunch</v>
      </c>
      <c r="K550" t="str">
        <f>VLOOKUP(A550,Orders!$A:$G,5,0)</f>
        <v>Cash</v>
      </c>
      <c r="L550">
        <f t="shared" si="8"/>
        <v>76.459999999999994</v>
      </c>
    </row>
    <row r="551" spans="1:12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  <c r="I551">
        <f>C551*D551*(1-VLOOKUP(A551,Orders!$A:$G,7,0))</f>
        <v>39.013399999999997</v>
      </c>
      <c r="J551" t="str">
        <f>VLOOKUP(A551,Orders!$A:$G,6,0)</f>
        <v>Breakfast</v>
      </c>
      <c r="K551" t="str">
        <f>VLOOKUP(A551,Orders!$A:$G,5,0)</f>
        <v>Cash</v>
      </c>
      <c r="L551">
        <f t="shared" si="8"/>
        <v>16</v>
      </c>
    </row>
    <row r="552" spans="1:12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  <c r="I552">
        <f>C552*D552*(1-VLOOKUP(A552,Orders!$A:$G,7,0))</f>
        <v>58.8596</v>
      </c>
      <c r="J552" t="str">
        <f>VLOOKUP(A552,Orders!$A:$G,6,0)</f>
        <v>Breakfast</v>
      </c>
      <c r="K552" t="str">
        <f>VLOOKUP(A552,Orders!$A:$G,5,0)</f>
        <v>Cash</v>
      </c>
      <c r="L552">
        <f t="shared" si="8"/>
        <v>28.36</v>
      </c>
    </row>
    <row r="553" spans="1:12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  <c r="I553">
        <f>C553*D553*(1-VLOOKUP(A553,Orders!$A:$G,7,0))</f>
        <v>68.4238</v>
      </c>
      <c r="J553" t="str">
        <f>VLOOKUP(A553,Orders!$A:$G,6,0)</f>
        <v>Breakfast</v>
      </c>
      <c r="K553" t="str">
        <f>VLOOKUP(A553,Orders!$A:$G,5,0)</f>
        <v>Cash</v>
      </c>
      <c r="L553">
        <f t="shared" si="8"/>
        <v>35.81</v>
      </c>
    </row>
    <row r="554" spans="1:12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  <c r="I554">
        <f>C554*D554*(1-VLOOKUP(A554,Orders!$A:$G,7,0))</f>
        <v>157.16360000000003</v>
      </c>
      <c r="J554" t="str">
        <f>VLOOKUP(A554,Orders!$A:$G,6,0)</f>
        <v>Breakfast</v>
      </c>
      <c r="K554" t="str">
        <f>VLOOKUP(A554,Orders!$A:$G,5,0)</f>
        <v>Card</v>
      </c>
      <c r="L554">
        <f t="shared" si="8"/>
        <v>74.069999999999993</v>
      </c>
    </row>
    <row r="555" spans="1:12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  <c r="I555">
        <f>C555*D555*(1-VLOOKUP(A555,Orders!$A:$G,7,0))</f>
        <v>236.35720000000003</v>
      </c>
      <c r="J555" t="str">
        <f>VLOOKUP(A555,Orders!$A:$G,6,0)</f>
        <v>Breakfast</v>
      </c>
      <c r="K555" t="str">
        <f>VLOOKUP(A555,Orders!$A:$G,5,0)</f>
        <v>Card</v>
      </c>
      <c r="L555">
        <f t="shared" si="8"/>
        <v>121.24</v>
      </c>
    </row>
    <row r="556" spans="1:12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  <c r="I556">
        <f>C556*D556*(1-VLOOKUP(A556,Orders!$A:$G,7,0))</f>
        <v>73.50800000000001</v>
      </c>
      <c r="J556" t="str">
        <f>VLOOKUP(A556,Orders!$A:$G,6,0)</f>
        <v>Breakfast</v>
      </c>
      <c r="K556" t="str">
        <f>VLOOKUP(A556,Orders!$A:$G,5,0)</f>
        <v>Card</v>
      </c>
      <c r="L556">
        <f t="shared" si="8"/>
        <v>31.02</v>
      </c>
    </row>
    <row r="557" spans="1:12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  <c r="I557">
        <f>C557*D557*(1-VLOOKUP(A557,Orders!$A:$G,7,0))</f>
        <v>144.76200000000003</v>
      </c>
      <c r="J557" t="str">
        <f>VLOOKUP(A557,Orders!$A:$G,6,0)</f>
        <v>Breakfast</v>
      </c>
      <c r="K557" t="str">
        <f>VLOOKUP(A557,Orders!$A:$G,5,0)</f>
        <v>Card</v>
      </c>
      <c r="L557">
        <f t="shared" si="8"/>
        <v>77.400000000000006</v>
      </c>
    </row>
    <row r="558" spans="1:12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  <c r="I558">
        <f>C558*D558*(1-VLOOKUP(A558,Orders!$A:$G,7,0))</f>
        <v>25.871300000000002</v>
      </c>
      <c r="J558" t="str">
        <f>VLOOKUP(A558,Orders!$A:$G,6,0)</f>
        <v>Dinner</v>
      </c>
      <c r="K558" t="str">
        <f>VLOOKUP(A558,Orders!$A:$G,5,0)</f>
        <v>UPI</v>
      </c>
      <c r="L558">
        <f t="shared" si="8"/>
        <v>13.89</v>
      </c>
    </row>
    <row r="559" spans="1:12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  <c r="I559">
        <f>C559*D559*(1-VLOOKUP(A559,Orders!$A:$G,7,0))</f>
        <v>111.85719999999999</v>
      </c>
      <c r="J559" t="str">
        <f>VLOOKUP(A559,Orders!$A:$G,6,0)</f>
        <v>Lunch</v>
      </c>
      <c r="K559" t="str">
        <f>VLOOKUP(A559,Orders!$A:$G,5,0)</f>
        <v>Card</v>
      </c>
      <c r="L559">
        <f t="shared" si="8"/>
        <v>58.28</v>
      </c>
    </row>
    <row r="560" spans="1:12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  <c r="I560">
        <f>C560*D560*(1-VLOOKUP(A560,Orders!$A:$G,7,0))</f>
        <v>223.05780000000001</v>
      </c>
      <c r="J560" t="str">
        <f>VLOOKUP(A560,Orders!$A:$G,6,0)</f>
        <v>Lunch</v>
      </c>
      <c r="K560" t="str">
        <f>VLOOKUP(A560,Orders!$A:$G,5,0)</f>
        <v>Card</v>
      </c>
      <c r="L560">
        <f t="shared" si="8"/>
        <v>96.22</v>
      </c>
    </row>
    <row r="561" spans="1:12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  <c r="I561">
        <f>C561*D561*(1-VLOOKUP(A561,Orders!$A:$G,7,0))</f>
        <v>334.82679999999999</v>
      </c>
      <c r="J561" t="str">
        <f>VLOOKUP(A561,Orders!$A:$G,6,0)</f>
        <v>Lunch</v>
      </c>
      <c r="K561" t="str">
        <f>VLOOKUP(A561,Orders!$A:$G,5,0)</f>
        <v>Card</v>
      </c>
      <c r="L561">
        <f t="shared" si="8"/>
        <v>148.13999999999999</v>
      </c>
    </row>
    <row r="562" spans="1:12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  <c r="I562">
        <f>C562*D562*(1-VLOOKUP(A562,Orders!$A:$G,7,0))</f>
        <v>215.87099999999995</v>
      </c>
      <c r="J562" t="str">
        <f>VLOOKUP(A562,Orders!$A:$G,6,0)</f>
        <v>Breakfast</v>
      </c>
      <c r="K562" t="str">
        <f>VLOOKUP(A562,Orders!$A:$G,5,0)</f>
        <v>Card</v>
      </c>
      <c r="L562">
        <f t="shared" si="8"/>
        <v>114.69</v>
      </c>
    </row>
    <row r="563" spans="1:12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  <c r="I563">
        <f>C563*D563*(1-VLOOKUP(A563,Orders!$A:$G,7,0))</f>
        <v>213.95339999999999</v>
      </c>
      <c r="J563" t="str">
        <f>VLOOKUP(A563,Orders!$A:$G,6,0)</f>
        <v>Breakfast</v>
      </c>
      <c r="K563" t="str">
        <f>VLOOKUP(A563,Orders!$A:$G,5,0)</f>
        <v>Card</v>
      </c>
      <c r="L563">
        <f t="shared" si="8"/>
        <v>96.22</v>
      </c>
    </row>
    <row r="564" spans="1:12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  <c r="I564">
        <f>C564*D564*(1-VLOOKUP(A564,Orders!$A:$G,7,0))</f>
        <v>152.84400000000002</v>
      </c>
      <c r="J564" t="str">
        <f>VLOOKUP(A564,Orders!$A:$G,6,0)</f>
        <v>Breakfast</v>
      </c>
      <c r="K564" t="str">
        <f>VLOOKUP(A564,Orders!$A:$G,5,0)</f>
        <v>Card</v>
      </c>
      <c r="L564">
        <f t="shared" si="8"/>
        <v>65.849999999999994</v>
      </c>
    </row>
    <row r="565" spans="1:12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  <c r="I565">
        <f>C565*D565*(1-VLOOKUP(A565,Orders!$A:$G,7,0))</f>
        <v>57.07</v>
      </c>
      <c r="J565" t="str">
        <f>VLOOKUP(A565,Orders!$A:$G,6,0)</f>
        <v>Breakfast</v>
      </c>
      <c r="K565" t="str">
        <f>VLOOKUP(A565,Orders!$A:$G,5,0)</f>
        <v>Card</v>
      </c>
      <c r="L565">
        <f t="shared" si="8"/>
        <v>29.14</v>
      </c>
    </row>
    <row r="566" spans="1:12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  <c r="I566">
        <f>C566*D566*(1-VLOOKUP(A566,Orders!$A:$G,7,0))</f>
        <v>39.151000000000003</v>
      </c>
      <c r="J566" t="str">
        <f>VLOOKUP(A566,Orders!$A:$G,6,0)</f>
        <v>Dinner</v>
      </c>
      <c r="K566" t="str">
        <f>VLOOKUP(A566,Orders!$A:$G,5,0)</f>
        <v>Card</v>
      </c>
      <c r="L566">
        <f t="shared" si="8"/>
        <v>15.51</v>
      </c>
    </row>
    <row r="567" spans="1:12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  <c r="I567">
        <f>C567*D567*(1-VLOOKUP(A567,Orders!$A:$G,7,0))</f>
        <v>39.415599999999998</v>
      </c>
      <c r="J567" t="str">
        <f>VLOOKUP(A567,Orders!$A:$G,6,0)</f>
        <v>Dinner</v>
      </c>
      <c r="K567" t="str">
        <f>VLOOKUP(A567,Orders!$A:$G,5,0)</f>
        <v>Card</v>
      </c>
      <c r="L567">
        <f t="shared" si="8"/>
        <v>16</v>
      </c>
    </row>
    <row r="568" spans="1:12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  <c r="I568">
        <f>C568*D568*(1-VLOOKUP(A568,Orders!$A:$G,7,0))</f>
        <v>59.4664</v>
      </c>
      <c r="J568" t="str">
        <f>VLOOKUP(A568,Orders!$A:$G,6,0)</f>
        <v>Dinner</v>
      </c>
      <c r="K568" t="str">
        <f>VLOOKUP(A568,Orders!$A:$G,5,0)</f>
        <v>Card</v>
      </c>
      <c r="L568">
        <f t="shared" si="8"/>
        <v>28.36</v>
      </c>
    </row>
    <row r="569" spans="1:12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  <c r="I569">
        <f>C569*D569*(1-VLOOKUP(A569,Orders!$A:$G,7,0))</f>
        <v>159.34800000000001</v>
      </c>
      <c r="J569" t="str">
        <f>VLOOKUP(A569,Orders!$A:$G,6,0)</f>
        <v>Dinner</v>
      </c>
      <c r="K569" t="str">
        <f>VLOOKUP(A569,Orders!$A:$G,5,0)</f>
        <v>Card</v>
      </c>
      <c r="L569">
        <f t="shared" si="8"/>
        <v>65.849999999999994</v>
      </c>
    </row>
    <row r="570" spans="1:12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  <c r="I570">
        <f>C570*D570*(1-VLOOKUP(A570,Orders!$A:$G,7,0))</f>
        <v>102.98</v>
      </c>
      <c r="J570" t="str">
        <f>VLOOKUP(A570,Orders!$A:$G,6,0)</f>
        <v>Dinner</v>
      </c>
      <c r="K570" t="str">
        <f>VLOOKUP(A570,Orders!$A:$G,5,0)</f>
        <v>Cash</v>
      </c>
      <c r="L570">
        <f t="shared" si="8"/>
        <v>43.9</v>
      </c>
    </row>
    <row r="571" spans="1:12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  <c r="I571">
        <f>C571*D571*(1-VLOOKUP(A571,Orders!$A:$G,7,0))</f>
        <v>21.09</v>
      </c>
      <c r="J571" t="str">
        <f>VLOOKUP(A571,Orders!$A:$G,6,0)</f>
        <v>Dinner</v>
      </c>
      <c r="K571" t="str">
        <f>VLOOKUP(A571,Orders!$A:$G,5,0)</f>
        <v>Cash</v>
      </c>
      <c r="L571">
        <f t="shared" si="8"/>
        <v>9.3800000000000008</v>
      </c>
    </row>
    <row r="572" spans="1:12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  <c r="I572">
        <f>C572*D572*(1-VLOOKUP(A572,Orders!$A:$G,7,0))</f>
        <v>54.016999999999996</v>
      </c>
      <c r="J572" t="str">
        <f>VLOOKUP(A572,Orders!$A:$G,6,0)</f>
        <v>Dinner</v>
      </c>
      <c r="K572" t="str">
        <f>VLOOKUP(A572,Orders!$A:$G,5,0)</f>
        <v>Cash</v>
      </c>
      <c r="L572">
        <f t="shared" si="8"/>
        <v>27.78</v>
      </c>
    </row>
    <row r="573" spans="1:12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  <c r="I573">
        <f>C573*D573*(1-VLOOKUP(A573,Orders!$A:$G,7,0))</f>
        <v>155.77650000000003</v>
      </c>
      <c r="J573" t="str">
        <f>VLOOKUP(A573,Orders!$A:$G,6,0)</f>
        <v>Breakfast</v>
      </c>
      <c r="K573" t="str">
        <f>VLOOKUP(A573,Orders!$A:$G,5,0)</f>
        <v>UPI</v>
      </c>
      <c r="L573">
        <f t="shared" si="8"/>
        <v>77.400000000000006</v>
      </c>
    </row>
    <row r="574" spans="1:12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  <c r="I574">
        <f>C574*D574*(1-VLOOKUP(A574,Orders!$A:$G,7,0))</f>
        <v>61.369800000000005</v>
      </c>
      <c r="J574" t="str">
        <f>VLOOKUP(A574,Orders!$A:$G,6,0)</f>
        <v>Breakfast</v>
      </c>
      <c r="K574" t="str">
        <f>VLOOKUP(A574,Orders!$A:$G,5,0)</f>
        <v>Cash</v>
      </c>
      <c r="L574">
        <f t="shared" si="8"/>
        <v>35.81</v>
      </c>
    </row>
    <row r="575" spans="1:12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  <c r="I575">
        <f>C575*D575*(1-VLOOKUP(A575,Orders!$A:$G,7,0))</f>
        <v>49.468199999999996</v>
      </c>
      <c r="J575" t="str">
        <f>VLOOKUP(A575,Orders!$A:$G,6,0)</f>
        <v>Breakfast</v>
      </c>
      <c r="K575" t="str">
        <f>VLOOKUP(A575,Orders!$A:$G,5,0)</f>
        <v>Cash</v>
      </c>
      <c r="L575">
        <f t="shared" si="8"/>
        <v>27.78</v>
      </c>
    </row>
    <row r="576" spans="1:12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  <c r="I576">
        <f>C576*D576*(1-VLOOKUP(A576,Orders!$A:$G,7,0))</f>
        <v>670.53510000000006</v>
      </c>
      <c r="J576" t="str">
        <f>VLOOKUP(A576,Orders!$A:$G,6,0)</f>
        <v>Breakfast</v>
      </c>
      <c r="K576" t="str">
        <f>VLOOKUP(A576,Orders!$A:$G,5,0)</f>
        <v>Cash</v>
      </c>
      <c r="L576">
        <f t="shared" si="8"/>
        <v>363.71999999999997</v>
      </c>
    </row>
    <row r="577" spans="1:12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  <c r="I577">
        <f>C577*D577*(1-VLOOKUP(A577,Orders!$A:$G,7,0))</f>
        <v>52.791600000000003</v>
      </c>
      <c r="J577" t="str">
        <f>VLOOKUP(A577,Orders!$A:$G,6,0)</f>
        <v>Breakfast</v>
      </c>
      <c r="K577" t="str">
        <f>VLOOKUP(A577,Orders!$A:$G,5,0)</f>
        <v>Cash</v>
      </c>
      <c r="L577">
        <f t="shared" si="8"/>
        <v>28.36</v>
      </c>
    </row>
    <row r="578" spans="1:12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  <c r="I578">
        <f>C578*D578*(1-VLOOKUP(A578,Orders!$A:$G,7,0))</f>
        <v>30.34</v>
      </c>
      <c r="J578" t="str">
        <f>VLOOKUP(A578,Orders!$A:$G,6,0)</f>
        <v>Dinner</v>
      </c>
      <c r="K578" t="str">
        <f>VLOOKUP(A578,Orders!$A:$G,5,0)</f>
        <v>UPI</v>
      </c>
      <c r="L578">
        <f t="shared" ref="L578:L641" si="9">C578*E578</f>
        <v>14.18</v>
      </c>
    </row>
    <row r="579" spans="1:12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  <c r="I579">
        <f>C579*D579*(1-VLOOKUP(A579,Orders!$A:$G,7,0))</f>
        <v>146.4</v>
      </c>
      <c r="J579" t="str">
        <f>VLOOKUP(A579,Orders!$A:$G,6,0)</f>
        <v>Dinner</v>
      </c>
      <c r="K579" t="str">
        <f>VLOOKUP(A579,Orders!$A:$G,5,0)</f>
        <v>UPI</v>
      </c>
      <c r="L579">
        <f t="shared" si="9"/>
        <v>80.92</v>
      </c>
    </row>
    <row r="580" spans="1:12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  <c r="I580">
        <f>C580*D580*(1-VLOOKUP(A580,Orders!$A:$G,7,0))</f>
        <v>153.1</v>
      </c>
      <c r="J580" t="str">
        <f>VLOOKUP(A580,Orders!$A:$G,6,0)</f>
        <v>Dinner</v>
      </c>
      <c r="K580" t="str">
        <f>VLOOKUP(A580,Orders!$A:$G,5,0)</f>
        <v>UPI</v>
      </c>
      <c r="L580">
        <f t="shared" si="9"/>
        <v>76.459999999999994</v>
      </c>
    </row>
    <row r="581" spans="1:12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  <c r="I581">
        <f>C581*D581*(1-VLOOKUP(A581,Orders!$A:$G,7,0))</f>
        <v>327.99360000000001</v>
      </c>
      <c r="J581" t="str">
        <f>VLOOKUP(A581,Orders!$A:$G,6,0)</f>
        <v>Dinner</v>
      </c>
      <c r="K581" t="str">
        <f>VLOOKUP(A581,Orders!$A:$G,5,0)</f>
        <v>UPI</v>
      </c>
      <c r="L581">
        <f t="shared" si="9"/>
        <v>148.13999999999999</v>
      </c>
    </row>
    <row r="582" spans="1:12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  <c r="I582">
        <f>C582*D582*(1-VLOOKUP(A582,Orders!$A:$G,7,0))</f>
        <v>52.032000000000004</v>
      </c>
      <c r="J582" t="str">
        <f>VLOOKUP(A582,Orders!$A:$G,6,0)</f>
        <v>Dinner</v>
      </c>
      <c r="K582" t="str">
        <f>VLOOKUP(A582,Orders!$A:$G,5,0)</f>
        <v>UPI</v>
      </c>
      <c r="L582">
        <f t="shared" si="9"/>
        <v>21.95</v>
      </c>
    </row>
    <row r="583" spans="1:12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  <c r="I583">
        <f>C583*D583*(1-VLOOKUP(A583,Orders!$A:$G,7,0))</f>
        <v>100.812</v>
      </c>
      <c r="J583" t="str">
        <f>VLOOKUP(A583,Orders!$A:$G,6,0)</f>
        <v>Breakfast</v>
      </c>
      <c r="K583" t="str">
        <f>VLOOKUP(A583,Orders!$A:$G,5,0)</f>
        <v>UPI</v>
      </c>
      <c r="L583">
        <f t="shared" si="9"/>
        <v>43.9</v>
      </c>
    </row>
    <row r="584" spans="1:12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  <c r="I584">
        <f>C584*D584*(1-VLOOKUP(A584,Orders!$A:$G,7,0))</f>
        <v>216.5592</v>
      </c>
      <c r="J584" t="str">
        <f>VLOOKUP(A584,Orders!$A:$G,6,0)</f>
        <v>Breakfast</v>
      </c>
      <c r="K584" t="str">
        <f>VLOOKUP(A584,Orders!$A:$G,5,0)</f>
        <v>Cash</v>
      </c>
      <c r="L584">
        <f t="shared" si="9"/>
        <v>112.08</v>
      </c>
    </row>
    <row r="585" spans="1:12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  <c r="I585">
        <f>C585*D585*(1-VLOOKUP(A585,Orders!$A:$G,7,0))</f>
        <v>143.08800000000002</v>
      </c>
      <c r="J585" t="str">
        <f>VLOOKUP(A585,Orders!$A:$G,6,0)</f>
        <v>Breakfast</v>
      </c>
      <c r="K585" t="str">
        <f>VLOOKUP(A585,Orders!$A:$G,5,0)</f>
        <v>Cash</v>
      </c>
      <c r="L585">
        <f t="shared" si="9"/>
        <v>65.849999999999994</v>
      </c>
    </row>
    <row r="586" spans="1:12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  <c r="I586">
        <f>C586*D586*(1-VLOOKUP(A586,Orders!$A:$G,7,0))</f>
        <v>62.075200000000002</v>
      </c>
      <c r="J586" t="str">
        <f>VLOOKUP(A586,Orders!$A:$G,6,0)</f>
        <v>Breakfast</v>
      </c>
      <c r="K586" t="str">
        <f>VLOOKUP(A586,Orders!$A:$G,5,0)</f>
        <v>Cash</v>
      </c>
      <c r="L586">
        <f t="shared" si="9"/>
        <v>35.81</v>
      </c>
    </row>
    <row r="587" spans="1:12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  <c r="I587">
        <f>C587*D587*(1-VLOOKUP(A587,Orders!$A:$G,7,0))</f>
        <v>33.492800000000003</v>
      </c>
      <c r="J587" t="str">
        <f>VLOOKUP(A587,Orders!$A:$G,6,0)</f>
        <v>Breakfast</v>
      </c>
      <c r="K587" t="str">
        <f>VLOOKUP(A587,Orders!$A:$G,5,0)</f>
        <v>Cash</v>
      </c>
      <c r="L587">
        <f t="shared" si="9"/>
        <v>19.55</v>
      </c>
    </row>
    <row r="588" spans="1:12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  <c r="I588">
        <f>C588*D588*(1-VLOOKUP(A588,Orders!$A:$G,7,0))</f>
        <v>170.83</v>
      </c>
      <c r="J588" t="str">
        <f>VLOOKUP(A588,Orders!$A:$G,6,0)</f>
        <v>Dinner</v>
      </c>
      <c r="K588" t="str">
        <f>VLOOKUP(A588,Orders!$A:$G,5,0)</f>
        <v>UPI</v>
      </c>
      <c r="L588">
        <f t="shared" si="9"/>
        <v>74.069999999999993</v>
      </c>
    </row>
    <row r="589" spans="1:12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  <c r="I589">
        <f>C589*D589*(1-VLOOKUP(A589,Orders!$A:$G,7,0))</f>
        <v>28.43</v>
      </c>
      <c r="J589" t="str">
        <f>VLOOKUP(A589,Orders!$A:$G,6,0)</f>
        <v>Dinner</v>
      </c>
      <c r="K589" t="str">
        <f>VLOOKUP(A589,Orders!$A:$G,5,0)</f>
        <v>UPI</v>
      </c>
      <c r="L589">
        <f t="shared" si="9"/>
        <v>13.89</v>
      </c>
    </row>
    <row r="590" spans="1:12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  <c r="I590">
        <f>C590*D590*(1-VLOOKUP(A590,Orders!$A:$G,7,0))</f>
        <v>103.952</v>
      </c>
      <c r="J590" t="str">
        <f>VLOOKUP(A590,Orders!$A:$G,6,0)</f>
        <v>Dinner</v>
      </c>
      <c r="K590" t="str">
        <f>VLOOKUP(A590,Orders!$A:$G,5,0)</f>
        <v>Cash</v>
      </c>
      <c r="L590">
        <f t="shared" si="9"/>
        <v>48.97</v>
      </c>
    </row>
    <row r="591" spans="1:12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  <c r="I591">
        <f>C591*D591*(1-VLOOKUP(A591,Orders!$A:$G,7,0))</f>
        <v>93.361000000000004</v>
      </c>
      <c r="J591" t="str">
        <f>VLOOKUP(A591,Orders!$A:$G,6,0)</f>
        <v>Dinner</v>
      </c>
      <c r="K591" t="str">
        <f>VLOOKUP(A591,Orders!$A:$G,5,0)</f>
        <v>Cash</v>
      </c>
      <c r="L591">
        <f t="shared" si="9"/>
        <v>51.6</v>
      </c>
    </row>
    <row r="592" spans="1:12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  <c r="I592">
        <f>C592*D592*(1-VLOOKUP(A592,Orders!$A:$G,7,0))</f>
        <v>58.704399999999993</v>
      </c>
      <c r="J592" t="str">
        <f>VLOOKUP(A592,Orders!$A:$G,6,0)</f>
        <v>Dinner</v>
      </c>
      <c r="K592" t="str">
        <f>VLOOKUP(A592,Orders!$A:$G,5,0)</f>
        <v>Cash</v>
      </c>
      <c r="L592">
        <f t="shared" si="9"/>
        <v>23.68</v>
      </c>
    </row>
    <row r="593" spans="1:12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  <c r="I593">
        <f>C593*D593*(1-VLOOKUP(A593,Orders!$A:$G,7,0))</f>
        <v>204.38849999999999</v>
      </c>
      <c r="J593" t="str">
        <f>VLOOKUP(A593,Orders!$A:$G,6,0)</f>
        <v>Dinner</v>
      </c>
      <c r="K593" t="str">
        <f>VLOOKUP(A593,Orders!$A:$G,5,0)</f>
        <v>Cash</v>
      </c>
      <c r="L593">
        <f t="shared" si="9"/>
        <v>114.69</v>
      </c>
    </row>
    <row r="594" spans="1:12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  <c r="I594">
        <f>C594*D594*(1-VLOOKUP(A594,Orders!$A:$G,7,0))</f>
        <v>20.867999999999999</v>
      </c>
      <c r="J594" t="str">
        <f>VLOOKUP(A594,Orders!$A:$G,6,0)</f>
        <v>Breakfast</v>
      </c>
      <c r="K594" t="str">
        <f>VLOOKUP(A594,Orders!$A:$G,5,0)</f>
        <v>UPI</v>
      </c>
      <c r="L594">
        <f t="shared" si="9"/>
        <v>9.3800000000000008</v>
      </c>
    </row>
    <row r="595" spans="1:12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  <c r="I595">
        <f>C595*D595*(1-VLOOKUP(A595,Orders!$A:$G,7,0))</f>
        <v>462.64920000000001</v>
      </c>
      <c r="J595" t="str">
        <f>VLOOKUP(A595,Orders!$A:$G,6,0)</f>
        <v>Breakfast</v>
      </c>
      <c r="K595" t="str">
        <f>VLOOKUP(A595,Orders!$A:$G,5,0)</f>
        <v>UPI</v>
      </c>
      <c r="L595">
        <f t="shared" si="9"/>
        <v>224.16</v>
      </c>
    </row>
    <row r="596" spans="1:12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  <c r="I596">
        <f>C596*D596*(1-VLOOKUP(A596,Orders!$A:$G,7,0))</f>
        <v>98.372399999999999</v>
      </c>
      <c r="J596" t="str">
        <f>VLOOKUP(A596,Orders!$A:$G,6,0)</f>
        <v>Lunch</v>
      </c>
      <c r="K596" t="str">
        <f>VLOOKUP(A596,Orders!$A:$G,5,0)</f>
        <v>UPI</v>
      </c>
      <c r="L596">
        <f t="shared" si="9"/>
        <v>45.22</v>
      </c>
    </row>
    <row r="597" spans="1:12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  <c r="I597">
        <f>C597*D597*(1-VLOOKUP(A597,Orders!$A:$G,7,0))</f>
        <v>29.7332</v>
      </c>
      <c r="J597" t="str">
        <f>VLOOKUP(A597,Orders!$A:$G,6,0)</f>
        <v>Lunch</v>
      </c>
      <c r="K597" t="str">
        <f>VLOOKUP(A597,Orders!$A:$G,5,0)</f>
        <v>UPI</v>
      </c>
      <c r="L597">
        <f t="shared" si="9"/>
        <v>14.18</v>
      </c>
    </row>
    <row r="598" spans="1:12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  <c r="I598">
        <f>C598*D598*(1-VLOOKUP(A598,Orders!$A:$G,7,0))</f>
        <v>36.754000000000005</v>
      </c>
      <c r="J598" t="str">
        <f>VLOOKUP(A598,Orders!$A:$G,6,0)</f>
        <v>Breakfast</v>
      </c>
      <c r="K598" t="str">
        <f>VLOOKUP(A598,Orders!$A:$G,5,0)</f>
        <v>UPI</v>
      </c>
      <c r="L598">
        <f t="shared" si="9"/>
        <v>15.51</v>
      </c>
    </row>
    <row r="599" spans="1:12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  <c r="I599">
        <f>C599*D599*(1-VLOOKUP(A599,Orders!$A:$G,7,0))</f>
        <v>136.15199999999999</v>
      </c>
      <c r="J599" t="str">
        <f>VLOOKUP(A599,Orders!$A:$G,6,0)</f>
        <v>Dinner</v>
      </c>
      <c r="K599" t="str">
        <f>VLOOKUP(A599,Orders!$A:$G,5,0)</f>
        <v>UPI</v>
      </c>
      <c r="L599">
        <f t="shared" si="9"/>
        <v>80.92</v>
      </c>
    </row>
    <row r="600" spans="1:12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  <c r="I600">
        <f>C600*D600*(1-VLOOKUP(A600,Orders!$A:$G,7,0))</f>
        <v>135.43680000000001</v>
      </c>
      <c r="J600" t="str">
        <f>VLOOKUP(A600,Orders!$A:$G,6,0)</f>
        <v>Breakfast</v>
      </c>
      <c r="K600" t="str">
        <f>VLOOKUP(A600,Orders!$A:$G,5,0)</f>
        <v>Card</v>
      </c>
      <c r="L600">
        <f t="shared" si="9"/>
        <v>71.62</v>
      </c>
    </row>
    <row r="601" spans="1:12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  <c r="I601">
        <f>C601*D601*(1-VLOOKUP(A601,Orders!$A:$G,7,0))</f>
        <v>54.787199999999999</v>
      </c>
      <c r="J601" t="str">
        <f>VLOOKUP(A601,Orders!$A:$G,6,0)</f>
        <v>Breakfast</v>
      </c>
      <c r="K601" t="str">
        <f>VLOOKUP(A601,Orders!$A:$G,5,0)</f>
        <v>Card</v>
      </c>
      <c r="L601">
        <f t="shared" si="9"/>
        <v>29.14</v>
      </c>
    </row>
    <row r="602" spans="1:12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  <c r="I602">
        <f>C602*D602*(1-VLOOKUP(A602,Orders!$A:$G,7,0))</f>
        <v>75.105999999999995</v>
      </c>
      <c r="J602" t="str">
        <f>VLOOKUP(A602,Orders!$A:$G,6,0)</f>
        <v>Dinner</v>
      </c>
      <c r="K602" t="str">
        <f>VLOOKUP(A602,Orders!$A:$G,5,0)</f>
        <v>Cash</v>
      </c>
      <c r="L602">
        <f t="shared" si="9"/>
        <v>31.02</v>
      </c>
    </row>
    <row r="603" spans="1:12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  <c r="I603">
        <f>C603*D603*(1-VLOOKUP(A603,Orders!$A:$G,7,0))</f>
        <v>146.976</v>
      </c>
      <c r="J603" t="str">
        <f>VLOOKUP(A603,Orders!$A:$G,6,0)</f>
        <v>Lunch</v>
      </c>
      <c r="K603" t="str">
        <f>VLOOKUP(A603,Orders!$A:$G,5,0)</f>
        <v>Cash</v>
      </c>
      <c r="L603">
        <f t="shared" si="9"/>
        <v>76.459999999999994</v>
      </c>
    </row>
    <row r="604" spans="1:12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  <c r="I604">
        <f>C604*D604*(1-VLOOKUP(A604,Orders!$A:$G,7,0))</f>
        <v>21.311999999999998</v>
      </c>
      <c r="J604" t="str">
        <f>VLOOKUP(A604,Orders!$A:$G,6,0)</f>
        <v>Lunch</v>
      </c>
      <c r="K604" t="str">
        <f>VLOOKUP(A604,Orders!$A:$G,5,0)</f>
        <v>Cash</v>
      </c>
      <c r="L604">
        <f t="shared" si="9"/>
        <v>9.3800000000000008</v>
      </c>
    </row>
    <row r="605" spans="1:12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  <c r="I605">
        <f>C605*D605*(1-VLOOKUP(A605,Orders!$A:$G,7,0))</f>
        <v>135.43680000000001</v>
      </c>
      <c r="J605" t="str">
        <f>VLOOKUP(A605,Orders!$A:$G,6,0)</f>
        <v>Lunch</v>
      </c>
      <c r="K605" t="str">
        <f>VLOOKUP(A605,Orders!$A:$G,5,0)</f>
        <v>Cash</v>
      </c>
      <c r="L605">
        <f t="shared" si="9"/>
        <v>71.62</v>
      </c>
    </row>
    <row r="606" spans="1:12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  <c r="I606">
        <f>C606*D606*(1-VLOOKUP(A606,Orders!$A:$G,7,0))</f>
        <v>54.585599999999999</v>
      </c>
      <c r="J606" t="str">
        <f>VLOOKUP(A606,Orders!$A:$G,6,0)</f>
        <v>Lunch</v>
      </c>
      <c r="K606" t="str">
        <f>VLOOKUP(A606,Orders!$A:$G,5,0)</f>
        <v>Cash</v>
      </c>
      <c r="L606">
        <f t="shared" si="9"/>
        <v>27.78</v>
      </c>
    </row>
    <row r="607" spans="1:12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  <c r="I607">
        <f>C607*D607*(1-VLOOKUP(A607,Orders!$A:$G,7,0))</f>
        <v>56.710199999999993</v>
      </c>
      <c r="J607" t="str">
        <f>VLOOKUP(A607,Orders!$A:$G,6,0)</f>
        <v>Dinner</v>
      </c>
      <c r="K607" t="str">
        <f>VLOOKUP(A607,Orders!$A:$G,5,0)</f>
        <v>UPI</v>
      </c>
      <c r="L607">
        <f t="shared" si="9"/>
        <v>24</v>
      </c>
    </row>
    <row r="608" spans="1:12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  <c r="I608">
        <f>C608*D608*(1-VLOOKUP(A608,Orders!$A:$G,7,0))</f>
        <v>71.956999999999994</v>
      </c>
      <c r="J608" t="str">
        <f>VLOOKUP(A608,Orders!$A:$G,6,0)</f>
        <v>Dinner</v>
      </c>
      <c r="K608" t="str">
        <f>VLOOKUP(A608,Orders!$A:$G,5,0)</f>
        <v>UPI</v>
      </c>
      <c r="L608">
        <f t="shared" si="9"/>
        <v>38.229999999999997</v>
      </c>
    </row>
    <row r="609" spans="1:12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  <c r="I609">
        <f>C609*D609*(1-VLOOKUP(A609,Orders!$A:$G,7,0))</f>
        <v>275.23199999999997</v>
      </c>
      <c r="J609" t="str">
        <f>VLOOKUP(A609,Orders!$A:$G,6,0)</f>
        <v>Dinner</v>
      </c>
      <c r="K609" t="str">
        <f>VLOOKUP(A609,Orders!$A:$G,5,0)</f>
        <v>UPI</v>
      </c>
      <c r="L609">
        <f t="shared" si="9"/>
        <v>161.84</v>
      </c>
    </row>
    <row r="610" spans="1:12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  <c r="I610">
        <f>C610*D610*(1-VLOOKUP(A610,Orders!$A:$G,7,0))</f>
        <v>192.57420000000002</v>
      </c>
      <c r="J610" t="str">
        <f>VLOOKUP(A610,Orders!$A:$G,6,0)</f>
        <v>Dinner</v>
      </c>
      <c r="K610" t="str">
        <f>VLOOKUP(A610,Orders!$A:$G,5,0)</f>
        <v>UPI</v>
      </c>
      <c r="L610">
        <f t="shared" si="9"/>
        <v>107.43</v>
      </c>
    </row>
    <row r="611" spans="1:12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  <c r="I611">
        <f>C611*D611*(1-VLOOKUP(A611,Orders!$A:$G,7,0))</f>
        <v>310.91060000000004</v>
      </c>
      <c r="J611" t="str">
        <f>VLOOKUP(A611,Orders!$A:$G,6,0)</f>
        <v>Dinner</v>
      </c>
      <c r="K611" t="str">
        <f>VLOOKUP(A611,Orders!$A:$G,5,0)</f>
        <v>UPI</v>
      </c>
      <c r="L611">
        <f t="shared" si="9"/>
        <v>148.13999999999999</v>
      </c>
    </row>
    <row r="612" spans="1:12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  <c r="I612">
        <f>C612*D612*(1-VLOOKUP(A612,Orders!$A:$G,7,0))</f>
        <v>208.98149999999998</v>
      </c>
      <c r="J612" t="str">
        <f>VLOOKUP(A612,Orders!$A:$G,6,0)</f>
        <v>Dinner</v>
      </c>
      <c r="K612" t="str">
        <f>VLOOKUP(A612,Orders!$A:$G,5,0)</f>
        <v>UPI</v>
      </c>
      <c r="L612">
        <f t="shared" si="9"/>
        <v>114.69</v>
      </c>
    </row>
    <row r="613" spans="1:12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  <c r="I613">
        <f>C613*D613*(1-VLOOKUP(A613,Orders!$A:$G,7,0))</f>
        <v>467.57620000000009</v>
      </c>
      <c r="J613" t="str">
        <f>VLOOKUP(A613,Orders!$A:$G,6,0)</f>
        <v>Dinner</v>
      </c>
      <c r="K613" t="str">
        <f>VLOOKUP(A613,Orders!$A:$G,5,0)</f>
        <v>UPI</v>
      </c>
      <c r="L613">
        <f t="shared" si="9"/>
        <v>242.48</v>
      </c>
    </row>
    <row r="614" spans="1:12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  <c r="I614">
        <f>C614*D614*(1-VLOOKUP(A614,Orders!$A:$G,7,0))</f>
        <v>26.699200000000001</v>
      </c>
      <c r="J614" t="str">
        <f>VLOOKUP(A614,Orders!$A:$G,6,0)</f>
        <v>Breakfast</v>
      </c>
      <c r="K614" t="str">
        <f>VLOOKUP(A614,Orders!$A:$G,5,0)</f>
        <v>Card</v>
      </c>
      <c r="L614">
        <f t="shared" si="9"/>
        <v>14.18</v>
      </c>
    </row>
    <row r="615" spans="1:12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  <c r="I615">
        <f>C615*D615*(1-VLOOKUP(A615,Orders!$A:$G,7,0))</f>
        <v>102.78399999999999</v>
      </c>
      <c r="J615" t="str">
        <f>VLOOKUP(A615,Orders!$A:$G,6,0)</f>
        <v>Breakfast</v>
      </c>
      <c r="K615" t="str">
        <f>VLOOKUP(A615,Orders!$A:$G,5,0)</f>
        <v>Card</v>
      </c>
      <c r="L615">
        <f t="shared" si="9"/>
        <v>48.97</v>
      </c>
    </row>
    <row r="616" spans="1:12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  <c r="I616">
        <f>C616*D616*(1-VLOOKUP(A616,Orders!$A:$G,7,0))</f>
        <v>37.679400000000001</v>
      </c>
      <c r="J616" t="str">
        <f>VLOOKUP(A616,Orders!$A:$G,6,0)</f>
        <v>Breakfast</v>
      </c>
      <c r="K616" t="str">
        <f>VLOOKUP(A616,Orders!$A:$G,5,0)</f>
        <v>UPI</v>
      </c>
      <c r="L616">
        <f t="shared" si="9"/>
        <v>19.55</v>
      </c>
    </row>
    <row r="617" spans="1:12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  <c r="I617">
        <f>C617*D617*(1-VLOOKUP(A617,Orders!$A:$G,7,0))</f>
        <v>508.68180000000007</v>
      </c>
      <c r="J617" t="str">
        <f>VLOOKUP(A617,Orders!$A:$G,6,0)</f>
        <v>Breakfast</v>
      </c>
      <c r="K617" t="str">
        <f>VLOOKUP(A617,Orders!$A:$G,5,0)</f>
        <v>UPI</v>
      </c>
      <c r="L617">
        <f t="shared" si="9"/>
        <v>242.48</v>
      </c>
    </row>
    <row r="618" spans="1:12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  <c r="I618">
        <f>C618*D618*(1-VLOOKUP(A618,Orders!$A:$G,7,0))</f>
        <v>79.100999999999999</v>
      </c>
      <c r="J618" t="str">
        <f>VLOOKUP(A618,Orders!$A:$G,6,0)</f>
        <v>Breakfast</v>
      </c>
      <c r="K618" t="str">
        <f>VLOOKUP(A618,Orders!$A:$G,5,0)</f>
        <v>UPI</v>
      </c>
      <c r="L618">
        <f t="shared" si="9"/>
        <v>31.02</v>
      </c>
    </row>
    <row r="619" spans="1:12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  <c r="I619">
        <f>C619*D619*(1-VLOOKUP(A619,Orders!$A:$G,7,0))</f>
        <v>487.25819999999999</v>
      </c>
      <c r="J619" t="str">
        <f>VLOOKUP(A619,Orders!$A:$G,6,0)</f>
        <v>Breakfast</v>
      </c>
      <c r="K619" t="str">
        <f>VLOOKUP(A619,Orders!$A:$G,5,0)</f>
        <v>UPI</v>
      </c>
      <c r="L619">
        <f t="shared" si="9"/>
        <v>224.16</v>
      </c>
    </row>
    <row r="620" spans="1:12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  <c r="I620">
        <f>C620*D620*(1-VLOOKUP(A620,Orders!$A:$G,7,0))</f>
        <v>97.018999999999991</v>
      </c>
      <c r="J620" t="str">
        <f>VLOOKUP(A620,Orders!$A:$G,6,0)</f>
        <v>Breakfast</v>
      </c>
      <c r="K620" t="str">
        <f>VLOOKUP(A620,Orders!$A:$G,5,0)</f>
        <v>Card</v>
      </c>
      <c r="L620">
        <f t="shared" si="9"/>
        <v>58.28</v>
      </c>
    </row>
    <row r="621" spans="1:12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  <c r="I621">
        <f>C621*D621*(1-VLOOKUP(A621,Orders!$A:$G,7,0))</f>
        <v>99.28</v>
      </c>
      <c r="J621" t="str">
        <f>VLOOKUP(A621,Orders!$A:$G,6,0)</f>
        <v>Breakfast</v>
      </c>
      <c r="K621" t="str">
        <f>VLOOKUP(A621,Orders!$A:$G,5,0)</f>
        <v>Card</v>
      </c>
      <c r="L621">
        <f t="shared" si="9"/>
        <v>48.97</v>
      </c>
    </row>
    <row r="622" spans="1:12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  <c r="I622">
        <f>C622*D622*(1-VLOOKUP(A622,Orders!$A:$G,7,0))</f>
        <v>20.11</v>
      </c>
      <c r="J622" t="str">
        <f>VLOOKUP(A622,Orders!$A:$G,6,0)</f>
        <v>Breakfast</v>
      </c>
      <c r="K622" t="str">
        <f>VLOOKUP(A622,Orders!$A:$G,5,0)</f>
        <v>UPI</v>
      </c>
      <c r="L622">
        <f t="shared" si="9"/>
        <v>8</v>
      </c>
    </row>
    <row r="623" spans="1:12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  <c r="I623">
        <f>C623*D623*(1-VLOOKUP(A623,Orders!$A:$G,7,0))</f>
        <v>119.85000000000001</v>
      </c>
      <c r="J623" t="str">
        <f>VLOOKUP(A623,Orders!$A:$G,6,0)</f>
        <v>Breakfast</v>
      </c>
      <c r="K623" t="str">
        <f>VLOOKUP(A623,Orders!$A:$G,5,0)</f>
        <v>UPI</v>
      </c>
      <c r="L623">
        <f t="shared" si="9"/>
        <v>46.53</v>
      </c>
    </row>
    <row r="624" spans="1:12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  <c r="I624">
        <f>C624*D624*(1-VLOOKUP(A624,Orders!$A:$G,7,0))</f>
        <v>52.45</v>
      </c>
      <c r="J624" t="str">
        <f>VLOOKUP(A624,Orders!$A:$G,6,0)</f>
        <v>Breakfast</v>
      </c>
      <c r="K624" t="str">
        <f>VLOOKUP(A624,Orders!$A:$G,5,0)</f>
        <v>UPI</v>
      </c>
      <c r="L624">
        <f t="shared" si="9"/>
        <v>25.8</v>
      </c>
    </row>
    <row r="625" spans="1:12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  <c r="I625">
        <f>C625*D625*(1-VLOOKUP(A625,Orders!$A:$G,7,0))</f>
        <v>227.61</v>
      </c>
      <c r="J625" t="str">
        <f>VLOOKUP(A625,Orders!$A:$G,6,0)</f>
        <v>Breakfast</v>
      </c>
      <c r="K625" t="str">
        <f>VLOOKUP(A625,Orders!$A:$G,5,0)</f>
        <v>UPI</v>
      </c>
      <c r="L625">
        <f t="shared" si="9"/>
        <v>96.22</v>
      </c>
    </row>
    <row r="626" spans="1:12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  <c r="I626">
        <f>C626*D626*(1-VLOOKUP(A626,Orders!$A:$G,7,0))</f>
        <v>216.2295</v>
      </c>
      <c r="J626" t="str">
        <f>VLOOKUP(A626,Orders!$A:$G,6,0)</f>
        <v>Lunch</v>
      </c>
      <c r="K626" t="str">
        <f>VLOOKUP(A626,Orders!$A:$G,5,0)</f>
        <v>UPI</v>
      </c>
      <c r="L626">
        <f t="shared" si="9"/>
        <v>96.22</v>
      </c>
    </row>
    <row r="627" spans="1:12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  <c r="I627">
        <f>C627*D627*(1-VLOOKUP(A627,Orders!$A:$G,7,0))</f>
        <v>47.680499999999995</v>
      </c>
      <c r="J627" t="str">
        <f>VLOOKUP(A627,Orders!$A:$G,6,0)</f>
        <v>Lunch</v>
      </c>
      <c r="K627" t="str">
        <f>VLOOKUP(A627,Orders!$A:$G,5,0)</f>
        <v>UPI</v>
      </c>
      <c r="L627">
        <f t="shared" si="9"/>
        <v>22.61</v>
      </c>
    </row>
    <row r="628" spans="1:12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  <c r="I628">
        <f>C628*D628*(1-VLOOKUP(A628,Orders!$A:$G,7,0))</f>
        <v>278.16000000000003</v>
      </c>
      <c r="J628" t="str">
        <f>VLOOKUP(A628,Orders!$A:$G,6,0)</f>
        <v>Lunch</v>
      </c>
      <c r="K628" t="str">
        <f>VLOOKUP(A628,Orders!$A:$G,5,0)</f>
        <v>UPI</v>
      </c>
      <c r="L628">
        <f t="shared" si="9"/>
        <v>161.84</v>
      </c>
    </row>
    <row r="629" spans="1:12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  <c r="I629">
        <f>C629*D629*(1-VLOOKUP(A629,Orders!$A:$G,7,0))</f>
        <v>49.827500000000001</v>
      </c>
      <c r="J629" t="str">
        <f>VLOOKUP(A629,Orders!$A:$G,6,0)</f>
        <v>Lunch</v>
      </c>
      <c r="K629" t="str">
        <f>VLOOKUP(A629,Orders!$A:$G,5,0)</f>
        <v>UPI</v>
      </c>
      <c r="L629">
        <f t="shared" si="9"/>
        <v>25.8</v>
      </c>
    </row>
    <row r="630" spans="1:12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  <c r="I630">
        <f>C630*D630*(1-VLOOKUP(A630,Orders!$A:$G,7,0))</f>
        <v>194.69040000000001</v>
      </c>
      <c r="J630" t="str">
        <f>VLOOKUP(A630,Orders!$A:$G,6,0)</f>
        <v>Lunch</v>
      </c>
      <c r="K630" t="str">
        <f>VLOOKUP(A630,Orders!$A:$G,5,0)</f>
        <v>Card</v>
      </c>
      <c r="L630">
        <f t="shared" si="9"/>
        <v>107.43</v>
      </c>
    </row>
    <row r="631" spans="1:12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  <c r="I631">
        <f>C631*D631*(1-VLOOKUP(A631,Orders!$A:$G,7,0))</f>
        <v>317.74380000000002</v>
      </c>
      <c r="J631" t="str">
        <f>VLOOKUP(A631,Orders!$A:$G,6,0)</f>
        <v>Breakfast</v>
      </c>
      <c r="K631" t="str">
        <f>VLOOKUP(A631,Orders!$A:$G,5,0)</f>
        <v>Card</v>
      </c>
      <c r="L631">
        <f t="shared" si="9"/>
        <v>148.13999999999999</v>
      </c>
    </row>
    <row r="632" spans="1:12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  <c r="I632">
        <f>C632*D632*(1-VLOOKUP(A632,Orders!$A:$G,7,0))</f>
        <v>457.72739999999999</v>
      </c>
      <c r="J632" t="str">
        <f>VLOOKUP(A632,Orders!$A:$G,6,0)</f>
        <v>Breakfast</v>
      </c>
      <c r="K632" t="str">
        <f>VLOOKUP(A632,Orders!$A:$G,5,0)</f>
        <v>Card</v>
      </c>
      <c r="L632">
        <f t="shared" si="9"/>
        <v>224.16</v>
      </c>
    </row>
    <row r="633" spans="1:12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  <c r="I633">
        <f>C633*D633*(1-VLOOKUP(A633,Orders!$A:$G,7,0))</f>
        <v>38.352000000000004</v>
      </c>
      <c r="J633" t="str">
        <f>VLOOKUP(A633,Orders!$A:$G,6,0)</f>
        <v>Breakfast</v>
      </c>
      <c r="K633" t="str">
        <f>VLOOKUP(A633,Orders!$A:$G,5,0)</f>
        <v>Cash</v>
      </c>
      <c r="L633">
        <f t="shared" si="9"/>
        <v>15.51</v>
      </c>
    </row>
    <row r="634" spans="1:12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  <c r="I634">
        <f>C634*D634*(1-VLOOKUP(A634,Orders!$A:$G,7,0))</f>
        <v>236.24639999999999</v>
      </c>
      <c r="J634" t="str">
        <f>VLOOKUP(A634,Orders!$A:$G,6,0)</f>
        <v>Breakfast</v>
      </c>
      <c r="K634" t="str">
        <f>VLOOKUP(A634,Orders!$A:$G,5,0)</f>
        <v>Cash</v>
      </c>
      <c r="L634">
        <f t="shared" si="9"/>
        <v>112.08</v>
      </c>
    </row>
    <row r="635" spans="1:12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  <c r="I635">
        <f>C635*D635*(1-VLOOKUP(A635,Orders!$A:$G,7,0))</f>
        <v>324.577</v>
      </c>
      <c r="J635" t="str">
        <f>VLOOKUP(A635,Orders!$A:$G,6,0)</f>
        <v>Dinner</v>
      </c>
      <c r="K635" t="str">
        <f>VLOOKUP(A635,Orders!$A:$G,5,0)</f>
        <v>Cash</v>
      </c>
      <c r="L635">
        <f t="shared" si="9"/>
        <v>148.13999999999999</v>
      </c>
    </row>
    <row r="636" spans="1:12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  <c r="I636">
        <f>C636*D636*(1-VLOOKUP(A636,Orders!$A:$G,7,0))</f>
        <v>233.78549999999998</v>
      </c>
      <c r="J636" t="str">
        <f>VLOOKUP(A636,Orders!$A:$G,6,0)</f>
        <v>Dinner</v>
      </c>
      <c r="K636" t="str">
        <f>VLOOKUP(A636,Orders!$A:$G,5,0)</f>
        <v>Cash</v>
      </c>
      <c r="L636">
        <f t="shared" si="9"/>
        <v>112.08</v>
      </c>
    </row>
    <row r="637" spans="1:12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  <c r="I637">
        <f>C637*D637*(1-VLOOKUP(A637,Orders!$A:$G,7,0))</f>
        <v>54.216499999999996</v>
      </c>
      <c r="J637" t="str">
        <f>VLOOKUP(A637,Orders!$A:$G,6,0)</f>
        <v>Dinner</v>
      </c>
      <c r="K637" t="str">
        <f>VLOOKUP(A637,Orders!$A:$G,5,0)</f>
        <v>Cash</v>
      </c>
      <c r="L637">
        <f t="shared" si="9"/>
        <v>29.14</v>
      </c>
    </row>
    <row r="638" spans="1:12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  <c r="I638">
        <f>C638*D638*(1-VLOOKUP(A638,Orders!$A:$G,7,0))</f>
        <v>57.916799999999995</v>
      </c>
      <c r="J638" t="str">
        <f>VLOOKUP(A638,Orders!$A:$G,6,0)</f>
        <v>Lunch</v>
      </c>
      <c r="K638" t="str">
        <f>VLOOKUP(A638,Orders!$A:$G,5,0)</f>
        <v>UPI</v>
      </c>
      <c r="L638">
        <f t="shared" si="9"/>
        <v>24</v>
      </c>
    </row>
    <row r="639" spans="1:12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  <c r="I639">
        <f>C639*D639*(1-VLOOKUP(A639,Orders!$A:$G,7,0))</f>
        <v>437.01120000000003</v>
      </c>
      <c r="J639" t="str">
        <f>VLOOKUP(A639,Orders!$A:$G,6,0)</f>
        <v>Lunch</v>
      </c>
      <c r="K639" t="str">
        <f>VLOOKUP(A639,Orders!$A:$G,5,0)</f>
        <v>UPI</v>
      </c>
      <c r="L639">
        <f t="shared" si="9"/>
        <v>192.44</v>
      </c>
    </row>
    <row r="640" spans="1:12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  <c r="I640">
        <f>C640*D640*(1-VLOOKUP(A640,Orders!$A:$G,7,0))</f>
        <v>109.5744</v>
      </c>
      <c r="J640" t="str">
        <f>VLOOKUP(A640,Orders!$A:$G,6,0)</f>
        <v>Lunch</v>
      </c>
      <c r="K640" t="str">
        <f>VLOOKUP(A640,Orders!$A:$G,5,0)</f>
        <v>UPI</v>
      </c>
      <c r="L640">
        <f t="shared" si="9"/>
        <v>58.28</v>
      </c>
    </row>
    <row r="641" spans="1:12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  <c r="I641">
        <f>C641*D641*(1-VLOOKUP(A641,Orders!$A:$G,7,0))</f>
        <v>472.49279999999999</v>
      </c>
      <c r="J641" t="str">
        <f>VLOOKUP(A641,Orders!$A:$G,6,0)</f>
        <v>Lunch</v>
      </c>
      <c r="K641" t="str">
        <f>VLOOKUP(A641,Orders!$A:$G,5,0)</f>
        <v>UPI</v>
      </c>
      <c r="L641">
        <f t="shared" si="9"/>
        <v>224.16</v>
      </c>
    </row>
    <row r="642" spans="1:12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  <c r="I642">
        <f>C642*D642*(1-VLOOKUP(A642,Orders!$A:$G,7,0))</f>
        <v>655.51679999999999</v>
      </c>
      <c r="J642" t="str">
        <f>VLOOKUP(A642,Orders!$A:$G,6,0)</f>
        <v>Breakfast</v>
      </c>
      <c r="K642" t="str">
        <f>VLOOKUP(A642,Orders!$A:$G,5,0)</f>
        <v>Card</v>
      </c>
      <c r="L642">
        <f t="shared" ref="L642:L705" si="10">C642*E642</f>
        <v>288.65999999999997</v>
      </c>
    </row>
    <row r="643" spans="1:12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  <c r="I643">
        <f>C643*D643*(1-VLOOKUP(A643,Orders!$A:$G,7,0))</f>
        <v>48.182399999999994</v>
      </c>
      <c r="J643" t="str">
        <f>VLOOKUP(A643,Orders!$A:$G,6,0)</f>
        <v>Breakfast</v>
      </c>
      <c r="K643" t="str">
        <f>VLOOKUP(A643,Orders!$A:$G,5,0)</f>
        <v>Card</v>
      </c>
      <c r="L643">
        <f t="shared" si="10"/>
        <v>22.61</v>
      </c>
    </row>
    <row r="644" spans="1:12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  <c r="I644">
        <f>C644*D644*(1-VLOOKUP(A644,Orders!$A:$G,7,0))</f>
        <v>281.08800000000002</v>
      </c>
      <c r="J644" t="str">
        <f>VLOOKUP(A644,Orders!$A:$G,6,0)</f>
        <v>Breakfast</v>
      </c>
      <c r="K644" t="str">
        <f>VLOOKUP(A644,Orders!$A:$G,5,0)</f>
        <v>Card</v>
      </c>
      <c r="L644">
        <f t="shared" si="10"/>
        <v>161.84</v>
      </c>
    </row>
    <row r="645" spans="1:12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  <c r="I645">
        <f>C645*D645*(1-VLOOKUP(A645,Orders!$A:$G,7,0))</f>
        <v>493.2672</v>
      </c>
      <c r="J645" t="str">
        <f>VLOOKUP(A645,Orders!$A:$G,6,0)</f>
        <v>Breakfast</v>
      </c>
      <c r="K645" t="str">
        <f>VLOOKUP(A645,Orders!$A:$G,5,0)</f>
        <v>Card</v>
      </c>
      <c r="L645">
        <f t="shared" si="10"/>
        <v>242.48</v>
      </c>
    </row>
    <row r="646" spans="1:12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  <c r="I646">
        <f>C646*D646*(1-VLOOKUP(A646,Orders!$A:$G,7,0))</f>
        <v>69.269200000000012</v>
      </c>
      <c r="J646" t="str">
        <f>VLOOKUP(A646,Orders!$A:$G,6,0)</f>
        <v>Breakfast</v>
      </c>
      <c r="K646" t="str">
        <f>VLOOKUP(A646,Orders!$A:$G,5,0)</f>
        <v>Cash</v>
      </c>
      <c r="L646">
        <f t="shared" si="10"/>
        <v>39.1</v>
      </c>
    </row>
    <row r="647" spans="1:12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  <c r="I647">
        <f>C647*D647*(1-VLOOKUP(A647,Orders!$A:$G,7,0))</f>
        <v>233.78810000000004</v>
      </c>
      <c r="J647" t="str">
        <f>VLOOKUP(A647,Orders!$A:$G,6,0)</f>
        <v>Breakfast</v>
      </c>
      <c r="K647" t="str">
        <f>VLOOKUP(A647,Orders!$A:$G,5,0)</f>
        <v>Cash</v>
      </c>
      <c r="L647">
        <f t="shared" si="10"/>
        <v>121.24</v>
      </c>
    </row>
    <row r="648" spans="1:12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  <c r="I648">
        <f>C648*D648*(1-VLOOKUP(A648,Orders!$A:$G,7,0))</f>
        <v>621.37530000000004</v>
      </c>
      <c r="J648" t="str">
        <f>VLOOKUP(A648,Orders!$A:$G,6,0)</f>
        <v>Breakfast</v>
      </c>
      <c r="K648" t="str">
        <f>VLOOKUP(A648,Orders!$A:$G,5,0)</f>
        <v>Cash</v>
      </c>
      <c r="L648">
        <f t="shared" si="10"/>
        <v>288.65999999999997</v>
      </c>
    </row>
    <row r="649" spans="1:12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  <c r="I649">
        <f>C649*D649*(1-VLOOKUP(A649,Orders!$A:$G,7,0))</f>
        <v>211.6773</v>
      </c>
      <c r="J649" t="str">
        <f>VLOOKUP(A649,Orders!$A:$G,6,0)</f>
        <v>Breakfast</v>
      </c>
      <c r="K649" t="str">
        <f>VLOOKUP(A649,Orders!$A:$G,5,0)</f>
        <v>UPI</v>
      </c>
      <c r="L649">
        <f t="shared" si="10"/>
        <v>96.22</v>
      </c>
    </row>
    <row r="650" spans="1:12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  <c r="I650">
        <f>C650*D650*(1-VLOOKUP(A650,Orders!$A:$G,7,0))</f>
        <v>48.778500000000001</v>
      </c>
      <c r="J650" t="str">
        <f>VLOOKUP(A650,Orders!$A:$G,6,0)</f>
        <v>Breakfast</v>
      </c>
      <c r="K650" t="str">
        <f>VLOOKUP(A650,Orders!$A:$G,5,0)</f>
        <v>UPI</v>
      </c>
      <c r="L650">
        <f t="shared" si="10"/>
        <v>25.8</v>
      </c>
    </row>
    <row r="651" spans="1:12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  <c r="I651">
        <f>C651*D651*(1-VLOOKUP(A651,Orders!$A:$G,7,0))</f>
        <v>136.8476</v>
      </c>
      <c r="J651" t="str">
        <f>VLOOKUP(A651,Orders!$A:$G,6,0)</f>
        <v>Breakfast</v>
      </c>
      <c r="K651" t="str">
        <f>VLOOKUP(A651,Orders!$A:$G,5,0)</f>
        <v>Cash</v>
      </c>
      <c r="L651">
        <f t="shared" si="10"/>
        <v>71.62</v>
      </c>
    </row>
    <row r="652" spans="1:12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  <c r="I652">
        <f>C652*D652*(1-VLOOKUP(A652,Orders!$A:$G,7,0))</f>
        <v>73.836399999999998</v>
      </c>
      <c r="J652" t="str">
        <f>VLOOKUP(A652,Orders!$A:$G,6,0)</f>
        <v>Breakfast</v>
      </c>
      <c r="K652" t="str">
        <f>VLOOKUP(A652,Orders!$A:$G,5,0)</f>
        <v>Cash</v>
      </c>
      <c r="L652">
        <f t="shared" si="10"/>
        <v>39.1</v>
      </c>
    </row>
    <row r="653" spans="1:12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  <c r="I653">
        <f>C653*D653*(1-VLOOKUP(A653,Orders!$A:$G,7,0))</f>
        <v>43.067999999999998</v>
      </c>
      <c r="J653" t="str">
        <f>VLOOKUP(A653,Orders!$A:$G,6,0)</f>
        <v>Breakfast</v>
      </c>
      <c r="K653" t="str">
        <f>VLOOKUP(A653,Orders!$A:$G,5,0)</f>
        <v>Cash</v>
      </c>
      <c r="L653">
        <f t="shared" si="10"/>
        <v>18.760000000000002</v>
      </c>
    </row>
    <row r="654" spans="1:12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  <c r="I654">
        <f>C654*D654*(1-VLOOKUP(A654,Orders!$A:$G,7,0))</f>
        <v>220.7817</v>
      </c>
      <c r="J654" t="str">
        <f>VLOOKUP(A654,Orders!$A:$G,6,0)</f>
        <v>Breakfast</v>
      </c>
      <c r="K654" t="str">
        <f>VLOOKUP(A654,Orders!$A:$G,5,0)</f>
        <v>Cash</v>
      </c>
      <c r="L654">
        <f t="shared" si="10"/>
        <v>96.22</v>
      </c>
    </row>
    <row r="655" spans="1:12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  <c r="I655">
        <f>C655*D655*(1-VLOOKUP(A655,Orders!$A:$G,7,0))</f>
        <v>71.910000000000011</v>
      </c>
      <c r="J655" t="str">
        <f>VLOOKUP(A655,Orders!$A:$G,6,0)</f>
        <v>Dinner</v>
      </c>
      <c r="K655" t="str">
        <f>VLOOKUP(A655,Orders!$A:$G,5,0)</f>
        <v>UPI</v>
      </c>
      <c r="L655">
        <f t="shared" si="10"/>
        <v>31.02</v>
      </c>
    </row>
    <row r="656" spans="1:12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  <c r="I656">
        <f>C656*D656*(1-VLOOKUP(A656,Orders!$A:$G,7,0))</f>
        <v>204.84900000000002</v>
      </c>
      <c r="J656" t="str">
        <f>VLOOKUP(A656,Orders!$A:$G,6,0)</f>
        <v>Dinner</v>
      </c>
      <c r="K656" t="str">
        <f>VLOOKUP(A656,Orders!$A:$G,5,0)</f>
        <v>UPI</v>
      </c>
      <c r="L656">
        <f t="shared" si="10"/>
        <v>96.22</v>
      </c>
    </row>
    <row r="657" spans="1:12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  <c r="I657">
        <f>C657*D657*(1-VLOOKUP(A657,Orders!$A:$G,7,0))</f>
        <v>231.21900000000002</v>
      </c>
      <c r="J657" t="str">
        <f>VLOOKUP(A657,Orders!$A:$G,6,0)</f>
        <v>Dinner</v>
      </c>
      <c r="K657" t="str">
        <f>VLOOKUP(A657,Orders!$A:$G,5,0)</f>
        <v>UPI</v>
      </c>
      <c r="L657">
        <f t="shared" si="10"/>
        <v>121.24</v>
      </c>
    </row>
    <row r="658" spans="1:12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  <c r="I658">
        <f>C658*D658*(1-VLOOKUP(A658,Orders!$A:$G,7,0))</f>
        <v>20.645999999999997</v>
      </c>
      <c r="J658" t="str">
        <f>VLOOKUP(A658,Orders!$A:$G,6,0)</f>
        <v>Dinner</v>
      </c>
      <c r="K658" t="str">
        <f>VLOOKUP(A658,Orders!$A:$G,5,0)</f>
        <v>UPI</v>
      </c>
      <c r="L658">
        <f t="shared" si="10"/>
        <v>9.3800000000000008</v>
      </c>
    </row>
    <row r="659" spans="1:12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  <c r="I659">
        <f>C659*D659*(1-VLOOKUP(A659,Orders!$A:$G,7,0))</f>
        <v>48.778500000000001</v>
      </c>
      <c r="J659" t="str">
        <f>VLOOKUP(A659,Orders!$A:$G,6,0)</f>
        <v>Dinner</v>
      </c>
      <c r="K659" t="str">
        <f>VLOOKUP(A659,Orders!$A:$G,5,0)</f>
        <v>UPI</v>
      </c>
      <c r="L659">
        <f t="shared" si="10"/>
        <v>25.8</v>
      </c>
    </row>
    <row r="660" spans="1:12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  <c r="I660">
        <f>C660*D660*(1-VLOOKUP(A660,Orders!$A:$G,7,0))</f>
        <v>272.30399999999997</v>
      </c>
      <c r="J660" t="str">
        <f>VLOOKUP(A660,Orders!$A:$G,6,0)</f>
        <v>Dinner</v>
      </c>
      <c r="K660" t="str">
        <f>VLOOKUP(A660,Orders!$A:$G,5,0)</f>
        <v>UPI</v>
      </c>
      <c r="L660">
        <f t="shared" si="10"/>
        <v>161.84</v>
      </c>
    </row>
    <row r="661" spans="1:12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  <c r="I661">
        <f>C661*D661*(1-VLOOKUP(A661,Orders!$A:$G,7,0))</f>
        <v>51.933700000000002</v>
      </c>
      <c r="J661" t="str">
        <f>VLOOKUP(A661,Orders!$A:$G,6,0)</f>
        <v>Breakfast</v>
      </c>
      <c r="K661" t="str">
        <f>VLOOKUP(A661,Orders!$A:$G,5,0)</f>
        <v>UPI</v>
      </c>
      <c r="L661">
        <f t="shared" si="10"/>
        <v>29.14</v>
      </c>
    </row>
    <row r="662" spans="1:12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  <c r="I662">
        <f>C662*D662*(1-VLOOKUP(A662,Orders!$A:$G,7,0))</f>
        <v>45.672899999999998</v>
      </c>
      <c r="J662" t="str">
        <f>VLOOKUP(A662,Orders!$A:$G,6,0)</f>
        <v>Breakfast</v>
      </c>
      <c r="K662" t="str">
        <f>VLOOKUP(A662,Orders!$A:$G,5,0)</f>
        <v>UPI</v>
      </c>
      <c r="L662">
        <f t="shared" si="10"/>
        <v>22.61</v>
      </c>
    </row>
    <row r="663" spans="1:12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  <c r="I663">
        <f>C663*D663*(1-VLOOKUP(A663,Orders!$A:$G,7,0))</f>
        <v>60.605999999999995</v>
      </c>
      <c r="J663" t="str">
        <f>VLOOKUP(A663,Orders!$A:$G,6,0)</f>
        <v>Breakfast</v>
      </c>
      <c r="K663" t="str">
        <f>VLOOKUP(A663,Orders!$A:$G,5,0)</f>
        <v>UPI</v>
      </c>
      <c r="L663">
        <f t="shared" si="10"/>
        <v>28.14</v>
      </c>
    </row>
    <row r="664" spans="1:12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  <c r="I664">
        <f>C664*D664*(1-VLOOKUP(A664,Orders!$A:$G,7,0))</f>
        <v>60.023599999999995</v>
      </c>
      <c r="J664" t="str">
        <f>VLOOKUP(A664,Orders!$A:$G,6,0)</f>
        <v>Breakfast</v>
      </c>
      <c r="K664" t="str">
        <f>VLOOKUP(A664,Orders!$A:$G,5,0)</f>
        <v>Cash</v>
      </c>
      <c r="L664">
        <f t="shared" si="10"/>
        <v>23.68</v>
      </c>
    </row>
    <row r="665" spans="1:12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  <c r="I665">
        <f>C665*D665*(1-VLOOKUP(A665,Orders!$A:$G,7,0))</f>
        <v>192.57420000000002</v>
      </c>
      <c r="J665" t="str">
        <f>VLOOKUP(A665,Orders!$A:$G,6,0)</f>
        <v>Breakfast</v>
      </c>
      <c r="K665" t="str">
        <f>VLOOKUP(A665,Orders!$A:$G,5,0)</f>
        <v>Cash</v>
      </c>
      <c r="L665">
        <f t="shared" si="10"/>
        <v>107.43</v>
      </c>
    </row>
    <row r="666" spans="1:12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  <c r="I666">
        <f>C666*D666*(1-VLOOKUP(A666,Orders!$A:$G,7,0))</f>
        <v>25.871300000000002</v>
      </c>
      <c r="J666" t="str">
        <f>VLOOKUP(A666,Orders!$A:$G,6,0)</f>
        <v>Breakfast</v>
      </c>
      <c r="K666" t="str">
        <f>VLOOKUP(A666,Orders!$A:$G,5,0)</f>
        <v>Cash</v>
      </c>
      <c r="L666">
        <f t="shared" si="10"/>
        <v>13.89</v>
      </c>
    </row>
    <row r="667" spans="1:12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  <c r="I667">
        <f>C667*D667*(1-VLOOKUP(A667,Orders!$A:$G,7,0))</f>
        <v>266.44800000000004</v>
      </c>
      <c r="J667" t="str">
        <f>VLOOKUP(A667,Orders!$A:$G,6,0)</f>
        <v>Breakfast</v>
      </c>
      <c r="K667" t="str">
        <f>VLOOKUP(A667,Orders!$A:$G,5,0)</f>
        <v>Cash</v>
      </c>
      <c r="L667">
        <f t="shared" si="10"/>
        <v>161.84</v>
      </c>
    </row>
    <row r="668" spans="1:12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  <c r="I668">
        <f>C668*D668*(1-VLOOKUP(A668,Orders!$A:$G,7,0))</f>
        <v>238.7073</v>
      </c>
      <c r="J668" t="str">
        <f>VLOOKUP(A668,Orders!$A:$G,6,0)</f>
        <v>Breakfast</v>
      </c>
      <c r="K668" t="str">
        <f>VLOOKUP(A668,Orders!$A:$G,5,0)</f>
        <v>Cash</v>
      </c>
      <c r="L668">
        <f t="shared" si="10"/>
        <v>112.08</v>
      </c>
    </row>
    <row r="669" spans="1:12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  <c r="I669">
        <f>C669*D669*(1-VLOOKUP(A669,Orders!$A:$G,7,0))</f>
        <v>136.8476</v>
      </c>
      <c r="J669" t="str">
        <f>VLOOKUP(A669,Orders!$A:$G,6,0)</f>
        <v>Breakfast</v>
      </c>
      <c r="K669" t="str">
        <f>VLOOKUP(A669,Orders!$A:$G,5,0)</f>
        <v>Cash</v>
      </c>
      <c r="L669">
        <f t="shared" si="10"/>
        <v>71.62</v>
      </c>
    </row>
    <row r="670" spans="1:12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  <c r="I670">
        <f>C670*D670*(1-VLOOKUP(A670,Orders!$A:$G,7,0))</f>
        <v>218.50560000000002</v>
      </c>
      <c r="J670" t="str">
        <f>VLOOKUP(A670,Orders!$A:$G,6,0)</f>
        <v>Breakfast</v>
      </c>
      <c r="K670" t="str">
        <f>VLOOKUP(A670,Orders!$A:$G,5,0)</f>
        <v>UPI</v>
      </c>
      <c r="L670">
        <f t="shared" si="10"/>
        <v>96.22</v>
      </c>
    </row>
    <row r="671" spans="1:12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  <c r="I671">
        <f>C671*D671*(1-VLOOKUP(A671,Orders!$A:$G,7,0))</f>
        <v>281.08800000000002</v>
      </c>
      <c r="J671" t="str">
        <f>VLOOKUP(A671,Orders!$A:$G,6,0)</f>
        <v>Breakfast</v>
      </c>
      <c r="K671" t="str">
        <f>VLOOKUP(A671,Orders!$A:$G,5,0)</f>
        <v>UPI</v>
      </c>
      <c r="L671">
        <f t="shared" si="10"/>
        <v>161.84</v>
      </c>
    </row>
    <row r="672" spans="1:12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  <c r="I672">
        <f>C672*D672*(1-VLOOKUP(A672,Orders!$A:$G,7,0))</f>
        <v>51.742600000000003</v>
      </c>
      <c r="J672" t="str">
        <f>VLOOKUP(A672,Orders!$A:$G,6,0)</f>
        <v>Dinner</v>
      </c>
      <c r="K672" t="str">
        <f>VLOOKUP(A672,Orders!$A:$G,5,0)</f>
        <v>Card</v>
      </c>
      <c r="L672">
        <f t="shared" si="10"/>
        <v>27.78</v>
      </c>
    </row>
    <row r="673" spans="1:12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  <c r="I673">
        <f>C673*D673*(1-VLOOKUP(A673,Orders!$A:$G,7,0))</f>
        <v>47.729500000000002</v>
      </c>
      <c r="J673" t="str">
        <f>VLOOKUP(A673,Orders!$A:$G,6,0)</f>
        <v>Dinner</v>
      </c>
      <c r="K673" t="str">
        <f>VLOOKUP(A673,Orders!$A:$G,5,0)</f>
        <v>Card</v>
      </c>
      <c r="L673">
        <f t="shared" si="10"/>
        <v>25.8</v>
      </c>
    </row>
    <row r="674" spans="1:12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  <c r="I674">
        <f>C674*D674*(1-VLOOKUP(A674,Orders!$A:$G,7,0))</f>
        <v>133.22400000000002</v>
      </c>
      <c r="J674" t="str">
        <f>VLOOKUP(A674,Orders!$A:$G,6,0)</f>
        <v>Dinner</v>
      </c>
      <c r="K674" t="str">
        <f>VLOOKUP(A674,Orders!$A:$G,5,0)</f>
        <v>Card</v>
      </c>
      <c r="L674">
        <f t="shared" si="10"/>
        <v>80.92</v>
      </c>
    </row>
    <row r="675" spans="1:12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  <c r="I675">
        <f>C675*D675*(1-VLOOKUP(A675,Orders!$A:$G,7,0))</f>
        <v>140.852</v>
      </c>
      <c r="J675" t="str">
        <f>VLOOKUP(A675,Orders!$A:$G,6,0)</f>
        <v>Breakfast</v>
      </c>
      <c r="K675" t="str">
        <f>VLOOKUP(A675,Orders!$A:$G,5,0)</f>
        <v>Card</v>
      </c>
      <c r="L675">
        <f t="shared" si="10"/>
        <v>76.459999999999994</v>
      </c>
    </row>
    <row r="676" spans="1:12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  <c r="I676">
        <f>C676*D676*(1-VLOOKUP(A676,Orders!$A:$G,7,0))</f>
        <v>49.864000000000004</v>
      </c>
      <c r="J676" t="str">
        <f>VLOOKUP(A676,Orders!$A:$G,6,0)</f>
        <v>Breakfast</v>
      </c>
      <c r="K676" t="str">
        <f>VLOOKUP(A676,Orders!$A:$G,5,0)</f>
        <v>Card</v>
      </c>
      <c r="L676">
        <f t="shared" si="10"/>
        <v>21.95</v>
      </c>
    </row>
    <row r="677" spans="1:12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  <c r="I677">
        <f>C677*D677*(1-VLOOKUP(A677,Orders!$A:$G,7,0))</f>
        <v>472.71440000000007</v>
      </c>
      <c r="J677" t="str">
        <f>VLOOKUP(A677,Orders!$A:$G,6,0)</f>
        <v>Breakfast</v>
      </c>
      <c r="K677" t="str">
        <f>VLOOKUP(A677,Orders!$A:$G,5,0)</f>
        <v>Card</v>
      </c>
      <c r="L677">
        <f t="shared" si="10"/>
        <v>242.48</v>
      </c>
    </row>
    <row r="678" spans="1:12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  <c r="I678">
        <f>C678*D678*(1-VLOOKUP(A678,Orders!$A:$G,7,0))</f>
        <v>241.49540000000002</v>
      </c>
      <c r="J678" t="str">
        <f>VLOOKUP(A678,Orders!$A:$G,6,0)</f>
        <v>Breakfast</v>
      </c>
      <c r="K678" t="str">
        <f>VLOOKUP(A678,Orders!$A:$G,5,0)</f>
        <v>UPI</v>
      </c>
      <c r="L678">
        <f t="shared" si="10"/>
        <v>121.24</v>
      </c>
    </row>
    <row r="679" spans="1:12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  <c r="I679">
        <f>C679*D679*(1-VLOOKUP(A679,Orders!$A:$G,7,0))</f>
        <v>143.91399999999999</v>
      </c>
      <c r="J679" t="str">
        <f>VLOOKUP(A679,Orders!$A:$G,6,0)</f>
        <v>Breakfast</v>
      </c>
      <c r="K679" t="str">
        <f>VLOOKUP(A679,Orders!$A:$G,5,0)</f>
        <v>UPI</v>
      </c>
      <c r="L679">
        <f t="shared" si="10"/>
        <v>76.459999999999994</v>
      </c>
    </row>
    <row r="680" spans="1:12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  <c r="I680">
        <f>C680*D680*(1-VLOOKUP(A680,Orders!$A:$G,7,0))</f>
        <v>26.7242</v>
      </c>
      <c r="J680" t="str">
        <f>VLOOKUP(A680,Orders!$A:$G,6,0)</f>
        <v>Breakfast</v>
      </c>
      <c r="K680" t="str">
        <f>VLOOKUP(A680,Orders!$A:$G,5,0)</f>
        <v>UPI</v>
      </c>
      <c r="L680">
        <f t="shared" si="10"/>
        <v>13.89</v>
      </c>
    </row>
    <row r="681" spans="1:12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  <c r="I681">
        <f>C681*D681*(1-VLOOKUP(A681,Orders!$A:$G,7,0))</f>
        <v>143.91399999999999</v>
      </c>
      <c r="J681" t="str">
        <f>VLOOKUP(A681,Orders!$A:$G,6,0)</f>
        <v>Breakfast</v>
      </c>
      <c r="K681" t="str">
        <f>VLOOKUP(A681,Orders!$A:$G,5,0)</f>
        <v>UPI</v>
      </c>
      <c r="L681">
        <f t="shared" si="10"/>
        <v>76.459999999999994</v>
      </c>
    </row>
    <row r="682" spans="1:12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  <c r="I682">
        <f>C682*D682*(1-VLOOKUP(A682,Orders!$A:$G,7,0))</f>
        <v>329.37599999999998</v>
      </c>
      <c r="J682" t="str">
        <f>VLOOKUP(A682,Orders!$A:$G,6,0)</f>
        <v>Breakfast</v>
      </c>
      <c r="K682" t="str">
        <f>VLOOKUP(A682,Orders!$A:$G,5,0)</f>
        <v>UPI</v>
      </c>
      <c r="L682">
        <f t="shared" si="10"/>
        <v>146.91</v>
      </c>
    </row>
    <row r="683" spans="1:12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  <c r="I683">
        <f>C683*D683*(1-VLOOKUP(A683,Orders!$A:$G,7,0))</f>
        <v>54.005200000000002</v>
      </c>
      <c r="J683" t="str">
        <f>VLOOKUP(A683,Orders!$A:$G,6,0)</f>
        <v>Breakfast</v>
      </c>
      <c r="K683" t="str">
        <f>VLOOKUP(A683,Orders!$A:$G,5,0)</f>
        <v>Card</v>
      </c>
      <c r="L683">
        <f t="shared" si="10"/>
        <v>28.36</v>
      </c>
    </row>
    <row r="684" spans="1:12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  <c r="I684">
        <f>C684*D684*(1-VLOOKUP(A684,Orders!$A:$G,7,0))</f>
        <v>35.7958</v>
      </c>
      <c r="J684" t="str">
        <f>VLOOKUP(A684,Orders!$A:$G,6,0)</f>
        <v>Breakfast</v>
      </c>
      <c r="K684" t="str">
        <f>VLOOKUP(A684,Orders!$A:$G,5,0)</f>
        <v>Card</v>
      </c>
      <c r="L684">
        <f t="shared" si="10"/>
        <v>16</v>
      </c>
    </row>
    <row r="685" spans="1:12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  <c r="I685">
        <f>C685*D685*(1-VLOOKUP(A685,Orders!$A:$G,7,0))</f>
        <v>438.04020000000003</v>
      </c>
      <c r="J685" t="str">
        <f>VLOOKUP(A685,Orders!$A:$G,6,0)</f>
        <v>Breakfast</v>
      </c>
      <c r="K685" t="str">
        <f>VLOOKUP(A685,Orders!$A:$G,5,0)</f>
        <v>Card</v>
      </c>
      <c r="L685">
        <f t="shared" si="10"/>
        <v>224.16</v>
      </c>
    </row>
    <row r="686" spans="1:12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  <c r="I686">
        <f>C686*D686*(1-VLOOKUP(A686,Orders!$A:$G,7,0))</f>
        <v>224.256</v>
      </c>
      <c r="J686" t="str">
        <f>VLOOKUP(A686,Orders!$A:$G,6,0)</f>
        <v>Breakfast</v>
      </c>
      <c r="K686" t="str">
        <f>VLOOKUP(A686,Orders!$A:$G,5,0)</f>
        <v>Card</v>
      </c>
      <c r="L686">
        <f t="shared" si="10"/>
        <v>97.94</v>
      </c>
    </row>
    <row r="687" spans="1:12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  <c r="I687">
        <f>C687*D687*(1-VLOOKUP(A687,Orders!$A:$G,7,0))</f>
        <v>218.50560000000002</v>
      </c>
      <c r="J687" t="str">
        <f>VLOOKUP(A687,Orders!$A:$G,6,0)</f>
        <v>Breakfast</v>
      </c>
      <c r="K687" t="str">
        <f>VLOOKUP(A687,Orders!$A:$G,5,0)</f>
        <v>Card</v>
      </c>
      <c r="L687">
        <f t="shared" si="10"/>
        <v>96.22</v>
      </c>
    </row>
    <row r="688" spans="1:12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  <c r="I688">
        <f>C688*D688*(1-VLOOKUP(A688,Orders!$A:$G,7,0))</f>
        <v>209.40120000000002</v>
      </c>
      <c r="J688" t="str">
        <f>VLOOKUP(A688,Orders!$A:$G,6,0)</f>
        <v>Breakfast</v>
      </c>
      <c r="K688" t="str">
        <f>VLOOKUP(A688,Orders!$A:$G,5,0)</f>
        <v>UPI</v>
      </c>
      <c r="L688">
        <f t="shared" si="10"/>
        <v>96.22</v>
      </c>
    </row>
    <row r="689" spans="1:12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  <c r="I689">
        <f>C689*D689*(1-VLOOKUP(A689,Orders!$A:$G,7,0))</f>
        <v>226.40280000000001</v>
      </c>
      <c r="J689" t="str">
        <f>VLOOKUP(A689,Orders!$A:$G,6,0)</f>
        <v>Breakfast</v>
      </c>
      <c r="K689" t="str">
        <f>VLOOKUP(A689,Orders!$A:$G,5,0)</f>
        <v>UPI</v>
      </c>
      <c r="L689">
        <f t="shared" si="10"/>
        <v>112.08</v>
      </c>
    </row>
    <row r="690" spans="1:12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  <c r="I690">
        <f>C690*D690*(1-VLOOKUP(A690,Orders!$A:$G,7,0))</f>
        <v>18.501200000000001</v>
      </c>
      <c r="J690" t="str">
        <f>VLOOKUP(A690,Orders!$A:$G,6,0)</f>
        <v>Breakfast</v>
      </c>
      <c r="K690" t="str">
        <f>VLOOKUP(A690,Orders!$A:$G,5,0)</f>
        <v>UPI</v>
      </c>
      <c r="L690">
        <f t="shared" si="10"/>
        <v>8</v>
      </c>
    </row>
    <row r="691" spans="1:12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  <c r="I691">
        <f>C691*D691*(1-VLOOKUP(A691,Orders!$A:$G,7,0))</f>
        <v>78.466799999999992</v>
      </c>
      <c r="J691" t="str">
        <f>VLOOKUP(A691,Orders!$A:$G,6,0)</f>
        <v>Breakfast</v>
      </c>
      <c r="K691" t="str">
        <f>VLOOKUP(A691,Orders!$A:$G,5,0)</f>
        <v>UPI</v>
      </c>
      <c r="L691">
        <f t="shared" si="10"/>
        <v>41.67</v>
      </c>
    </row>
    <row r="692" spans="1:12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  <c r="I692">
        <f>C692*D692*(1-VLOOKUP(A692,Orders!$A:$G,7,0))</f>
        <v>47.680499999999995</v>
      </c>
      <c r="J692" t="str">
        <f>VLOOKUP(A692,Orders!$A:$G,6,0)</f>
        <v>Breakfast</v>
      </c>
      <c r="K692" t="str">
        <f>VLOOKUP(A692,Orders!$A:$G,5,0)</f>
        <v>Cash</v>
      </c>
      <c r="L692">
        <f t="shared" si="10"/>
        <v>22.61</v>
      </c>
    </row>
    <row r="693" spans="1:12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  <c r="I693">
        <f>C693*D693*(1-VLOOKUP(A693,Orders!$A:$G,7,0))</f>
        <v>732.19349999999997</v>
      </c>
      <c r="J693" t="str">
        <f>VLOOKUP(A693,Orders!$A:$G,6,0)</f>
        <v>Breakfast</v>
      </c>
      <c r="K693" t="str">
        <f>VLOOKUP(A693,Orders!$A:$G,5,0)</f>
        <v>Cash</v>
      </c>
      <c r="L693">
        <f t="shared" si="10"/>
        <v>363.71999999999997</v>
      </c>
    </row>
    <row r="694" spans="1:12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  <c r="I694">
        <f>C694*D694*(1-VLOOKUP(A694,Orders!$A:$G,7,0))</f>
        <v>162.64949999999999</v>
      </c>
      <c r="J694" t="str">
        <f>VLOOKUP(A694,Orders!$A:$G,6,0)</f>
        <v>Breakfast</v>
      </c>
      <c r="K694" t="str">
        <f>VLOOKUP(A694,Orders!$A:$G,5,0)</f>
        <v>Cash</v>
      </c>
      <c r="L694">
        <f t="shared" si="10"/>
        <v>87.42</v>
      </c>
    </row>
    <row r="695" spans="1:12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  <c r="I695">
        <f>C695*D695*(1-VLOOKUP(A695,Orders!$A:$G,7,0))</f>
        <v>732.19349999999997</v>
      </c>
      <c r="J695" t="str">
        <f>VLOOKUP(A695,Orders!$A:$G,6,0)</f>
        <v>Lunch</v>
      </c>
      <c r="K695" t="str">
        <f>VLOOKUP(A695,Orders!$A:$G,5,0)</f>
        <v>Cash</v>
      </c>
      <c r="L695">
        <f t="shared" si="10"/>
        <v>363.71999999999997</v>
      </c>
    </row>
    <row r="696" spans="1:12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  <c r="I696">
        <f>C696*D696*(1-VLOOKUP(A696,Orders!$A:$G,7,0))</f>
        <v>27.008499999999998</v>
      </c>
      <c r="J696" t="str">
        <f>VLOOKUP(A696,Orders!$A:$G,6,0)</f>
        <v>Lunch</v>
      </c>
      <c r="K696" t="str">
        <f>VLOOKUP(A696,Orders!$A:$G,5,0)</f>
        <v>Cash</v>
      </c>
      <c r="L696">
        <f t="shared" si="10"/>
        <v>13.89</v>
      </c>
    </row>
    <row r="697" spans="1:12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  <c r="I697">
        <f>C697*D697*(1-VLOOKUP(A697,Orders!$A:$G,7,0))</f>
        <v>216.2295</v>
      </c>
      <c r="J697" t="str">
        <f>VLOOKUP(A697,Orders!$A:$G,6,0)</f>
        <v>Lunch</v>
      </c>
      <c r="K697" t="str">
        <f>VLOOKUP(A697,Orders!$A:$G,5,0)</f>
        <v>Cash</v>
      </c>
      <c r="L697">
        <f t="shared" si="10"/>
        <v>96.22</v>
      </c>
    </row>
    <row r="698" spans="1:12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  <c r="I698">
        <f>C698*D698*(1-VLOOKUP(A698,Orders!$A:$G,7,0))</f>
        <v>134.02600000000001</v>
      </c>
      <c r="J698" t="str">
        <f>VLOOKUP(A698,Orders!$A:$G,6,0)</f>
        <v>Lunch</v>
      </c>
      <c r="K698" t="str">
        <f>VLOOKUP(A698,Orders!$A:$G,5,0)</f>
        <v>Cash</v>
      </c>
      <c r="L698">
        <f t="shared" si="10"/>
        <v>71.62</v>
      </c>
    </row>
    <row r="699" spans="1:12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  <c r="I699">
        <f>C699*D699*(1-VLOOKUP(A699,Orders!$A:$G,7,0))</f>
        <v>664.44299999999998</v>
      </c>
      <c r="J699" t="str">
        <f>VLOOKUP(A699,Orders!$A:$G,6,0)</f>
        <v>Lunch</v>
      </c>
      <c r="K699" t="str">
        <f>VLOOKUP(A699,Orders!$A:$G,5,0)</f>
        <v>Card</v>
      </c>
      <c r="L699">
        <f t="shared" si="10"/>
        <v>336.24</v>
      </c>
    </row>
    <row r="700" spans="1:12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  <c r="I700">
        <f>C700*D700*(1-VLOOKUP(A700,Orders!$A:$G,7,0))</f>
        <v>693.65700000000004</v>
      </c>
      <c r="J700" t="str">
        <f>VLOOKUP(A700,Orders!$A:$G,6,0)</f>
        <v>Lunch</v>
      </c>
      <c r="K700" t="str">
        <f>VLOOKUP(A700,Orders!$A:$G,5,0)</f>
        <v>Card</v>
      </c>
      <c r="L700">
        <f t="shared" si="10"/>
        <v>363.71999999999997</v>
      </c>
    </row>
    <row r="701" spans="1:12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  <c r="I701">
        <f>C701*D701*(1-VLOOKUP(A701,Orders!$A:$G,7,0))</f>
        <v>126.97200000000001</v>
      </c>
      <c r="J701" t="str">
        <f>VLOOKUP(A701,Orders!$A:$G,6,0)</f>
        <v>Lunch</v>
      </c>
      <c r="K701" t="str">
        <f>VLOOKUP(A701,Orders!$A:$G,5,0)</f>
        <v>Card</v>
      </c>
      <c r="L701">
        <f t="shared" si="10"/>
        <v>71.62</v>
      </c>
    </row>
    <row r="702" spans="1:12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  <c r="I702">
        <f>C702*D702*(1-VLOOKUP(A702,Orders!$A:$G,7,0))</f>
        <v>20.202000000000002</v>
      </c>
      <c r="J702" t="str">
        <f>VLOOKUP(A702,Orders!$A:$G,6,0)</f>
        <v>Breakfast</v>
      </c>
      <c r="K702" t="str">
        <f>VLOOKUP(A702,Orders!$A:$G,5,0)</f>
        <v>Card</v>
      </c>
      <c r="L702">
        <f t="shared" si="10"/>
        <v>9.3800000000000008</v>
      </c>
    </row>
    <row r="703" spans="1:12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  <c r="I703">
        <f>C703*D703*(1-VLOOKUP(A703,Orders!$A:$G,7,0))</f>
        <v>69.660499999999999</v>
      </c>
      <c r="J703" t="str">
        <f>VLOOKUP(A703,Orders!$A:$G,6,0)</f>
        <v>Breakfast</v>
      </c>
      <c r="K703" t="str">
        <f>VLOOKUP(A703,Orders!$A:$G,5,0)</f>
        <v>Card</v>
      </c>
      <c r="L703">
        <f t="shared" si="10"/>
        <v>38.229999999999997</v>
      </c>
    </row>
    <row r="704" spans="1:12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  <c r="I704">
        <f>C704*D704*(1-VLOOKUP(A704,Orders!$A:$G,7,0))</f>
        <v>49.322000000000003</v>
      </c>
      <c r="J704" t="str">
        <f>VLOOKUP(A704,Orders!$A:$G,6,0)</f>
        <v>Breakfast</v>
      </c>
      <c r="K704" t="str">
        <f>VLOOKUP(A704,Orders!$A:$G,5,0)</f>
        <v>Card</v>
      </c>
      <c r="L704">
        <f t="shared" si="10"/>
        <v>21.95</v>
      </c>
    </row>
    <row r="705" spans="1:12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  <c r="I705">
        <f>C705*D705*(1-VLOOKUP(A705,Orders!$A:$G,7,0))</f>
        <v>133.22400000000002</v>
      </c>
      <c r="J705" t="str">
        <f>VLOOKUP(A705,Orders!$A:$G,6,0)</f>
        <v>Breakfast</v>
      </c>
      <c r="K705" t="str">
        <f>VLOOKUP(A705,Orders!$A:$G,5,0)</f>
        <v>UPI</v>
      </c>
      <c r="L705">
        <f t="shared" si="10"/>
        <v>80.92</v>
      </c>
    </row>
    <row r="706" spans="1:12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  <c r="I706">
        <f>C706*D706*(1-VLOOKUP(A706,Orders!$A:$G,7,0))</f>
        <v>60.605999999999995</v>
      </c>
      <c r="J706" t="str">
        <f>VLOOKUP(A706,Orders!$A:$G,6,0)</f>
        <v>Breakfast</v>
      </c>
      <c r="K706" t="str">
        <f>VLOOKUP(A706,Orders!$A:$G,5,0)</f>
        <v>UPI</v>
      </c>
      <c r="L706">
        <f t="shared" ref="L706:L769" si="11">C706*E706</f>
        <v>28.14</v>
      </c>
    </row>
    <row r="707" spans="1:12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  <c r="I707">
        <f>C707*D707*(1-VLOOKUP(A707,Orders!$A:$G,7,0))</f>
        <v>34.634600000000006</v>
      </c>
      <c r="J707" t="str">
        <f>VLOOKUP(A707,Orders!$A:$G,6,0)</f>
        <v>Breakfast</v>
      </c>
      <c r="K707" t="str">
        <f>VLOOKUP(A707,Orders!$A:$G,5,0)</f>
        <v>UPI</v>
      </c>
      <c r="L707">
        <f t="shared" si="11"/>
        <v>19.55</v>
      </c>
    </row>
    <row r="708" spans="1:12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  <c r="I708">
        <f>C708*D708*(1-VLOOKUP(A708,Orders!$A:$G,7,0))</f>
        <v>311.85599999999999</v>
      </c>
      <c r="J708" t="str">
        <f>VLOOKUP(A708,Orders!$A:$G,6,0)</f>
        <v>Dinner</v>
      </c>
      <c r="K708" t="str">
        <f>VLOOKUP(A708,Orders!$A:$G,5,0)</f>
        <v>Card</v>
      </c>
      <c r="L708">
        <f t="shared" si="11"/>
        <v>146.91</v>
      </c>
    </row>
    <row r="709" spans="1:12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  <c r="I709">
        <f>C709*D709*(1-VLOOKUP(A709,Orders!$A:$G,7,0))</f>
        <v>35.776400000000002</v>
      </c>
      <c r="J709" t="str">
        <f>VLOOKUP(A709,Orders!$A:$G,6,0)</f>
        <v>Dinner</v>
      </c>
      <c r="K709" t="str">
        <f>VLOOKUP(A709,Orders!$A:$G,5,0)</f>
        <v>Card</v>
      </c>
      <c r="L709">
        <f t="shared" si="11"/>
        <v>19.55</v>
      </c>
    </row>
    <row r="710" spans="1:12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  <c r="I710">
        <f>C710*D710*(1-VLOOKUP(A710,Orders!$A:$G,7,0))</f>
        <v>20.867999999999999</v>
      </c>
      <c r="J710" t="str">
        <f>VLOOKUP(A710,Orders!$A:$G,6,0)</f>
        <v>Dinner</v>
      </c>
      <c r="K710" t="str">
        <f>VLOOKUP(A710,Orders!$A:$G,5,0)</f>
        <v>Card</v>
      </c>
      <c r="L710">
        <f t="shared" si="11"/>
        <v>9.3800000000000008</v>
      </c>
    </row>
    <row r="711" spans="1:12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  <c r="I711">
        <f>C711*D711*(1-VLOOKUP(A711,Orders!$A:$G,7,0))</f>
        <v>94.357199999999992</v>
      </c>
      <c r="J711" t="str">
        <f>VLOOKUP(A711,Orders!$A:$G,6,0)</f>
        <v>Dinner</v>
      </c>
      <c r="K711" t="str">
        <f>VLOOKUP(A711,Orders!$A:$G,5,0)</f>
        <v>Card</v>
      </c>
      <c r="L711">
        <f t="shared" si="11"/>
        <v>45.22</v>
      </c>
    </row>
    <row r="712" spans="1:12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  <c r="I712">
        <f>C712*D712*(1-VLOOKUP(A712,Orders!$A:$G,7,0))</f>
        <v>482.99080000000004</v>
      </c>
      <c r="J712" t="str">
        <f>VLOOKUP(A712,Orders!$A:$G,6,0)</f>
        <v>Dinner</v>
      </c>
      <c r="K712" t="str">
        <f>VLOOKUP(A712,Orders!$A:$G,5,0)</f>
        <v>Card</v>
      </c>
      <c r="L712">
        <f t="shared" si="11"/>
        <v>242.48</v>
      </c>
    </row>
    <row r="713" spans="1:12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  <c r="I713">
        <f>C713*D713*(1-VLOOKUP(A713,Orders!$A:$G,7,0))</f>
        <v>55.218800000000002</v>
      </c>
      <c r="J713" t="str">
        <f>VLOOKUP(A713,Orders!$A:$G,6,0)</f>
        <v>Dinner</v>
      </c>
      <c r="K713" t="str">
        <f>VLOOKUP(A713,Orders!$A:$G,5,0)</f>
        <v>UPI</v>
      </c>
      <c r="L713">
        <f t="shared" si="11"/>
        <v>28.36</v>
      </c>
    </row>
    <row r="714" spans="1:12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  <c r="I714">
        <f>C714*D714*(1-VLOOKUP(A714,Orders!$A:$G,7,0))</f>
        <v>310.91060000000004</v>
      </c>
      <c r="J714" t="str">
        <f>VLOOKUP(A714,Orders!$A:$G,6,0)</f>
        <v>Dinner</v>
      </c>
      <c r="K714" t="str">
        <f>VLOOKUP(A714,Orders!$A:$G,5,0)</f>
        <v>UPI</v>
      </c>
      <c r="L714">
        <f t="shared" si="11"/>
        <v>148.13999999999999</v>
      </c>
    </row>
    <row r="715" spans="1:12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  <c r="I715">
        <f>C715*D715*(1-VLOOKUP(A715,Orders!$A:$G,7,0))</f>
        <v>318.86399999999998</v>
      </c>
      <c r="J715" t="str">
        <f>VLOOKUP(A715,Orders!$A:$G,6,0)</f>
        <v>Dinner</v>
      </c>
      <c r="K715" t="str">
        <f>VLOOKUP(A715,Orders!$A:$G,5,0)</f>
        <v>UPI</v>
      </c>
      <c r="L715">
        <f t="shared" si="11"/>
        <v>146.91</v>
      </c>
    </row>
    <row r="716" spans="1:12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  <c r="I716">
        <f>C716*D716*(1-VLOOKUP(A716,Orders!$A:$G,7,0))</f>
        <v>137.0187</v>
      </c>
      <c r="J716" t="str">
        <f>VLOOKUP(A716,Orders!$A:$G,6,0)</f>
        <v>Dinner</v>
      </c>
      <c r="K716" t="str">
        <f>VLOOKUP(A716,Orders!$A:$G,5,0)</f>
        <v>UPI</v>
      </c>
      <c r="L716">
        <f t="shared" si="11"/>
        <v>67.83</v>
      </c>
    </row>
    <row r="717" spans="1:12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  <c r="I717">
        <f>C717*D717*(1-VLOOKUP(A717,Orders!$A:$G,7,0))</f>
        <v>36.157000000000004</v>
      </c>
      <c r="J717" t="str">
        <f>VLOOKUP(A717,Orders!$A:$G,6,0)</f>
        <v>Dinner</v>
      </c>
      <c r="K717" t="str">
        <f>VLOOKUP(A717,Orders!$A:$G,5,0)</f>
        <v>UPI</v>
      </c>
      <c r="L717">
        <f t="shared" si="11"/>
        <v>19.55</v>
      </c>
    </row>
    <row r="718" spans="1:12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  <c r="I718">
        <f>C718*D718*(1-VLOOKUP(A718,Orders!$A:$G,7,0))</f>
        <v>38.208999999999996</v>
      </c>
      <c r="J718" t="str">
        <f>VLOOKUP(A718,Orders!$A:$G,6,0)</f>
        <v>Dinner</v>
      </c>
      <c r="K718" t="str">
        <f>VLOOKUP(A718,Orders!$A:$G,5,0)</f>
        <v>UPI</v>
      </c>
      <c r="L718">
        <f t="shared" si="11"/>
        <v>16</v>
      </c>
    </row>
    <row r="719" spans="1:12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  <c r="I719">
        <f>C719*D719*(1-VLOOKUP(A719,Orders!$A:$G,7,0))</f>
        <v>332.87999999999994</v>
      </c>
      <c r="J719" t="str">
        <f>VLOOKUP(A719,Orders!$A:$G,6,0)</f>
        <v>Dinner</v>
      </c>
      <c r="K719" t="str">
        <f>VLOOKUP(A719,Orders!$A:$G,5,0)</f>
        <v>UPI</v>
      </c>
      <c r="L719">
        <f t="shared" si="11"/>
        <v>146.91</v>
      </c>
    </row>
    <row r="720" spans="1:12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  <c r="I720">
        <f>C720*D720*(1-VLOOKUP(A720,Orders!$A:$G,7,0))</f>
        <v>35.395800000000001</v>
      </c>
      <c r="J720" t="str">
        <f>VLOOKUP(A720,Orders!$A:$G,6,0)</f>
        <v>Breakfast</v>
      </c>
      <c r="K720" t="str">
        <f>VLOOKUP(A720,Orders!$A:$G,5,0)</f>
        <v>Cash</v>
      </c>
      <c r="L720">
        <f t="shared" si="11"/>
        <v>19.55</v>
      </c>
    </row>
    <row r="721" spans="1:12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  <c r="I721">
        <f>C721*D721*(1-VLOOKUP(A721,Orders!$A:$G,7,0))</f>
        <v>37.153500000000001</v>
      </c>
      <c r="J721" t="str">
        <f>VLOOKUP(A721,Orders!$A:$G,6,0)</f>
        <v>Breakfast</v>
      </c>
      <c r="K721" t="str">
        <f>VLOOKUP(A721,Orders!$A:$G,5,0)</f>
        <v>Cash</v>
      </c>
      <c r="L721">
        <f t="shared" si="11"/>
        <v>15.51</v>
      </c>
    </row>
    <row r="722" spans="1:12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  <c r="I722">
        <f>C722*D722*(1-VLOOKUP(A722,Orders!$A:$G,7,0))</f>
        <v>162.2885</v>
      </c>
      <c r="J722" t="str">
        <f>VLOOKUP(A722,Orders!$A:$G,6,0)</f>
        <v>Dinner</v>
      </c>
      <c r="K722" t="str">
        <f>VLOOKUP(A722,Orders!$A:$G,5,0)</f>
        <v>UPI</v>
      </c>
      <c r="L722">
        <f t="shared" si="11"/>
        <v>74.069999999999993</v>
      </c>
    </row>
    <row r="723" spans="1:12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  <c r="I723">
        <f>C723*D723*(1-VLOOKUP(A723,Orders!$A:$G,7,0))</f>
        <v>28.822999999999997</v>
      </c>
      <c r="J723" t="str">
        <f>VLOOKUP(A723,Orders!$A:$G,6,0)</f>
        <v>Dinner</v>
      </c>
      <c r="K723" t="str">
        <f>VLOOKUP(A723,Orders!$A:$G,5,0)</f>
        <v>UPI</v>
      </c>
      <c r="L723">
        <f t="shared" si="11"/>
        <v>14.18</v>
      </c>
    </row>
    <row r="724" spans="1:12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  <c r="I724">
        <f>C724*D724*(1-VLOOKUP(A724,Orders!$A:$G,7,0))</f>
        <v>221.92</v>
      </c>
      <c r="J724" t="str">
        <f>VLOOKUP(A724,Orders!$A:$G,6,0)</f>
        <v>Dinner</v>
      </c>
      <c r="K724" t="str">
        <f>VLOOKUP(A724,Orders!$A:$G,5,0)</f>
        <v>UPI</v>
      </c>
      <c r="L724">
        <f t="shared" si="11"/>
        <v>97.94</v>
      </c>
    </row>
    <row r="725" spans="1:12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  <c r="I725">
        <f>C725*D725*(1-VLOOKUP(A725,Orders!$A:$G,7,0))</f>
        <v>28.519599999999997</v>
      </c>
      <c r="J725" t="str">
        <f>VLOOKUP(A725,Orders!$A:$G,6,0)</f>
        <v>Dinner</v>
      </c>
      <c r="K725" t="str">
        <f>VLOOKUP(A725,Orders!$A:$G,5,0)</f>
        <v>Cash</v>
      </c>
      <c r="L725">
        <f t="shared" si="11"/>
        <v>14.18</v>
      </c>
    </row>
    <row r="726" spans="1:12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  <c r="I726">
        <f>C726*D726*(1-VLOOKUP(A726,Orders!$A:$G,7,0))</f>
        <v>26.1556</v>
      </c>
      <c r="J726" t="str">
        <f>VLOOKUP(A726,Orders!$A:$G,6,0)</f>
        <v>Breakfast</v>
      </c>
      <c r="K726" t="str">
        <f>VLOOKUP(A726,Orders!$A:$G,5,0)</f>
        <v>Cash</v>
      </c>
      <c r="L726">
        <f t="shared" si="11"/>
        <v>13.89</v>
      </c>
    </row>
    <row r="727" spans="1:12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  <c r="I727">
        <f>C727*D727*(1-VLOOKUP(A727,Orders!$A:$G,7,0))</f>
        <v>83.738399999999999</v>
      </c>
      <c r="J727" t="str">
        <f>VLOOKUP(A727,Orders!$A:$G,6,0)</f>
        <v>Breakfast</v>
      </c>
      <c r="K727" t="str">
        <f>VLOOKUP(A727,Orders!$A:$G,5,0)</f>
        <v>Cash</v>
      </c>
      <c r="L727">
        <f t="shared" si="11"/>
        <v>42.54</v>
      </c>
    </row>
    <row r="728" spans="1:12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  <c r="I728">
        <f>C728*D728*(1-VLOOKUP(A728,Orders!$A:$G,7,0))</f>
        <v>157.16360000000003</v>
      </c>
      <c r="J728" t="str">
        <f>VLOOKUP(A728,Orders!$A:$G,6,0)</f>
        <v>Breakfast</v>
      </c>
      <c r="K728" t="str">
        <f>VLOOKUP(A728,Orders!$A:$G,5,0)</f>
        <v>Cash</v>
      </c>
      <c r="L728">
        <f t="shared" si="11"/>
        <v>74.069999999999993</v>
      </c>
    </row>
    <row r="729" spans="1:12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  <c r="I729">
        <f>C729*D729*(1-VLOOKUP(A729,Orders!$A:$G,7,0))</f>
        <v>29.4298</v>
      </c>
      <c r="J729" t="str">
        <f>VLOOKUP(A729,Orders!$A:$G,6,0)</f>
        <v>Breakfast</v>
      </c>
      <c r="K729" t="str">
        <f>VLOOKUP(A729,Orders!$A:$G,5,0)</f>
        <v>Cash</v>
      </c>
      <c r="L729">
        <f t="shared" si="11"/>
        <v>14.18</v>
      </c>
    </row>
    <row r="730" spans="1:12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  <c r="I730">
        <f>C730*D730*(1-VLOOKUP(A730,Orders!$A:$G,7,0))</f>
        <v>68.713999999999999</v>
      </c>
      <c r="J730" t="str">
        <f>VLOOKUP(A730,Orders!$A:$G,6,0)</f>
        <v>Lunch</v>
      </c>
      <c r="K730" t="str">
        <f>VLOOKUP(A730,Orders!$A:$G,5,0)</f>
        <v>UPI</v>
      </c>
      <c r="L730">
        <f t="shared" si="11"/>
        <v>31.02</v>
      </c>
    </row>
    <row r="731" spans="1:12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  <c r="I731">
        <f>C731*D731*(1-VLOOKUP(A731,Orders!$A:$G,7,0))</f>
        <v>181.9932</v>
      </c>
      <c r="J731" t="str">
        <f>VLOOKUP(A731,Orders!$A:$G,6,0)</f>
        <v>Lunch</v>
      </c>
      <c r="K731" t="str">
        <f>VLOOKUP(A731,Orders!$A:$G,5,0)</f>
        <v>UPI</v>
      </c>
      <c r="L731">
        <f t="shared" si="11"/>
        <v>107.43</v>
      </c>
    </row>
    <row r="732" spans="1:12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  <c r="I732">
        <f>C732*D732*(1-VLOOKUP(A732,Orders!$A:$G,7,0))</f>
        <v>26.092399999999998</v>
      </c>
      <c r="J732" t="str">
        <f>VLOOKUP(A732,Orders!$A:$G,6,0)</f>
        <v>Lunch</v>
      </c>
      <c r="K732" t="str">
        <f>VLOOKUP(A732,Orders!$A:$G,5,0)</f>
        <v>UPI</v>
      </c>
      <c r="L732">
        <f t="shared" si="11"/>
        <v>14.18</v>
      </c>
    </row>
    <row r="733" spans="1:12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  <c r="I733">
        <f>C733*D733*(1-VLOOKUP(A733,Orders!$A:$G,7,0))</f>
        <v>669.17340000000002</v>
      </c>
      <c r="J733" t="str">
        <f>VLOOKUP(A733,Orders!$A:$G,6,0)</f>
        <v>Dinner</v>
      </c>
      <c r="K733" t="str">
        <f>VLOOKUP(A733,Orders!$A:$G,5,0)</f>
        <v>Card</v>
      </c>
      <c r="L733">
        <f t="shared" si="11"/>
        <v>288.65999999999997</v>
      </c>
    </row>
    <row r="734" spans="1:12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  <c r="I734">
        <f>C734*D734*(1-VLOOKUP(A734,Orders!$A:$G,7,0))</f>
        <v>78.302000000000007</v>
      </c>
      <c r="J734" t="str">
        <f>VLOOKUP(A734,Orders!$A:$G,6,0)</f>
        <v>Dinner</v>
      </c>
      <c r="K734" t="str">
        <f>VLOOKUP(A734,Orders!$A:$G,5,0)</f>
        <v>Card</v>
      </c>
      <c r="L734">
        <f t="shared" si="11"/>
        <v>31.02</v>
      </c>
    </row>
    <row r="735" spans="1:12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  <c r="I735">
        <f>C735*D735*(1-VLOOKUP(A735,Orders!$A:$G,7,0))</f>
        <v>334.82679999999999</v>
      </c>
      <c r="J735" t="str">
        <f>VLOOKUP(A735,Orders!$A:$G,6,0)</f>
        <v>Dinner</v>
      </c>
      <c r="K735" t="str">
        <f>VLOOKUP(A735,Orders!$A:$G,5,0)</f>
        <v>Card</v>
      </c>
      <c r="L735">
        <f t="shared" si="11"/>
        <v>148.13999999999999</v>
      </c>
    </row>
    <row r="736" spans="1:12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  <c r="I736">
        <f>C736*D736*(1-VLOOKUP(A736,Orders!$A:$G,7,0))</f>
        <v>29.7332</v>
      </c>
      <c r="J736" t="str">
        <f>VLOOKUP(A736,Orders!$A:$G,6,0)</f>
        <v>Dinner</v>
      </c>
      <c r="K736" t="str">
        <f>VLOOKUP(A736,Orders!$A:$G,5,0)</f>
        <v>Card</v>
      </c>
      <c r="L736">
        <f t="shared" si="11"/>
        <v>14.18</v>
      </c>
    </row>
    <row r="737" spans="1:12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  <c r="I737">
        <f>C737*D737*(1-VLOOKUP(A737,Orders!$A:$G,7,0))</f>
        <v>75.784499999999994</v>
      </c>
      <c r="J737" t="str">
        <f>VLOOKUP(A737,Orders!$A:$G,6,0)</f>
        <v>Lunch</v>
      </c>
      <c r="K737" t="str">
        <f>VLOOKUP(A737,Orders!$A:$G,5,0)</f>
        <v>Cash</v>
      </c>
      <c r="L737">
        <f t="shared" si="11"/>
        <v>38.229999999999997</v>
      </c>
    </row>
    <row r="738" spans="1:12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  <c r="I738">
        <f>C738*D738*(1-VLOOKUP(A738,Orders!$A:$G,7,0))</f>
        <v>149.0643</v>
      </c>
      <c r="J738" t="str">
        <f>VLOOKUP(A738,Orders!$A:$G,6,0)</f>
        <v>Lunch</v>
      </c>
      <c r="K738" t="str">
        <f>VLOOKUP(A738,Orders!$A:$G,5,0)</f>
        <v>Cash</v>
      </c>
      <c r="L738">
        <f t="shared" si="11"/>
        <v>67.83</v>
      </c>
    </row>
    <row r="739" spans="1:12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  <c r="I739">
        <f>C739*D739*(1-VLOOKUP(A739,Orders!$A:$G,7,0))</f>
        <v>103.851</v>
      </c>
      <c r="J739" t="str">
        <f>VLOOKUP(A739,Orders!$A:$G,6,0)</f>
        <v>Lunch</v>
      </c>
      <c r="K739" t="str">
        <f>VLOOKUP(A739,Orders!$A:$G,5,0)</f>
        <v>Cash</v>
      </c>
      <c r="L739">
        <f t="shared" si="11"/>
        <v>51.6</v>
      </c>
    </row>
    <row r="740" spans="1:12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  <c r="I740">
        <f>C740*D740*(1-VLOOKUP(A740,Orders!$A:$G,7,0))</f>
        <v>48.238000000000007</v>
      </c>
      <c r="J740" t="str">
        <f>VLOOKUP(A740,Orders!$A:$G,6,0)</f>
        <v>Breakfast</v>
      </c>
      <c r="K740" t="str">
        <f>VLOOKUP(A740,Orders!$A:$G,5,0)</f>
        <v>Cash</v>
      </c>
      <c r="L740">
        <f t="shared" si="11"/>
        <v>21.95</v>
      </c>
    </row>
    <row r="741" spans="1:12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  <c r="I741">
        <f>C741*D741*(1-VLOOKUP(A741,Orders!$A:$G,7,0))</f>
        <v>46.680500000000002</v>
      </c>
      <c r="J741" t="str">
        <f>VLOOKUP(A741,Orders!$A:$G,6,0)</f>
        <v>Breakfast</v>
      </c>
      <c r="K741" t="str">
        <f>VLOOKUP(A741,Orders!$A:$G,5,0)</f>
        <v>Cash</v>
      </c>
      <c r="L741">
        <f t="shared" si="11"/>
        <v>25.8</v>
      </c>
    </row>
    <row r="742" spans="1:12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  <c r="I742">
        <f>C742*D742*(1-VLOOKUP(A742,Orders!$A:$G,7,0))</f>
        <v>152.03870000000001</v>
      </c>
      <c r="J742" t="str">
        <f>VLOOKUP(A742,Orders!$A:$G,6,0)</f>
        <v>Breakfast</v>
      </c>
      <c r="K742" t="str">
        <f>VLOOKUP(A742,Orders!$A:$G,5,0)</f>
        <v>Cash</v>
      </c>
      <c r="L742">
        <f t="shared" si="11"/>
        <v>74.069999999999993</v>
      </c>
    </row>
    <row r="743" spans="1:12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  <c r="I743">
        <f>C743*D743*(1-VLOOKUP(A743,Orders!$A:$G,7,0))</f>
        <v>134.00729999999999</v>
      </c>
      <c r="J743" t="str">
        <f>VLOOKUP(A743,Orders!$A:$G,6,0)</f>
        <v>Breakfast</v>
      </c>
      <c r="K743" t="str">
        <f>VLOOKUP(A743,Orders!$A:$G,5,0)</f>
        <v>Cash</v>
      </c>
      <c r="L743">
        <f t="shared" si="11"/>
        <v>67.83</v>
      </c>
    </row>
    <row r="744" spans="1:12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  <c r="I744">
        <f>C744*D744*(1-VLOOKUP(A744,Orders!$A:$G,7,0))</f>
        <v>139.321</v>
      </c>
      <c r="J744" t="str">
        <f>VLOOKUP(A744,Orders!$A:$G,6,0)</f>
        <v>Breakfast</v>
      </c>
      <c r="K744" t="str">
        <f>VLOOKUP(A744,Orders!$A:$G,5,0)</f>
        <v>Card</v>
      </c>
      <c r="L744">
        <f t="shared" si="11"/>
        <v>76.459999999999994</v>
      </c>
    </row>
    <row r="745" spans="1:12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  <c r="I745">
        <f>C745*D745*(1-VLOOKUP(A745,Orders!$A:$G,7,0))</f>
        <v>155.45530000000002</v>
      </c>
      <c r="J745" t="str">
        <f>VLOOKUP(A745,Orders!$A:$G,6,0)</f>
        <v>Breakfast</v>
      </c>
      <c r="K745" t="str">
        <f>VLOOKUP(A745,Orders!$A:$G,5,0)</f>
        <v>Card</v>
      </c>
      <c r="L745">
        <f t="shared" si="11"/>
        <v>74.069999999999993</v>
      </c>
    </row>
    <row r="746" spans="1:12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  <c r="I746">
        <f>C746*D746*(1-VLOOKUP(A746,Orders!$A:$G,7,0))</f>
        <v>134.68800000000002</v>
      </c>
      <c r="J746" t="str">
        <f>VLOOKUP(A746,Orders!$A:$G,6,0)</f>
        <v>Breakfast</v>
      </c>
      <c r="K746" t="str">
        <f>VLOOKUP(A746,Orders!$A:$G,5,0)</f>
        <v>UPI</v>
      </c>
      <c r="L746">
        <f t="shared" si="11"/>
        <v>80.92</v>
      </c>
    </row>
    <row r="747" spans="1:12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  <c r="I747">
        <f>C747*D747*(1-VLOOKUP(A747,Orders!$A:$G,7,0))</f>
        <v>236.35720000000003</v>
      </c>
      <c r="J747" t="str">
        <f>VLOOKUP(A747,Orders!$A:$G,6,0)</f>
        <v>Breakfast</v>
      </c>
      <c r="K747" t="str">
        <f>VLOOKUP(A747,Orders!$A:$G,5,0)</f>
        <v>UPI</v>
      </c>
      <c r="L747">
        <f t="shared" si="11"/>
        <v>121.24</v>
      </c>
    </row>
    <row r="748" spans="1:12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  <c r="I748">
        <f>C748*D748*(1-VLOOKUP(A748,Orders!$A:$G,7,0))</f>
        <v>155.45530000000002</v>
      </c>
      <c r="J748" t="str">
        <f>VLOOKUP(A748,Orders!$A:$G,6,0)</f>
        <v>Dinner</v>
      </c>
      <c r="K748" t="str">
        <f>VLOOKUP(A748,Orders!$A:$G,5,0)</f>
        <v>Cash</v>
      </c>
      <c r="L748">
        <f t="shared" si="11"/>
        <v>74.069999999999993</v>
      </c>
    </row>
    <row r="749" spans="1:12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  <c r="I749">
        <f>C749*D749*(1-VLOOKUP(A749,Orders!$A:$G,7,0))</f>
        <v>95.459000000000003</v>
      </c>
      <c r="J749" t="str">
        <f>VLOOKUP(A749,Orders!$A:$G,6,0)</f>
        <v>Dinner</v>
      </c>
      <c r="K749" t="str">
        <f>VLOOKUP(A749,Orders!$A:$G,5,0)</f>
        <v>Cash</v>
      </c>
      <c r="L749">
        <f t="shared" si="11"/>
        <v>51.6</v>
      </c>
    </row>
    <row r="750" spans="1:12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  <c r="I750">
        <f>C750*D750*(1-VLOOKUP(A750,Orders!$A:$G,7,0))</f>
        <v>40.404000000000003</v>
      </c>
      <c r="J750" t="str">
        <f>VLOOKUP(A750,Orders!$A:$G,6,0)</f>
        <v>Dinner</v>
      </c>
      <c r="K750" t="str">
        <f>VLOOKUP(A750,Orders!$A:$G,5,0)</f>
        <v>Cash</v>
      </c>
      <c r="L750">
        <f t="shared" si="11"/>
        <v>18.760000000000002</v>
      </c>
    </row>
    <row r="751" spans="1:12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  <c r="I751">
        <f>C751*D751*(1-VLOOKUP(A751,Orders!$A:$G,7,0))</f>
        <v>198.9228</v>
      </c>
      <c r="J751" t="str">
        <f>VLOOKUP(A751,Orders!$A:$G,6,0)</f>
        <v>Breakfast</v>
      </c>
      <c r="K751" t="str">
        <f>VLOOKUP(A751,Orders!$A:$G,5,0)</f>
        <v>Card</v>
      </c>
      <c r="L751">
        <f t="shared" si="11"/>
        <v>107.43</v>
      </c>
    </row>
    <row r="752" spans="1:12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  <c r="I752">
        <f>C752*D752*(1-VLOOKUP(A752,Orders!$A:$G,7,0))</f>
        <v>18.903399999999998</v>
      </c>
      <c r="J752" t="str">
        <f>VLOOKUP(A752,Orders!$A:$G,6,0)</f>
        <v>Breakfast</v>
      </c>
      <c r="K752" t="str">
        <f>VLOOKUP(A752,Orders!$A:$G,5,0)</f>
        <v>Card</v>
      </c>
      <c r="L752">
        <f t="shared" si="11"/>
        <v>8</v>
      </c>
    </row>
    <row r="753" spans="1:12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  <c r="I753">
        <f>C753*D753*(1-VLOOKUP(A753,Orders!$A:$G,7,0))</f>
        <v>71.956999999999994</v>
      </c>
      <c r="J753" t="str">
        <f>VLOOKUP(A753,Orders!$A:$G,6,0)</f>
        <v>Breakfast</v>
      </c>
      <c r="K753" t="str">
        <f>VLOOKUP(A753,Orders!$A:$G,5,0)</f>
        <v>Card</v>
      </c>
      <c r="L753">
        <f t="shared" si="11"/>
        <v>38.229999999999997</v>
      </c>
    </row>
    <row r="754" spans="1:12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  <c r="I754">
        <f>C754*D754*(1-VLOOKUP(A754,Orders!$A:$G,7,0))</f>
        <v>32.320399999999999</v>
      </c>
      <c r="J754" t="str">
        <f>VLOOKUP(A754,Orders!$A:$G,6,0)</f>
        <v>Breakfast</v>
      </c>
      <c r="K754" t="str">
        <f>VLOOKUP(A754,Orders!$A:$G,5,0)</f>
        <v>Card</v>
      </c>
      <c r="L754">
        <f t="shared" si="11"/>
        <v>11.84</v>
      </c>
    </row>
    <row r="755" spans="1:12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  <c r="I755">
        <f>C755*D755*(1-VLOOKUP(A755,Orders!$A:$G,7,0))</f>
        <v>19.707799999999999</v>
      </c>
      <c r="J755" t="str">
        <f>VLOOKUP(A755,Orders!$A:$G,6,0)</f>
        <v>Breakfast</v>
      </c>
      <c r="K755" t="str">
        <f>VLOOKUP(A755,Orders!$A:$G,5,0)</f>
        <v>Card</v>
      </c>
      <c r="L755">
        <f t="shared" si="11"/>
        <v>8</v>
      </c>
    </row>
    <row r="756" spans="1:12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  <c r="I756">
        <f>C756*D756*(1-VLOOKUP(A756,Orders!$A:$G,7,0))</f>
        <v>482.99080000000004</v>
      </c>
      <c r="J756" t="str">
        <f>VLOOKUP(A756,Orders!$A:$G,6,0)</f>
        <v>Breakfast</v>
      </c>
      <c r="K756" t="str">
        <f>VLOOKUP(A756,Orders!$A:$G,5,0)</f>
        <v>Card</v>
      </c>
      <c r="L756">
        <f t="shared" si="11"/>
        <v>242.48</v>
      </c>
    </row>
    <row r="757" spans="1:12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  <c r="I757">
        <f>C757*D757*(1-VLOOKUP(A757,Orders!$A:$G,7,0))</f>
        <v>19.506699999999999</v>
      </c>
      <c r="J757" t="str">
        <f>VLOOKUP(A757,Orders!$A:$G,6,0)</f>
        <v>Dinner</v>
      </c>
      <c r="K757" t="str">
        <f>VLOOKUP(A757,Orders!$A:$G,5,0)</f>
        <v>UPI</v>
      </c>
      <c r="L757">
        <f t="shared" si="11"/>
        <v>8</v>
      </c>
    </row>
    <row r="758" spans="1:12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  <c r="I758">
        <f>C758*D758*(1-VLOOKUP(A758,Orders!$A:$G,7,0))</f>
        <v>58.8596</v>
      </c>
      <c r="J758" t="str">
        <f>VLOOKUP(A758,Orders!$A:$G,6,0)</f>
        <v>Dinner</v>
      </c>
      <c r="K758" t="str">
        <f>VLOOKUP(A758,Orders!$A:$G,5,0)</f>
        <v>UPI</v>
      </c>
      <c r="L758">
        <f t="shared" si="11"/>
        <v>28.36</v>
      </c>
    </row>
    <row r="759" spans="1:12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  <c r="I759">
        <f>C759*D759*(1-VLOOKUP(A759,Orders!$A:$G,7,0))</f>
        <v>409.69800000000004</v>
      </c>
      <c r="J759" t="str">
        <f>VLOOKUP(A759,Orders!$A:$G,6,0)</f>
        <v>Lunch</v>
      </c>
      <c r="K759" t="str">
        <f>VLOOKUP(A759,Orders!$A:$G,5,0)</f>
        <v>UPI</v>
      </c>
      <c r="L759">
        <f t="shared" si="11"/>
        <v>192.44</v>
      </c>
    </row>
    <row r="760" spans="1:12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  <c r="I760">
        <f>C760*D760*(1-VLOOKUP(A760,Orders!$A:$G,7,0))</f>
        <v>54.612000000000002</v>
      </c>
      <c r="J760" t="str">
        <f>VLOOKUP(A760,Orders!$A:$G,6,0)</f>
        <v>Lunch</v>
      </c>
      <c r="K760" t="str">
        <f>VLOOKUP(A760,Orders!$A:$G,5,0)</f>
        <v>UPI</v>
      </c>
      <c r="L760">
        <f t="shared" si="11"/>
        <v>28.36</v>
      </c>
    </row>
    <row r="761" spans="1:12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  <c r="I761">
        <f>C761*D761*(1-VLOOKUP(A761,Orders!$A:$G,7,0))</f>
        <v>54.016999999999996</v>
      </c>
      <c r="J761" t="str">
        <f>VLOOKUP(A761,Orders!$A:$G,6,0)</f>
        <v>Dinner</v>
      </c>
      <c r="K761" t="str">
        <f>VLOOKUP(A761,Orders!$A:$G,5,0)</f>
        <v>Cash</v>
      </c>
      <c r="L761">
        <f t="shared" si="11"/>
        <v>27.78</v>
      </c>
    </row>
    <row r="762" spans="1:12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  <c r="I762">
        <f>C762*D762*(1-VLOOKUP(A762,Orders!$A:$G,7,0))</f>
        <v>55.357900000000001</v>
      </c>
      <c r="J762" t="str">
        <f>VLOOKUP(A762,Orders!$A:$G,6,0)</f>
        <v>Dinner</v>
      </c>
      <c r="K762" t="str">
        <f>VLOOKUP(A762,Orders!$A:$G,5,0)</f>
        <v>Cash</v>
      </c>
      <c r="L762">
        <f t="shared" si="11"/>
        <v>29.14</v>
      </c>
    </row>
    <row r="763" spans="1:12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  <c r="I763">
        <f>C763*D763*(1-VLOOKUP(A763,Orders!$A:$G,7,0))</f>
        <v>21.533999999999999</v>
      </c>
      <c r="J763" t="str">
        <f>VLOOKUP(A763,Orders!$A:$G,6,0)</f>
        <v>Dinner</v>
      </c>
      <c r="K763" t="str">
        <f>VLOOKUP(A763,Orders!$A:$G,5,0)</f>
        <v>Cash</v>
      </c>
      <c r="L763">
        <f t="shared" si="11"/>
        <v>9.3800000000000008</v>
      </c>
    </row>
    <row r="764" spans="1:12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  <c r="I764">
        <f>C764*D764*(1-VLOOKUP(A764,Orders!$A:$G,7,0))</f>
        <v>47.680499999999995</v>
      </c>
      <c r="J764" t="str">
        <f>VLOOKUP(A764,Orders!$A:$G,6,0)</f>
        <v>Dinner</v>
      </c>
      <c r="K764" t="str">
        <f>VLOOKUP(A764,Orders!$A:$G,5,0)</f>
        <v>UPI</v>
      </c>
      <c r="L764">
        <f t="shared" si="11"/>
        <v>22.61</v>
      </c>
    </row>
    <row r="765" spans="1:12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  <c r="I765">
        <f>C765*D765*(1-VLOOKUP(A765,Orders!$A:$G,7,0))</f>
        <v>113.8575</v>
      </c>
      <c r="J765" t="str">
        <f>VLOOKUP(A765,Orders!$A:$G,6,0)</f>
        <v>Dinner</v>
      </c>
      <c r="K765" t="str">
        <f>VLOOKUP(A765,Orders!$A:$G,5,0)</f>
        <v>UPI</v>
      </c>
      <c r="L765">
        <f t="shared" si="11"/>
        <v>46.53</v>
      </c>
    </row>
    <row r="766" spans="1:12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  <c r="I766">
        <f>C766*D766*(1-VLOOKUP(A766,Orders!$A:$G,7,0))</f>
        <v>194.69040000000001</v>
      </c>
      <c r="J766" t="str">
        <f>VLOOKUP(A766,Orders!$A:$G,6,0)</f>
        <v>Breakfast</v>
      </c>
      <c r="K766" t="str">
        <f>VLOOKUP(A766,Orders!$A:$G,5,0)</f>
        <v>Cash</v>
      </c>
      <c r="L766">
        <f t="shared" si="11"/>
        <v>107.43</v>
      </c>
    </row>
    <row r="767" spans="1:12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  <c r="I767">
        <f>C767*D767*(1-VLOOKUP(A767,Orders!$A:$G,7,0))</f>
        <v>246.6336</v>
      </c>
      <c r="J767" t="str">
        <f>VLOOKUP(A767,Orders!$A:$G,6,0)</f>
        <v>Dinner</v>
      </c>
      <c r="K767" t="str">
        <f>VLOOKUP(A767,Orders!$A:$G,5,0)</f>
        <v>UPI</v>
      </c>
      <c r="L767">
        <f t="shared" si="11"/>
        <v>121.24</v>
      </c>
    </row>
    <row r="768" spans="1:12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  <c r="I768">
        <f>C768*D768*(1-VLOOKUP(A768,Orders!$A:$G,7,0))</f>
        <v>36.918199999999999</v>
      </c>
      <c r="J768" t="str">
        <f>VLOOKUP(A768,Orders!$A:$G,6,0)</f>
        <v>Lunch</v>
      </c>
      <c r="K768" t="str">
        <f>VLOOKUP(A768,Orders!$A:$G,5,0)</f>
        <v>Card</v>
      </c>
      <c r="L768">
        <f t="shared" si="11"/>
        <v>19.55</v>
      </c>
    </row>
    <row r="769" spans="1:12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  <c r="I769">
        <f>C769*D769*(1-VLOOKUP(A769,Orders!$A:$G,7,0))</f>
        <v>113.29599999999999</v>
      </c>
      <c r="J769" t="str">
        <f>VLOOKUP(A769,Orders!$A:$G,6,0)</f>
        <v>Lunch</v>
      </c>
      <c r="K769" t="str">
        <f>VLOOKUP(A769,Orders!$A:$G,5,0)</f>
        <v>Card</v>
      </c>
      <c r="L769">
        <f t="shared" si="11"/>
        <v>48.97</v>
      </c>
    </row>
    <row r="770" spans="1:12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  <c r="I770">
        <f>C770*D770*(1-VLOOKUP(A770,Orders!$A:$G,7,0))</f>
        <v>284.01600000000002</v>
      </c>
      <c r="J770" t="str">
        <f>VLOOKUP(A770,Orders!$A:$G,6,0)</f>
        <v>Lunch</v>
      </c>
      <c r="K770" t="str">
        <f>VLOOKUP(A770,Orders!$A:$G,5,0)</f>
        <v>Card</v>
      </c>
      <c r="L770">
        <f t="shared" ref="L770:L833" si="12">C770*E770</f>
        <v>161.84</v>
      </c>
    </row>
    <row r="771" spans="1:12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  <c r="I771">
        <f>C771*D771*(1-VLOOKUP(A771,Orders!$A:$G,7,0))</f>
        <v>19.506699999999999</v>
      </c>
      <c r="J771" t="str">
        <f>VLOOKUP(A771,Orders!$A:$G,6,0)</f>
        <v>Lunch</v>
      </c>
      <c r="K771" t="str">
        <f>VLOOKUP(A771,Orders!$A:$G,5,0)</f>
        <v>Card</v>
      </c>
      <c r="L771">
        <f t="shared" si="12"/>
        <v>8</v>
      </c>
    </row>
    <row r="772" spans="1:12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  <c r="I772">
        <f>C772*D772*(1-VLOOKUP(A772,Orders!$A:$G,7,0))</f>
        <v>50.405999999999999</v>
      </c>
      <c r="J772" t="str">
        <f>VLOOKUP(A772,Orders!$A:$G,6,0)</f>
        <v>Breakfast</v>
      </c>
      <c r="K772" t="str">
        <f>VLOOKUP(A772,Orders!$A:$G,5,0)</f>
        <v>Cash</v>
      </c>
      <c r="L772">
        <f t="shared" si="12"/>
        <v>21.95</v>
      </c>
    </row>
    <row r="773" spans="1:12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  <c r="I773">
        <f>C773*D773*(1-VLOOKUP(A773,Orders!$A:$G,7,0))</f>
        <v>228.86369999999999</v>
      </c>
      <c r="J773" t="str">
        <f>VLOOKUP(A773,Orders!$A:$G,6,0)</f>
        <v>Breakfast</v>
      </c>
      <c r="K773" t="str">
        <f>VLOOKUP(A773,Orders!$A:$G,5,0)</f>
        <v>Cash</v>
      </c>
      <c r="L773">
        <f t="shared" si="12"/>
        <v>112.08</v>
      </c>
    </row>
    <row r="774" spans="1:12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  <c r="I774">
        <f>C774*D774*(1-VLOOKUP(A774,Orders!$A:$G,7,0))</f>
        <v>97.557000000000002</v>
      </c>
      <c r="J774" t="str">
        <f>VLOOKUP(A774,Orders!$A:$G,6,0)</f>
        <v>Breakfast</v>
      </c>
      <c r="K774" t="str">
        <f>VLOOKUP(A774,Orders!$A:$G,5,0)</f>
        <v>Cash</v>
      </c>
      <c r="L774">
        <f t="shared" si="12"/>
        <v>51.6</v>
      </c>
    </row>
    <row r="775" spans="1:12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  <c r="I775">
        <f>C775*D775*(1-VLOOKUP(A775,Orders!$A:$G,7,0))</f>
        <v>111.4605</v>
      </c>
      <c r="J775" t="str">
        <f>VLOOKUP(A775,Orders!$A:$G,6,0)</f>
        <v>Lunch</v>
      </c>
      <c r="K775" t="str">
        <f>VLOOKUP(A775,Orders!$A:$G,5,0)</f>
        <v>UPI</v>
      </c>
      <c r="L775">
        <f t="shared" si="12"/>
        <v>46.53</v>
      </c>
    </row>
    <row r="776" spans="1:12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  <c r="I776">
        <f>C776*D776*(1-VLOOKUP(A776,Orders!$A:$G,7,0))</f>
        <v>71.191499999999991</v>
      </c>
      <c r="J776" t="str">
        <f>VLOOKUP(A776,Orders!$A:$G,6,0)</f>
        <v>Lunch</v>
      </c>
      <c r="K776" t="str">
        <f>VLOOKUP(A776,Orders!$A:$G,5,0)</f>
        <v>UPI</v>
      </c>
      <c r="L776">
        <f t="shared" si="12"/>
        <v>38.229999999999997</v>
      </c>
    </row>
    <row r="777" spans="1:12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  <c r="I777">
        <f>C777*D777*(1-VLOOKUP(A777,Orders!$A:$G,7,0))</f>
        <v>100.812</v>
      </c>
      <c r="J777" t="str">
        <f>VLOOKUP(A777,Orders!$A:$G,6,0)</f>
        <v>Lunch</v>
      </c>
      <c r="K777" t="str">
        <f>VLOOKUP(A777,Orders!$A:$G,5,0)</f>
        <v>UPI</v>
      </c>
      <c r="L777">
        <f t="shared" si="12"/>
        <v>43.9</v>
      </c>
    </row>
    <row r="778" spans="1:12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  <c r="I778">
        <f>C778*D778*(1-VLOOKUP(A778,Orders!$A:$G,7,0))</f>
        <v>65.602199999999996</v>
      </c>
      <c r="J778" t="str">
        <f>VLOOKUP(A778,Orders!$A:$G,6,0)</f>
        <v>Lunch</v>
      </c>
      <c r="K778" t="str">
        <f>VLOOKUP(A778,Orders!$A:$G,5,0)</f>
        <v>UPI</v>
      </c>
      <c r="L778">
        <f t="shared" si="12"/>
        <v>35.81</v>
      </c>
    </row>
    <row r="779" spans="1:12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  <c r="I779">
        <f>C779*D779*(1-VLOOKUP(A779,Orders!$A:$G,7,0))</f>
        <v>63.935999999999993</v>
      </c>
      <c r="J779" t="str">
        <f>VLOOKUP(A779,Orders!$A:$G,6,0)</f>
        <v>Dinner</v>
      </c>
      <c r="K779" t="str">
        <f>VLOOKUP(A779,Orders!$A:$G,5,0)</f>
        <v>UPI</v>
      </c>
      <c r="L779">
        <f t="shared" si="12"/>
        <v>28.14</v>
      </c>
    </row>
    <row r="780" spans="1:12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  <c r="I780">
        <f>C780*D780*(1-VLOOKUP(A780,Orders!$A:$G,7,0))</f>
        <v>76.704000000000008</v>
      </c>
      <c r="J780" t="str">
        <f>VLOOKUP(A780,Orders!$A:$G,6,0)</f>
        <v>Lunch</v>
      </c>
      <c r="K780" t="str">
        <f>VLOOKUP(A780,Orders!$A:$G,5,0)</f>
        <v>UPI</v>
      </c>
      <c r="L780">
        <f t="shared" si="12"/>
        <v>31.02</v>
      </c>
    </row>
    <row r="781" spans="1:12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  <c r="I781">
        <f>C781*D781*(1-VLOOKUP(A781,Orders!$A:$G,7,0))</f>
        <v>73.075199999999995</v>
      </c>
      <c r="J781" t="str">
        <f>VLOOKUP(A781,Orders!$A:$G,6,0)</f>
        <v>Lunch</v>
      </c>
      <c r="K781" t="str">
        <f>VLOOKUP(A781,Orders!$A:$G,5,0)</f>
        <v>UPI</v>
      </c>
      <c r="L781">
        <f t="shared" si="12"/>
        <v>39.1</v>
      </c>
    </row>
    <row r="782" spans="1:12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  <c r="I782">
        <f>C782*D782*(1-VLOOKUP(A782,Orders!$A:$G,7,0))</f>
        <v>30.671399999999995</v>
      </c>
      <c r="J782" t="str">
        <f>VLOOKUP(A782,Orders!$A:$G,6,0)</f>
        <v>Breakfast</v>
      </c>
      <c r="K782" t="str">
        <f>VLOOKUP(A782,Orders!$A:$G,5,0)</f>
        <v>UPI</v>
      </c>
      <c r="L782">
        <f t="shared" si="12"/>
        <v>11.84</v>
      </c>
    </row>
    <row r="783" spans="1:12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  <c r="I783">
        <f>C783*D783*(1-VLOOKUP(A783,Orders!$A:$G,7,0))</f>
        <v>79.900000000000006</v>
      </c>
      <c r="J783" t="str">
        <f>VLOOKUP(A783,Orders!$A:$G,6,0)</f>
        <v>Dinner</v>
      </c>
      <c r="K783" t="str">
        <f>VLOOKUP(A783,Orders!$A:$G,5,0)</f>
        <v>Cash</v>
      </c>
      <c r="L783">
        <f t="shared" si="12"/>
        <v>31.02</v>
      </c>
    </row>
    <row r="784" spans="1:12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  <c r="I784">
        <f>C784*D784*(1-VLOOKUP(A784,Orders!$A:$G,7,0))</f>
        <v>492.18</v>
      </c>
      <c r="J784" t="str">
        <f>VLOOKUP(A784,Orders!$A:$G,6,0)</f>
        <v>Dinner</v>
      </c>
      <c r="K784" t="str">
        <f>VLOOKUP(A784,Orders!$A:$G,5,0)</f>
        <v>Cash</v>
      </c>
      <c r="L784">
        <f t="shared" si="12"/>
        <v>224.16</v>
      </c>
    </row>
    <row r="785" spans="1:12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  <c r="I785">
        <f>C785*D785*(1-VLOOKUP(A785,Orders!$A:$G,7,0))</f>
        <v>50.19</v>
      </c>
      <c r="J785" t="str">
        <f>VLOOKUP(A785,Orders!$A:$G,6,0)</f>
        <v>Lunch</v>
      </c>
      <c r="K785" t="str">
        <f>VLOOKUP(A785,Orders!$A:$G,5,0)</f>
        <v>Card</v>
      </c>
      <c r="L785">
        <f t="shared" si="12"/>
        <v>22.61</v>
      </c>
    </row>
    <row r="786" spans="1:12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  <c r="I786">
        <f>C786*D786*(1-VLOOKUP(A786,Orders!$A:$G,7,0))</f>
        <v>20.11</v>
      </c>
      <c r="J786" t="str">
        <f>VLOOKUP(A786,Orders!$A:$G,6,0)</f>
        <v>Lunch</v>
      </c>
      <c r="K786" t="str">
        <f>VLOOKUP(A786,Orders!$A:$G,5,0)</f>
        <v>Card</v>
      </c>
      <c r="L786">
        <f t="shared" si="12"/>
        <v>8</v>
      </c>
    </row>
    <row r="787" spans="1:12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  <c r="I787">
        <f>C787*D787*(1-VLOOKUP(A787,Orders!$A:$G,7,0))</f>
        <v>170.83</v>
      </c>
      <c r="J787" t="str">
        <f>VLOOKUP(A787,Orders!$A:$G,6,0)</f>
        <v>Lunch</v>
      </c>
      <c r="K787" t="str">
        <f>VLOOKUP(A787,Orders!$A:$G,5,0)</f>
        <v>Card</v>
      </c>
      <c r="L787">
        <f t="shared" si="12"/>
        <v>74.069999999999993</v>
      </c>
    </row>
    <row r="788" spans="1:12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  <c r="I788">
        <f>C788*D788*(1-VLOOKUP(A788,Orders!$A:$G,7,0))</f>
        <v>439.20000000000005</v>
      </c>
      <c r="J788" t="str">
        <f>VLOOKUP(A788,Orders!$A:$G,6,0)</f>
        <v>Lunch</v>
      </c>
      <c r="K788" t="str">
        <f>VLOOKUP(A788,Orders!$A:$G,5,0)</f>
        <v>Card</v>
      </c>
      <c r="L788">
        <f t="shared" si="12"/>
        <v>242.76</v>
      </c>
    </row>
    <row r="789" spans="1:12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  <c r="I789">
        <f>C789*D789*(1-VLOOKUP(A789,Orders!$A:$G,7,0))</f>
        <v>74.253499999999988</v>
      </c>
      <c r="J789" t="str">
        <f>VLOOKUP(A789,Orders!$A:$G,6,0)</f>
        <v>Breakfast</v>
      </c>
      <c r="K789" t="str">
        <f>VLOOKUP(A789,Orders!$A:$G,5,0)</f>
        <v>UPI</v>
      </c>
      <c r="L789">
        <f t="shared" si="12"/>
        <v>38.229999999999997</v>
      </c>
    </row>
    <row r="790" spans="1:12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  <c r="I790">
        <f>C790*D790*(1-VLOOKUP(A790,Orders!$A:$G,7,0))</f>
        <v>238.7073</v>
      </c>
      <c r="J790" t="str">
        <f>VLOOKUP(A790,Orders!$A:$G,6,0)</f>
        <v>Breakfast</v>
      </c>
      <c r="K790" t="str">
        <f>VLOOKUP(A790,Orders!$A:$G,5,0)</f>
        <v>UPI</v>
      </c>
      <c r="L790">
        <f t="shared" si="12"/>
        <v>112.08</v>
      </c>
    </row>
    <row r="791" spans="1:12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  <c r="I791">
        <f>C791*D791*(1-VLOOKUP(A791,Orders!$A:$G,7,0))</f>
        <v>43.067999999999998</v>
      </c>
      <c r="J791" t="str">
        <f>VLOOKUP(A791,Orders!$A:$G,6,0)</f>
        <v>Breakfast</v>
      </c>
      <c r="K791" t="str">
        <f>VLOOKUP(A791,Orders!$A:$G,5,0)</f>
        <v>UPI</v>
      </c>
      <c r="L791">
        <f t="shared" si="12"/>
        <v>18.760000000000002</v>
      </c>
    </row>
    <row r="792" spans="1:12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  <c r="I792">
        <f>C792*D792*(1-VLOOKUP(A792,Orders!$A:$G,7,0))</f>
        <v>58.8596</v>
      </c>
      <c r="J792" t="str">
        <f>VLOOKUP(A792,Orders!$A:$G,6,0)</f>
        <v>Breakfast</v>
      </c>
      <c r="K792" t="str">
        <f>VLOOKUP(A792,Orders!$A:$G,5,0)</f>
        <v>UPI</v>
      </c>
      <c r="L792">
        <f t="shared" si="12"/>
        <v>28.36</v>
      </c>
    </row>
    <row r="793" spans="1:12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  <c r="I793">
        <f>C793*D793*(1-VLOOKUP(A793,Orders!$A:$G,7,0))</f>
        <v>244.06450000000001</v>
      </c>
      <c r="J793" t="str">
        <f>VLOOKUP(A793,Orders!$A:$G,6,0)</f>
        <v>Lunch</v>
      </c>
      <c r="K793" t="str">
        <f>VLOOKUP(A793,Orders!$A:$G,5,0)</f>
        <v>Card</v>
      </c>
      <c r="L793">
        <f t="shared" si="12"/>
        <v>121.24</v>
      </c>
    </row>
    <row r="794" spans="1:12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  <c r="I794">
        <f>C794*D794*(1-VLOOKUP(A794,Orders!$A:$G,7,0))</f>
        <v>154.47000000000003</v>
      </c>
      <c r="J794" t="str">
        <f>VLOOKUP(A794,Orders!$A:$G,6,0)</f>
        <v>Lunch</v>
      </c>
      <c r="K794" t="str">
        <f>VLOOKUP(A794,Orders!$A:$G,5,0)</f>
        <v>Card</v>
      </c>
      <c r="L794">
        <f t="shared" si="12"/>
        <v>65.849999999999994</v>
      </c>
    </row>
    <row r="795" spans="1:12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  <c r="I795">
        <f>C795*D795*(1-VLOOKUP(A795,Orders!$A:$G,7,0))</f>
        <v>110.96</v>
      </c>
      <c r="J795" t="str">
        <f>VLOOKUP(A795,Orders!$A:$G,6,0)</f>
        <v>Lunch</v>
      </c>
      <c r="K795" t="str">
        <f>VLOOKUP(A795,Orders!$A:$G,5,0)</f>
        <v>Card</v>
      </c>
      <c r="L795">
        <f t="shared" si="12"/>
        <v>48.97</v>
      </c>
    </row>
    <row r="796" spans="1:12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  <c r="I796">
        <f>C796*D796*(1-VLOOKUP(A796,Orders!$A:$G,7,0))</f>
        <v>467.57099999999997</v>
      </c>
      <c r="J796" t="str">
        <f>VLOOKUP(A796,Orders!$A:$G,6,0)</f>
        <v>Lunch</v>
      </c>
      <c r="K796" t="str">
        <f>VLOOKUP(A796,Orders!$A:$G,5,0)</f>
        <v>Card</v>
      </c>
      <c r="L796">
        <f t="shared" si="12"/>
        <v>224.16</v>
      </c>
    </row>
    <row r="797" spans="1:12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  <c r="I797">
        <f>C797*D797*(1-VLOOKUP(A797,Orders!$A:$G,7,0))</f>
        <v>30.671399999999995</v>
      </c>
      <c r="J797" t="str">
        <f>VLOOKUP(A797,Orders!$A:$G,6,0)</f>
        <v>Dinner</v>
      </c>
      <c r="K797" t="str">
        <f>VLOOKUP(A797,Orders!$A:$G,5,0)</f>
        <v>Card</v>
      </c>
      <c r="L797">
        <f t="shared" si="12"/>
        <v>11.84</v>
      </c>
    </row>
    <row r="798" spans="1:12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  <c r="I798">
        <f>C798*D798*(1-VLOOKUP(A798,Orders!$A:$G,7,0))</f>
        <v>70.791600000000003</v>
      </c>
      <c r="J798" t="str">
        <f>VLOOKUP(A798,Orders!$A:$G,6,0)</f>
        <v>Dinner</v>
      </c>
      <c r="K798" t="str">
        <f>VLOOKUP(A798,Orders!$A:$G,5,0)</f>
        <v>Card</v>
      </c>
      <c r="L798">
        <f t="shared" si="12"/>
        <v>39.1</v>
      </c>
    </row>
    <row r="799" spans="1:12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  <c r="I799">
        <f>C799*D799*(1-VLOOKUP(A799,Orders!$A:$G,7,0))</f>
        <v>17.6968</v>
      </c>
      <c r="J799" t="str">
        <f>VLOOKUP(A799,Orders!$A:$G,6,0)</f>
        <v>Breakfast</v>
      </c>
      <c r="K799" t="str">
        <f>VLOOKUP(A799,Orders!$A:$G,5,0)</f>
        <v>Cash</v>
      </c>
      <c r="L799">
        <f t="shared" si="12"/>
        <v>8</v>
      </c>
    </row>
    <row r="800" spans="1:12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  <c r="I800">
        <f>C800*D800*(1-VLOOKUP(A800,Orders!$A:$G,7,0))</f>
        <v>100.4432</v>
      </c>
      <c r="J800" t="str">
        <f>VLOOKUP(A800,Orders!$A:$G,6,0)</f>
        <v>Breakfast</v>
      </c>
      <c r="K800" t="str">
        <f>VLOOKUP(A800,Orders!$A:$G,5,0)</f>
        <v>Cash</v>
      </c>
      <c r="L800">
        <f t="shared" si="12"/>
        <v>58.28</v>
      </c>
    </row>
    <row r="801" spans="1:12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  <c r="I801">
        <f>C801*D801*(1-VLOOKUP(A801,Orders!$A:$G,7,0))</f>
        <v>44.167200000000001</v>
      </c>
      <c r="J801" t="str">
        <f>VLOOKUP(A801,Orders!$A:$G,6,0)</f>
        <v>Breakfast</v>
      </c>
      <c r="K801" t="str">
        <f>VLOOKUP(A801,Orders!$A:$G,5,0)</f>
        <v>Cash</v>
      </c>
      <c r="L801">
        <f t="shared" si="12"/>
        <v>22.61</v>
      </c>
    </row>
    <row r="802" spans="1:12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  <c r="I802">
        <f>C802*D802*(1-VLOOKUP(A802,Orders!$A:$G,7,0))</f>
        <v>139.321</v>
      </c>
      <c r="J802" t="str">
        <f>VLOOKUP(A802,Orders!$A:$G,6,0)</f>
        <v>Breakfast</v>
      </c>
      <c r="K802" t="str">
        <f>VLOOKUP(A802,Orders!$A:$G,5,0)</f>
        <v>UPI</v>
      </c>
      <c r="L802">
        <f t="shared" si="12"/>
        <v>76.459999999999994</v>
      </c>
    </row>
    <row r="803" spans="1:12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  <c r="I803">
        <f>C803*D803*(1-VLOOKUP(A803,Orders!$A:$G,7,0))</f>
        <v>106.288</v>
      </c>
      <c r="J803" t="str">
        <f>VLOOKUP(A803,Orders!$A:$G,6,0)</f>
        <v>Breakfast</v>
      </c>
      <c r="K803" t="str">
        <f>VLOOKUP(A803,Orders!$A:$G,5,0)</f>
        <v>UPI</v>
      </c>
      <c r="L803">
        <f t="shared" si="12"/>
        <v>48.97</v>
      </c>
    </row>
    <row r="804" spans="1:12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  <c r="I804">
        <f>C804*D804*(1-VLOOKUP(A804,Orders!$A:$G,7,0))</f>
        <v>69.269200000000012</v>
      </c>
      <c r="J804" t="str">
        <f>VLOOKUP(A804,Orders!$A:$G,6,0)</f>
        <v>Breakfast</v>
      </c>
      <c r="K804" t="str">
        <f>VLOOKUP(A804,Orders!$A:$G,5,0)</f>
        <v>UPI</v>
      </c>
      <c r="L804">
        <f t="shared" si="12"/>
        <v>39.1</v>
      </c>
    </row>
    <row r="805" spans="1:12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  <c r="I805">
        <f>C805*D805*(1-VLOOKUP(A805,Orders!$A:$G,7,0))</f>
        <v>134.02600000000001</v>
      </c>
      <c r="J805" t="str">
        <f>VLOOKUP(A805,Orders!$A:$G,6,0)</f>
        <v>Dinner</v>
      </c>
      <c r="K805" t="str">
        <f>VLOOKUP(A805,Orders!$A:$G,5,0)</f>
        <v>UPI</v>
      </c>
      <c r="L805">
        <f t="shared" si="12"/>
        <v>71.62</v>
      </c>
    </row>
    <row r="806" spans="1:12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  <c r="I806">
        <f>C806*D806*(1-VLOOKUP(A806,Orders!$A:$G,7,0))</f>
        <v>72.722499999999997</v>
      </c>
      <c r="J806" t="str">
        <f>VLOOKUP(A806,Orders!$A:$G,6,0)</f>
        <v>Dinner</v>
      </c>
      <c r="K806" t="str">
        <f>VLOOKUP(A806,Orders!$A:$G,5,0)</f>
        <v>UPI</v>
      </c>
      <c r="L806">
        <f t="shared" si="12"/>
        <v>38.229999999999997</v>
      </c>
    </row>
    <row r="807" spans="1:12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  <c r="I807">
        <f>C807*D807*(1-VLOOKUP(A807,Orders!$A:$G,7,0))</f>
        <v>54.216499999999996</v>
      </c>
      <c r="J807" t="str">
        <f>VLOOKUP(A807,Orders!$A:$G,6,0)</f>
        <v>Dinner</v>
      </c>
      <c r="K807" t="str">
        <f>VLOOKUP(A807,Orders!$A:$G,5,0)</f>
        <v>UPI</v>
      </c>
      <c r="L807">
        <f t="shared" si="12"/>
        <v>29.14</v>
      </c>
    </row>
    <row r="808" spans="1:12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  <c r="I808">
        <f>C808*D808*(1-VLOOKUP(A808,Orders!$A:$G,7,0))</f>
        <v>50.948</v>
      </c>
      <c r="J808" t="str">
        <f>VLOOKUP(A808,Orders!$A:$G,6,0)</f>
        <v>Breakfast</v>
      </c>
      <c r="K808" t="str">
        <f>VLOOKUP(A808,Orders!$A:$G,5,0)</f>
        <v>Cash</v>
      </c>
      <c r="L808">
        <f t="shared" si="12"/>
        <v>21.95</v>
      </c>
    </row>
    <row r="809" spans="1:12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  <c r="I809">
        <f>C809*D809*(1-VLOOKUP(A809,Orders!$A:$G,7,0))</f>
        <v>32.320399999999999</v>
      </c>
      <c r="J809" t="str">
        <f>VLOOKUP(A809,Orders!$A:$G,6,0)</f>
        <v>Breakfast</v>
      </c>
      <c r="K809" t="str">
        <f>VLOOKUP(A809,Orders!$A:$G,5,0)</f>
        <v>Cash</v>
      </c>
      <c r="L809">
        <f t="shared" si="12"/>
        <v>11.84</v>
      </c>
    </row>
    <row r="810" spans="1:12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  <c r="I810">
        <f>C810*D810*(1-VLOOKUP(A810,Orders!$A:$G,7,0))</f>
        <v>215.87099999999995</v>
      </c>
      <c r="J810" t="str">
        <f>VLOOKUP(A810,Orders!$A:$G,6,0)</f>
        <v>Lunch</v>
      </c>
      <c r="K810" t="str">
        <f>VLOOKUP(A810,Orders!$A:$G,5,0)</f>
        <v>Cash</v>
      </c>
      <c r="L810">
        <f t="shared" si="12"/>
        <v>114.69</v>
      </c>
    </row>
    <row r="811" spans="1:12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  <c r="I811">
        <f>C811*D811*(1-VLOOKUP(A811,Orders!$A:$G,7,0))</f>
        <v>109.79199999999999</v>
      </c>
      <c r="J811" t="str">
        <f>VLOOKUP(A811,Orders!$A:$G,6,0)</f>
        <v>Lunch</v>
      </c>
      <c r="K811" t="str">
        <f>VLOOKUP(A811,Orders!$A:$G,5,0)</f>
        <v>Cash</v>
      </c>
      <c r="L811">
        <f t="shared" si="12"/>
        <v>48.97</v>
      </c>
    </row>
    <row r="812" spans="1:12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  <c r="I812">
        <f>C812*D812*(1-VLOOKUP(A812,Orders!$A:$G,7,0))</f>
        <v>63.269999999999989</v>
      </c>
      <c r="J812" t="str">
        <f>VLOOKUP(A812,Orders!$A:$G,6,0)</f>
        <v>Lunch</v>
      </c>
      <c r="K812" t="str">
        <f>VLOOKUP(A812,Orders!$A:$G,5,0)</f>
        <v>Card</v>
      </c>
      <c r="L812">
        <f t="shared" si="12"/>
        <v>28.14</v>
      </c>
    </row>
    <row r="813" spans="1:12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  <c r="I813">
        <f>C813*D813*(1-VLOOKUP(A813,Orders!$A:$G,7,0))</f>
        <v>97.557000000000002</v>
      </c>
      <c r="J813" t="str">
        <f>VLOOKUP(A813,Orders!$A:$G,6,0)</f>
        <v>Breakfast</v>
      </c>
      <c r="K813" t="str">
        <f>VLOOKUP(A813,Orders!$A:$G,5,0)</f>
        <v>Card</v>
      </c>
      <c r="L813">
        <f t="shared" si="12"/>
        <v>51.6</v>
      </c>
    </row>
    <row r="814" spans="1:12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  <c r="I814">
        <f>C814*D814*(1-VLOOKUP(A814,Orders!$A:$G,7,0))</f>
        <v>136.15199999999999</v>
      </c>
      <c r="J814" t="str">
        <f>VLOOKUP(A814,Orders!$A:$G,6,0)</f>
        <v>Breakfast</v>
      </c>
      <c r="K814" t="str">
        <f>VLOOKUP(A814,Orders!$A:$G,5,0)</f>
        <v>Card</v>
      </c>
      <c r="L814">
        <f t="shared" si="12"/>
        <v>80.92</v>
      </c>
    </row>
    <row r="815" spans="1:12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  <c r="I815">
        <f>C815*D815*(1-VLOOKUP(A815,Orders!$A:$G,7,0))</f>
        <v>95.971800000000002</v>
      </c>
      <c r="J815" t="str">
        <f>VLOOKUP(A815,Orders!$A:$G,6,0)</f>
        <v>Dinner</v>
      </c>
      <c r="K815" t="str">
        <f>VLOOKUP(A815,Orders!$A:$G,5,0)</f>
        <v>Card</v>
      </c>
      <c r="L815">
        <f t="shared" si="12"/>
        <v>35.519999999999996</v>
      </c>
    </row>
    <row r="816" spans="1:12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  <c r="I816">
        <f>C816*D816*(1-VLOOKUP(A816,Orders!$A:$G,7,0))</f>
        <v>142.00800000000001</v>
      </c>
      <c r="J816" t="str">
        <f>VLOOKUP(A816,Orders!$A:$G,6,0)</f>
        <v>Dinner</v>
      </c>
      <c r="K816" t="str">
        <f>VLOOKUP(A816,Orders!$A:$G,5,0)</f>
        <v>Card</v>
      </c>
      <c r="L816">
        <f t="shared" si="12"/>
        <v>80.92</v>
      </c>
    </row>
    <row r="817" spans="1:12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  <c r="I817">
        <f>C817*D817*(1-VLOOKUP(A817,Orders!$A:$G,7,0))</f>
        <v>105.148</v>
      </c>
      <c r="J817" t="str">
        <f>VLOOKUP(A817,Orders!$A:$G,6,0)</f>
        <v>Dinner</v>
      </c>
      <c r="K817" t="str">
        <f>VLOOKUP(A817,Orders!$A:$G,5,0)</f>
        <v>Card</v>
      </c>
      <c r="L817">
        <f t="shared" si="12"/>
        <v>43.9</v>
      </c>
    </row>
    <row r="818" spans="1:12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  <c r="I818">
        <f>C818*D818*(1-VLOOKUP(A818,Orders!$A:$G,7,0))</f>
        <v>43.067999999999998</v>
      </c>
      <c r="J818" t="str">
        <f>VLOOKUP(A818,Orders!$A:$G,6,0)</f>
        <v>Dinner</v>
      </c>
      <c r="K818" t="str">
        <f>VLOOKUP(A818,Orders!$A:$G,5,0)</f>
        <v>Card</v>
      </c>
      <c r="L818">
        <f t="shared" si="12"/>
        <v>18.760000000000002</v>
      </c>
    </row>
    <row r="819" spans="1:12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  <c r="I819">
        <f>C819*D819*(1-VLOOKUP(A819,Orders!$A:$G,7,0))</f>
        <v>37.002400000000002</v>
      </c>
      <c r="J819" t="str">
        <f>VLOOKUP(A819,Orders!$A:$G,6,0)</f>
        <v>Lunch</v>
      </c>
      <c r="K819" t="str">
        <f>VLOOKUP(A819,Orders!$A:$G,5,0)</f>
        <v>UPI</v>
      </c>
      <c r="L819">
        <f t="shared" si="12"/>
        <v>16</v>
      </c>
    </row>
    <row r="820" spans="1:12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  <c r="I820">
        <f>C820*D820*(1-VLOOKUP(A820,Orders!$A:$G,7,0))</f>
        <v>52.504400000000004</v>
      </c>
      <c r="J820" t="str">
        <f>VLOOKUP(A820,Orders!$A:$G,6,0)</f>
        <v>Lunch</v>
      </c>
      <c r="K820" t="str">
        <f>VLOOKUP(A820,Orders!$A:$G,5,0)</f>
        <v>UPI</v>
      </c>
      <c r="L820">
        <f t="shared" si="12"/>
        <v>29.14</v>
      </c>
    </row>
    <row r="821" spans="1:12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  <c r="I821">
        <f>C821*D821*(1-VLOOKUP(A821,Orders!$A:$G,7,0))</f>
        <v>300.66080000000005</v>
      </c>
      <c r="J821" t="str">
        <f>VLOOKUP(A821,Orders!$A:$G,6,0)</f>
        <v>Dinner</v>
      </c>
      <c r="K821" t="str">
        <f>VLOOKUP(A821,Orders!$A:$G,5,0)</f>
        <v>Cash</v>
      </c>
      <c r="L821">
        <f t="shared" si="12"/>
        <v>148.13999999999999</v>
      </c>
    </row>
    <row r="822" spans="1:12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  <c r="I822">
        <f>C822*D822*(1-VLOOKUP(A822,Orders!$A:$G,7,0))</f>
        <v>98.605999999999995</v>
      </c>
      <c r="J822" t="str">
        <f>VLOOKUP(A822,Orders!$A:$G,6,0)</f>
        <v>Breakfast</v>
      </c>
      <c r="K822" t="str">
        <f>VLOOKUP(A822,Orders!$A:$G,5,0)</f>
        <v>Card</v>
      </c>
      <c r="L822">
        <f t="shared" si="12"/>
        <v>51.6</v>
      </c>
    </row>
    <row r="823" spans="1:12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  <c r="I823">
        <f>C823*D823*(1-VLOOKUP(A823,Orders!$A:$G,7,0))</f>
        <v>26.7242</v>
      </c>
      <c r="J823" t="str">
        <f>VLOOKUP(A823,Orders!$A:$G,6,0)</f>
        <v>Breakfast</v>
      </c>
      <c r="K823" t="str">
        <f>VLOOKUP(A823,Orders!$A:$G,5,0)</f>
        <v>Card</v>
      </c>
      <c r="L823">
        <f t="shared" si="12"/>
        <v>13.89</v>
      </c>
    </row>
    <row r="824" spans="1:12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  <c r="I824">
        <f>C824*D824*(1-VLOOKUP(A824,Orders!$A:$G,7,0))</f>
        <v>329.37599999999998</v>
      </c>
      <c r="J824" t="str">
        <f>VLOOKUP(A824,Orders!$A:$G,6,0)</f>
        <v>Breakfast</v>
      </c>
      <c r="K824" t="str">
        <f>VLOOKUP(A824,Orders!$A:$G,5,0)</f>
        <v>Card</v>
      </c>
      <c r="L824">
        <f t="shared" si="12"/>
        <v>146.91</v>
      </c>
    </row>
    <row r="825" spans="1:12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  <c r="I825">
        <f>C825*D825*(1-VLOOKUP(A825,Orders!$A:$G,7,0))</f>
        <v>137.61599999999999</v>
      </c>
      <c r="J825" t="str">
        <f>VLOOKUP(A825,Orders!$A:$G,6,0)</f>
        <v>Breakfast</v>
      </c>
      <c r="K825" t="str">
        <f>VLOOKUP(A825,Orders!$A:$G,5,0)</f>
        <v>Card</v>
      </c>
      <c r="L825">
        <f t="shared" si="12"/>
        <v>80.92</v>
      </c>
    </row>
    <row r="826" spans="1:12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  <c r="I826">
        <f>C826*D826*(1-VLOOKUP(A826,Orders!$A:$G,7,0))</f>
        <v>226.40280000000001</v>
      </c>
      <c r="J826" t="str">
        <f>VLOOKUP(A826,Orders!$A:$G,6,0)</f>
        <v>Breakfast</v>
      </c>
      <c r="K826" t="str">
        <f>VLOOKUP(A826,Orders!$A:$G,5,0)</f>
        <v>Cash</v>
      </c>
      <c r="L826">
        <f t="shared" si="12"/>
        <v>112.08</v>
      </c>
    </row>
    <row r="827" spans="1:12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  <c r="I827">
        <f>C827*D827*(1-VLOOKUP(A827,Orders!$A:$G,7,0))</f>
        <v>40.847999999999999</v>
      </c>
      <c r="J827" t="str">
        <f>VLOOKUP(A827,Orders!$A:$G,6,0)</f>
        <v>Breakfast</v>
      </c>
      <c r="K827" t="str">
        <f>VLOOKUP(A827,Orders!$A:$G,5,0)</f>
        <v>Cash</v>
      </c>
      <c r="L827">
        <f t="shared" si="12"/>
        <v>18.760000000000002</v>
      </c>
    </row>
    <row r="828" spans="1:12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  <c r="I828">
        <f>C828*D828*(1-VLOOKUP(A828,Orders!$A:$G,7,0))</f>
        <v>78.466799999999992</v>
      </c>
      <c r="J828" t="str">
        <f>VLOOKUP(A828,Orders!$A:$G,6,0)</f>
        <v>Breakfast</v>
      </c>
      <c r="K828" t="str">
        <f>VLOOKUP(A828,Orders!$A:$G,5,0)</f>
        <v>Cash</v>
      </c>
      <c r="L828">
        <f t="shared" si="12"/>
        <v>41.67</v>
      </c>
    </row>
    <row r="829" spans="1:12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  <c r="I829">
        <f>C829*D829*(1-VLOOKUP(A829,Orders!$A:$G,7,0))</f>
        <v>322.36799999999999</v>
      </c>
      <c r="J829" t="str">
        <f>VLOOKUP(A829,Orders!$A:$G,6,0)</f>
        <v>Breakfast</v>
      </c>
      <c r="K829" t="str">
        <f>VLOOKUP(A829,Orders!$A:$G,5,0)</f>
        <v>Cash</v>
      </c>
      <c r="L829">
        <f t="shared" si="12"/>
        <v>146.91</v>
      </c>
    </row>
    <row r="830" spans="1:12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  <c r="I830">
        <f>C830*D830*(1-VLOOKUP(A830,Orders!$A:$G,7,0))</f>
        <v>106.288</v>
      </c>
      <c r="J830" t="str">
        <f>VLOOKUP(A830,Orders!$A:$G,6,0)</f>
        <v>Breakfast</v>
      </c>
      <c r="K830" t="str">
        <f>VLOOKUP(A830,Orders!$A:$G,5,0)</f>
        <v>Card</v>
      </c>
      <c r="L830">
        <f t="shared" si="12"/>
        <v>48.97</v>
      </c>
    </row>
    <row r="831" spans="1:12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  <c r="I831">
        <f>C831*D831*(1-VLOOKUP(A831,Orders!$A:$G,7,0))</f>
        <v>51.742600000000003</v>
      </c>
      <c r="J831" t="str">
        <f>VLOOKUP(A831,Orders!$A:$G,6,0)</f>
        <v>Breakfast</v>
      </c>
      <c r="K831" t="str">
        <f>VLOOKUP(A831,Orders!$A:$G,5,0)</f>
        <v>Card</v>
      </c>
      <c r="L831">
        <f t="shared" si="12"/>
        <v>27.78</v>
      </c>
    </row>
    <row r="832" spans="1:12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  <c r="I832">
        <f>C832*D832*(1-VLOOKUP(A832,Orders!$A:$G,7,0))</f>
        <v>218.50560000000002</v>
      </c>
      <c r="J832" t="str">
        <f>VLOOKUP(A832,Orders!$A:$G,6,0)</f>
        <v>Lunch</v>
      </c>
      <c r="K832" t="str">
        <f>VLOOKUP(A832,Orders!$A:$G,5,0)</f>
        <v>Cash</v>
      </c>
      <c r="L832">
        <f t="shared" si="12"/>
        <v>96.22</v>
      </c>
    </row>
    <row r="833" spans="1:12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  <c r="I833">
        <f>C833*D833*(1-VLOOKUP(A833,Orders!$A:$G,7,0))</f>
        <v>144.54719999999998</v>
      </c>
      <c r="J833" t="str">
        <f>VLOOKUP(A833,Orders!$A:$G,6,0)</f>
        <v>Lunch</v>
      </c>
      <c r="K833" t="str">
        <f>VLOOKUP(A833,Orders!$A:$G,5,0)</f>
        <v>Cash</v>
      </c>
      <c r="L833">
        <f t="shared" si="12"/>
        <v>67.83</v>
      </c>
    </row>
    <row r="834" spans="1:12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  <c r="I834">
        <f>C834*D834*(1-VLOOKUP(A834,Orders!$A:$G,7,0))</f>
        <v>135.43680000000001</v>
      </c>
      <c r="J834" t="str">
        <f>VLOOKUP(A834,Orders!$A:$G,6,0)</f>
        <v>Lunch</v>
      </c>
      <c r="K834" t="str">
        <f>VLOOKUP(A834,Orders!$A:$G,5,0)</f>
        <v>Cash</v>
      </c>
      <c r="L834">
        <f t="shared" ref="L834:L897" si="13">C834*E834</f>
        <v>71.62</v>
      </c>
    </row>
    <row r="835" spans="1:12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  <c r="I835">
        <f>C835*D835*(1-VLOOKUP(A835,Orders!$A:$G,7,0))</f>
        <v>46.676699999999997</v>
      </c>
      <c r="J835" t="str">
        <f>VLOOKUP(A835,Orders!$A:$G,6,0)</f>
        <v>Breakfast</v>
      </c>
      <c r="K835" t="str">
        <f>VLOOKUP(A835,Orders!$A:$G,5,0)</f>
        <v>Cash</v>
      </c>
      <c r="L835">
        <f t="shared" si="13"/>
        <v>22.61</v>
      </c>
    </row>
    <row r="836" spans="1:12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  <c r="I836">
        <f>C836*D836*(1-VLOOKUP(A836,Orders!$A:$G,7,0))</f>
        <v>18.903399999999998</v>
      </c>
      <c r="J836" t="str">
        <f>VLOOKUP(A836,Orders!$A:$G,6,0)</f>
        <v>Dinner</v>
      </c>
      <c r="K836" t="str">
        <f>VLOOKUP(A836,Orders!$A:$G,5,0)</f>
        <v>Card</v>
      </c>
      <c r="L836">
        <f t="shared" si="13"/>
        <v>8</v>
      </c>
    </row>
    <row r="837" spans="1:12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  <c r="I837">
        <f>C837*D837*(1-VLOOKUP(A837,Orders!$A:$G,7,0))</f>
        <v>35.776400000000002</v>
      </c>
      <c r="J837" t="str">
        <f>VLOOKUP(A837,Orders!$A:$G,6,0)</f>
        <v>Lunch</v>
      </c>
      <c r="K837" t="str">
        <f>VLOOKUP(A837,Orders!$A:$G,5,0)</f>
        <v>Card</v>
      </c>
      <c r="L837">
        <f t="shared" si="13"/>
        <v>19.55</v>
      </c>
    </row>
    <row r="838" spans="1:12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  <c r="I838">
        <f>C838*D838*(1-VLOOKUP(A838,Orders!$A:$G,7,0))</f>
        <v>26.7242</v>
      </c>
      <c r="J838" t="str">
        <f>VLOOKUP(A838,Orders!$A:$G,6,0)</f>
        <v>Lunch</v>
      </c>
      <c r="K838" t="str">
        <f>VLOOKUP(A838,Orders!$A:$G,5,0)</f>
        <v>Card</v>
      </c>
      <c r="L838">
        <f t="shared" si="13"/>
        <v>13.89</v>
      </c>
    </row>
    <row r="839" spans="1:12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  <c r="I839">
        <f>C839*D839*(1-VLOOKUP(A839,Orders!$A:$G,7,0))</f>
        <v>47.178599999999996</v>
      </c>
      <c r="J839" t="str">
        <f>VLOOKUP(A839,Orders!$A:$G,6,0)</f>
        <v>Lunch</v>
      </c>
      <c r="K839" t="str">
        <f>VLOOKUP(A839,Orders!$A:$G,5,0)</f>
        <v>Card</v>
      </c>
      <c r="L839">
        <f t="shared" si="13"/>
        <v>22.61</v>
      </c>
    </row>
    <row r="840" spans="1:12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  <c r="I840">
        <f>C840*D840*(1-VLOOKUP(A840,Orders!$A:$G,7,0))</f>
        <v>284.01600000000002</v>
      </c>
      <c r="J840" t="str">
        <f>VLOOKUP(A840,Orders!$A:$G,6,0)</f>
        <v>Dinner</v>
      </c>
      <c r="K840" t="str">
        <f>VLOOKUP(A840,Orders!$A:$G,5,0)</f>
        <v>Cash</v>
      </c>
      <c r="L840">
        <f t="shared" si="13"/>
        <v>161.84</v>
      </c>
    </row>
    <row r="841" spans="1:12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  <c r="I841">
        <f>C841*D841*(1-VLOOKUP(A841,Orders!$A:$G,7,0))</f>
        <v>50.948</v>
      </c>
      <c r="J841" t="str">
        <f>VLOOKUP(A841,Orders!$A:$G,6,0)</f>
        <v>Breakfast</v>
      </c>
      <c r="K841" t="str">
        <f>VLOOKUP(A841,Orders!$A:$G,5,0)</f>
        <v>UPI</v>
      </c>
      <c r="L841">
        <f t="shared" si="13"/>
        <v>21.95</v>
      </c>
    </row>
    <row r="842" spans="1:12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  <c r="I842">
        <f>C842*D842*(1-VLOOKUP(A842,Orders!$A:$G,7,0))</f>
        <v>412.84800000000001</v>
      </c>
      <c r="J842" t="str">
        <f>VLOOKUP(A842,Orders!$A:$G,6,0)</f>
        <v>Breakfast</v>
      </c>
      <c r="K842" t="str">
        <f>VLOOKUP(A842,Orders!$A:$G,5,0)</f>
        <v>UPI</v>
      </c>
      <c r="L842">
        <f t="shared" si="13"/>
        <v>242.76</v>
      </c>
    </row>
    <row r="843" spans="1:12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  <c r="I843">
        <f>C843*D843*(1-VLOOKUP(A843,Orders!$A:$G,7,0))</f>
        <v>49.302999999999997</v>
      </c>
      <c r="J843" t="str">
        <f>VLOOKUP(A843,Orders!$A:$G,6,0)</f>
        <v>Breakfast</v>
      </c>
      <c r="K843" t="str">
        <f>VLOOKUP(A843,Orders!$A:$G,5,0)</f>
        <v>UPI</v>
      </c>
      <c r="L843">
        <f t="shared" si="13"/>
        <v>25.8</v>
      </c>
    </row>
    <row r="844" spans="1:12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  <c r="I844">
        <f>C844*D844*(1-VLOOKUP(A844,Orders!$A:$G,7,0))</f>
        <v>37.002400000000002</v>
      </c>
      <c r="J844" t="str">
        <f>VLOOKUP(A844,Orders!$A:$G,6,0)</f>
        <v>Dinner</v>
      </c>
      <c r="K844" t="str">
        <f>VLOOKUP(A844,Orders!$A:$G,5,0)</f>
        <v>Cash</v>
      </c>
      <c r="L844">
        <f t="shared" si="13"/>
        <v>16</v>
      </c>
    </row>
    <row r="845" spans="1:12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  <c r="I845">
        <f>C845*D845*(1-VLOOKUP(A845,Orders!$A:$G,7,0))</f>
        <v>157.16360000000003</v>
      </c>
      <c r="J845" t="str">
        <f>VLOOKUP(A845,Orders!$A:$G,6,0)</f>
        <v>Dinner</v>
      </c>
      <c r="K845" t="str">
        <f>VLOOKUP(A845,Orders!$A:$G,5,0)</f>
        <v>Cash</v>
      </c>
      <c r="L845">
        <f t="shared" si="13"/>
        <v>74.069999999999993</v>
      </c>
    </row>
    <row r="846" spans="1:12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  <c r="I846">
        <f>C846*D846*(1-VLOOKUP(A846,Orders!$A:$G,7,0))</f>
        <v>472.71440000000007</v>
      </c>
      <c r="J846" t="str">
        <f>VLOOKUP(A846,Orders!$A:$G,6,0)</f>
        <v>Dinner</v>
      </c>
      <c r="K846" t="str">
        <f>VLOOKUP(A846,Orders!$A:$G,5,0)</f>
        <v>Cash</v>
      </c>
      <c r="L846">
        <f t="shared" si="13"/>
        <v>242.48</v>
      </c>
    </row>
    <row r="847" spans="1:12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  <c r="I847">
        <f>C847*D847*(1-VLOOKUP(A847,Orders!$A:$G,7,0))</f>
        <v>66.985600000000005</v>
      </c>
      <c r="J847" t="str">
        <f>VLOOKUP(A847,Orders!$A:$G,6,0)</f>
        <v>Breakfast</v>
      </c>
      <c r="K847" t="str">
        <f>VLOOKUP(A847,Orders!$A:$G,5,0)</f>
        <v>UPI</v>
      </c>
      <c r="L847">
        <f t="shared" si="13"/>
        <v>39.1</v>
      </c>
    </row>
    <row r="848" spans="1:12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  <c r="I848">
        <f>C848*D848*(1-VLOOKUP(A848,Orders!$A:$G,7,0))</f>
        <v>216.5592</v>
      </c>
      <c r="J848" t="str">
        <f>VLOOKUP(A848,Orders!$A:$G,6,0)</f>
        <v>Breakfast</v>
      </c>
      <c r="K848" t="str">
        <f>VLOOKUP(A848,Orders!$A:$G,5,0)</f>
        <v>UPI</v>
      </c>
      <c r="L848">
        <f t="shared" si="13"/>
        <v>112.08</v>
      </c>
    </row>
    <row r="849" spans="1:12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  <c r="I849">
        <f>C849*D849*(1-VLOOKUP(A849,Orders!$A:$G,7,0))</f>
        <v>70.312000000000012</v>
      </c>
      <c r="J849" t="str">
        <f>VLOOKUP(A849,Orders!$A:$G,6,0)</f>
        <v>Breakfast</v>
      </c>
      <c r="K849" t="str">
        <f>VLOOKUP(A849,Orders!$A:$G,5,0)</f>
        <v>UPI</v>
      </c>
      <c r="L849">
        <f t="shared" si="13"/>
        <v>31.02</v>
      </c>
    </row>
    <row r="850" spans="1:12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  <c r="I850">
        <f>C850*D850*(1-VLOOKUP(A850,Orders!$A:$G,7,0))</f>
        <v>50.221600000000002</v>
      </c>
      <c r="J850" t="str">
        <f>VLOOKUP(A850,Orders!$A:$G,6,0)</f>
        <v>Breakfast</v>
      </c>
      <c r="K850" t="str">
        <f>VLOOKUP(A850,Orders!$A:$G,5,0)</f>
        <v>UPI</v>
      </c>
      <c r="L850">
        <f t="shared" si="13"/>
        <v>29.14</v>
      </c>
    </row>
    <row r="851" spans="1:12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  <c r="I851">
        <f>C851*D851*(1-VLOOKUP(A851,Orders!$A:$G,7,0))</f>
        <v>39.96</v>
      </c>
      <c r="J851" t="str">
        <f>VLOOKUP(A851,Orders!$A:$G,6,0)</f>
        <v>Breakfast</v>
      </c>
      <c r="K851" t="str">
        <f>VLOOKUP(A851,Orders!$A:$G,5,0)</f>
        <v>Cash</v>
      </c>
      <c r="L851">
        <f t="shared" si="13"/>
        <v>18.760000000000002</v>
      </c>
    </row>
    <row r="852" spans="1:12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  <c r="I852">
        <f>C852*D852*(1-VLOOKUP(A852,Orders!$A:$G,7,0))</f>
        <v>63.486000000000004</v>
      </c>
      <c r="J852" t="str">
        <f>VLOOKUP(A852,Orders!$A:$G,6,0)</f>
        <v>Breakfast</v>
      </c>
      <c r="K852" t="str">
        <f>VLOOKUP(A852,Orders!$A:$G,5,0)</f>
        <v>Cash</v>
      </c>
      <c r="L852">
        <f t="shared" si="13"/>
        <v>35.81</v>
      </c>
    </row>
    <row r="853" spans="1:12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  <c r="I853">
        <f>C853*D853*(1-VLOOKUP(A853,Orders!$A:$G,7,0))</f>
        <v>45.170999999999999</v>
      </c>
      <c r="J853" t="str">
        <f>VLOOKUP(A853,Orders!$A:$G,6,0)</f>
        <v>Breakfast</v>
      </c>
      <c r="K853" t="str">
        <f>VLOOKUP(A853,Orders!$A:$G,5,0)</f>
        <v>Cash</v>
      </c>
      <c r="L853">
        <f t="shared" si="13"/>
        <v>22.61</v>
      </c>
    </row>
    <row r="854" spans="1:12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  <c r="I854">
        <f>C854*D854*(1-VLOOKUP(A854,Orders!$A:$G,7,0))</f>
        <v>48.78</v>
      </c>
      <c r="J854" t="str">
        <f>VLOOKUP(A854,Orders!$A:$G,6,0)</f>
        <v>Breakfast</v>
      </c>
      <c r="K854" t="str">
        <f>VLOOKUP(A854,Orders!$A:$G,5,0)</f>
        <v>Cash</v>
      </c>
      <c r="L854">
        <f t="shared" si="13"/>
        <v>21.95</v>
      </c>
    </row>
    <row r="855" spans="1:12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  <c r="I855">
        <f>C855*D855*(1-VLOOKUP(A855,Orders!$A:$G,7,0))</f>
        <v>17.093499999999999</v>
      </c>
      <c r="J855" t="str">
        <f>VLOOKUP(A855,Orders!$A:$G,6,0)</f>
        <v>Breakfast</v>
      </c>
      <c r="K855" t="str">
        <f>VLOOKUP(A855,Orders!$A:$G,5,0)</f>
        <v>Card</v>
      </c>
      <c r="L855">
        <f t="shared" si="13"/>
        <v>8</v>
      </c>
    </row>
    <row r="856" spans="1:12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  <c r="I856">
        <f>C856*D856*(1-VLOOKUP(A856,Orders!$A:$G,7,0))</f>
        <v>130.13499999999999</v>
      </c>
      <c r="J856" t="str">
        <f>VLOOKUP(A856,Orders!$A:$G,6,0)</f>
        <v>Breakfast</v>
      </c>
      <c r="K856" t="str">
        <f>VLOOKUP(A856,Orders!$A:$G,5,0)</f>
        <v>Card</v>
      </c>
      <c r="L856">
        <f t="shared" si="13"/>
        <v>76.459999999999994</v>
      </c>
    </row>
    <row r="857" spans="1:12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  <c r="I857">
        <f>C857*D857*(1-VLOOKUP(A857,Orders!$A:$G,7,0))</f>
        <v>441.5634</v>
      </c>
      <c r="J857" t="str">
        <f>VLOOKUP(A857,Orders!$A:$G,6,0)</f>
        <v>Breakfast</v>
      </c>
      <c r="K857" t="str">
        <f>VLOOKUP(A857,Orders!$A:$G,5,0)</f>
        <v>UPI</v>
      </c>
      <c r="L857">
        <f t="shared" si="13"/>
        <v>192.44</v>
      </c>
    </row>
    <row r="858" spans="1:12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  <c r="I858">
        <f>C858*D858*(1-VLOOKUP(A858,Orders!$A:$G,7,0))</f>
        <v>52.573999999999998</v>
      </c>
      <c r="J858" t="str">
        <f>VLOOKUP(A858,Orders!$A:$G,6,0)</f>
        <v>Breakfast</v>
      </c>
      <c r="K858" t="str">
        <f>VLOOKUP(A858,Orders!$A:$G,5,0)</f>
        <v>UPI</v>
      </c>
      <c r="L858">
        <f t="shared" si="13"/>
        <v>21.95</v>
      </c>
    </row>
    <row r="859" spans="1:12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  <c r="I859">
        <f>C859*D859*(1-VLOOKUP(A859,Orders!$A:$G,7,0))</f>
        <v>97.368599999999986</v>
      </c>
      <c r="J859" t="str">
        <f>VLOOKUP(A859,Orders!$A:$G,6,0)</f>
        <v>Breakfast</v>
      </c>
      <c r="K859" t="str">
        <f>VLOOKUP(A859,Orders!$A:$G,5,0)</f>
        <v>UPI</v>
      </c>
      <c r="L859">
        <f t="shared" si="13"/>
        <v>45.22</v>
      </c>
    </row>
    <row r="860" spans="1:12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  <c r="I860">
        <f>C860*D860*(1-VLOOKUP(A860,Orders!$A:$G,7,0))</f>
        <v>63.981199999999994</v>
      </c>
      <c r="J860" t="str">
        <f>VLOOKUP(A860,Orders!$A:$G,6,0)</f>
        <v>Breakfast</v>
      </c>
      <c r="K860" t="str">
        <f>VLOOKUP(A860,Orders!$A:$G,5,0)</f>
        <v>UPI</v>
      </c>
      <c r="L860">
        <f t="shared" si="13"/>
        <v>23.68</v>
      </c>
    </row>
    <row r="861" spans="1:12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  <c r="I861">
        <f>C861*D861*(1-VLOOKUP(A861,Orders!$A:$G,7,0))</f>
        <v>310.91060000000004</v>
      </c>
      <c r="J861" t="str">
        <f>VLOOKUP(A861,Orders!$A:$G,6,0)</f>
        <v>Dinner</v>
      </c>
      <c r="K861" t="str">
        <f>VLOOKUP(A861,Orders!$A:$G,5,0)</f>
        <v>UPI</v>
      </c>
      <c r="L861">
        <f t="shared" si="13"/>
        <v>148.13999999999999</v>
      </c>
    </row>
    <row r="862" spans="1:12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  <c r="I862">
        <f>C862*D862*(1-VLOOKUP(A862,Orders!$A:$G,7,0))</f>
        <v>212.57599999999999</v>
      </c>
      <c r="J862" t="str">
        <f>VLOOKUP(A862,Orders!$A:$G,6,0)</f>
        <v>Dinner</v>
      </c>
      <c r="K862" t="str">
        <f>VLOOKUP(A862,Orders!$A:$G,5,0)</f>
        <v>UPI</v>
      </c>
      <c r="L862">
        <f t="shared" si="13"/>
        <v>97.94</v>
      </c>
    </row>
    <row r="863" spans="1:12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  <c r="I863">
        <f>C863*D863*(1-VLOOKUP(A863,Orders!$A:$G,7,0))</f>
        <v>133.22400000000002</v>
      </c>
      <c r="J863" t="str">
        <f>VLOOKUP(A863,Orders!$A:$G,6,0)</f>
        <v>Dinner</v>
      </c>
      <c r="K863" t="str">
        <f>VLOOKUP(A863,Orders!$A:$G,5,0)</f>
        <v>UPI</v>
      </c>
      <c r="L863">
        <f t="shared" si="13"/>
        <v>80.92</v>
      </c>
    </row>
    <row r="864" spans="1:12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  <c r="I864">
        <f>C864*D864*(1-VLOOKUP(A864,Orders!$A:$G,7,0))</f>
        <v>93.353399999999993</v>
      </c>
      <c r="J864" t="str">
        <f>VLOOKUP(A864,Orders!$A:$G,6,0)</f>
        <v>Breakfast</v>
      </c>
      <c r="K864" t="str">
        <f>VLOOKUP(A864,Orders!$A:$G,5,0)</f>
        <v>Cash</v>
      </c>
      <c r="L864">
        <f t="shared" si="13"/>
        <v>45.22</v>
      </c>
    </row>
    <row r="865" spans="1:12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  <c r="I865">
        <f>C865*D865*(1-VLOOKUP(A865,Orders!$A:$G,7,0))</f>
        <v>106.1502</v>
      </c>
      <c r="J865" t="str">
        <f>VLOOKUP(A865,Orders!$A:$G,6,0)</f>
        <v>Breakfast</v>
      </c>
      <c r="K865" t="str">
        <f>VLOOKUP(A865,Orders!$A:$G,5,0)</f>
        <v>Cash</v>
      </c>
      <c r="L865">
        <f t="shared" si="13"/>
        <v>58.28</v>
      </c>
    </row>
    <row r="866" spans="1:12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  <c r="I866">
        <f>C866*D866*(1-VLOOKUP(A866,Orders!$A:$G,7,0))</f>
        <v>124.44</v>
      </c>
      <c r="J866" t="str">
        <f>VLOOKUP(A866,Orders!$A:$G,6,0)</f>
        <v>Lunch</v>
      </c>
      <c r="K866" t="str">
        <f>VLOOKUP(A866,Orders!$A:$G,5,0)</f>
        <v>Cash</v>
      </c>
      <c r="L866">
        <f t="shared" si="13"/>
        <v>80.92</v>
      </c>
    </row>
    <row r="867" spans="1:12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  <c r="I867">
        <f>C867*D867*(1-VLOOKUP(A867,Orders!$A:$G,7,0))</f>
        <v>27.577099999999998</v>
      </c>
      <c r="J867" t="str">
        <f>VLOOKUP(A867,Orders!$A:$G,6,0)</f>
        <v>Breakfast</v>
      </c>
      <c r="K867" t="str">
        <f>VLOOKUP(A867,Orders!$A:$G,5,0)</f>
        <v>UPI</v>
      </c>
      <c r="L867">
        <f t="shared" si="13"/>
        <v>13.89</v>
      </c>
    </row>
    <row r="868" spans="1:12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  <c r="I868">
        <f>C868*D868*(1-VLOOKUP(A868,Orders!$A:$G,7,0))</f>
        <v>29.4298</v>
      </c>
      <c r="J868" t="str">
        <f>VLOOKUP(A868,Orders!$A:$G,6,0)</f>
        <v>Breakfast</v>
      </c>
      <c r="K868" t="str">
        <f>VLOOKUP(A868,Orders!$A:$G,5,0)</f>
        <v>UPI</v>
      </c>
      <c r="L868">
        <f t="shared" si="13"/>
        <v>14.18</v>
      </c>
    </row>
    <row r="869" spans="1:12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  <c r="I869">
        <f>C869*D869*(1-VLOOKUP(A869,Orders!$A:$G,7,0))</f>
        <v>95.971800000000002</v>
      </c>
      <c r="J869" t="str">
        <f>VLOOKUP(A869,Orders!$A:$G,6,0)</f>
        <v>Breakfast</v>
      </c>
      <c r="K869" t="str">
        <f>VLOOKUP(A869,Orders!$A:$G,5,0)</f>
        <v>UPI</v>
      </c>
      <c r="L869">
        <f t="shared" si="13"/>
        <v>35.519999999999996</v>
      </c>
    </row>
    <row r="870" spans="1:12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  <c r="I870">
        <f>C870*D870*(1-VLOOKUP(A870,Orders!$A:$G,7,0))</f>
        <v>226.59199999999998</v>
      </c>
      <c r="J870" t="str">
        <f>VLOOKUP(A870,Orders!$A:$G,6,0)</f>
        <v>Lunch</v>
      </c>
      <c r="K870" t="str">
        <f>VLOOKUP(A870,Orders!$A:$G,5,0)</f>
        <v>Cash</v>
      </c>
      <c r="L870">
        <f t="shared" si="13"/>
        <v>97.94</v>
      </c>
    </row>
    <row r="871" spans="1:12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  <c r="I871">
        <f>C871*D871*(1-VLOOKUP(A871,Orders!$A:$G,7,0))</f>
        <v>166.0737</v>
      </c>
      <c r="J871" t="str">
        <f>VLOOKUP(A871,Orders!$A:$G,6,0)</f>
        <v>Lunch</v>
      </c>
      <c r="K871" t="str">
        <f>VLOOKUP(A871,Orders!$A:$G,5,0)</f>
        <v>Cash</v>
      </c>
      <c r="L871">
        <f t="shared" si="13"/>
        <v>87.42</v>
      </c>
    </row>
    <row r="872" spans="1:12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  <c r="I872">
        <f>C872*D872*(1-VLOOKUP(A872,Orders!$A:$G,7,0))</f>
        <v>151.05600000000001</v>
      </c>
      <c r="J872" t="str">
        <f>VLOOKUP(A872,Orders!$A:$G,6,0)</f>
        <v>Dinner</v>
      </c>
      <c r="K872" t="str">
        <f>VLOOKUP(A872,Orders!$A:$G,5,0)</f>
        <v>Card</v>
      </c>
      <c r="L872">
        <f t="shared" si="13"/>
        <v>77.400000000000006</v>
      </c>
    </row>
    <row r="873" spans="1:12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  <c r="I873">
        <f>C873*D873*(1-VLOOKUP(A873,Orders!$A:$G,7,0))</f>
        <v>31.660799999999995</v>
      </c>
      <c r="J873" t="str">
        <f>VLOOKUP(A873,Orders!$A:$G,6,0)</f>
        <v>Dinner</v>
      </c>
      <c r="K873" t="str">
        <f>VLOOKUP(A873,Orders!$A:$G,5,0)</f>
        <v>Card</v>
      </c>
      <c r="L873">
        <f t="shared" si="13"/>
        <v>11.84</v>
      </c>
    </row>
    <row r="874" spans="1:12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  <c r="I874">
        <f>C874*D874*(1-VLOOKUP(A874,Orders!$A:$G,7,0))</f>
        <v>52.032000000000004</v>
      </c>
      <c r="J874" t="str">
        <f>VLOOKUP(A874,Orders!$A:$G,6,0)</f>
        <v>Dinner</v>
      </c>
      <c r="K874" t="str">
        <f>VLOOKUP(A874,Orders!$A:$G,5,0)</f>
        <v>Card</v>
      </c>
      <c r="L874">
        <f t="shared" si="13"/>
        <v>21.95</v>
      </c>
    </row>
    <row r="875" spans="1:12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  <c r="I875">
        <f>C875*D875*(1-VLOOKUP(A875,Orders!$A:$G,7,0))</f>
        <v>29.1264</v>
      </c>
      <c r="J875" t="str">
        <f>VLOOKUP(A875,Orders!$A:$G,6,0)</f>
        <v>Dinner</v>
      </c>
      <c r="K875" t="str">
        <f>VLOOKUP(A875,Orders!$A:$G,5,0)</f>
        <v>Card</v>
      </c>
      <c r="L875">
        <f t="shared" si="13"/>
        <v>14.18</v>
      </c>
    </row>
    <row r="876" spans="1:12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  <c r="I876">
        <f>C876*D876*(1-VLOOKUP(A876,Orders!$A:$G,7,0))</f>
        <v>39.950000000000003</v>
      </c>
      <c r="J876" t="str">
        <f>VLOOKUP(A876,Orders!$A:$G,6,0)</f>
        <v>Dinner</v>
      </c>
      <c r="K876" t="str">
        <f>VLOOKUP(A876,Orders!$A:$G,5,0)</f>
        <v>Card</v>
      </c>
      <c r="L876">
        <f t="shared" si="13"/>
        <v>15.51</v>
      </c>
    </row>
    <row r="877" spans="1:12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  <c r="I877">
        <f>C877*D877*(1-VLOOKUP(A877,Orders!$A:$G,7,0))</f>
        <v>229.64999999999998</v>
      </c>
      <c r="J877" t="str">
        <f>VLOOKUP(A877,Orders!$A:$G,6,0)</f>
        <v>Dinner</v>
      </c>
      <c r="K877" t="str">
        <f>VLOOKUP(A877,Orders!$A:$G,5,0)</f>
        <v>Card</v>
      </c>
      <c r="L877">
        <f t="shared" si="13"/>
        <v>114.69</v>
      </c>
    </row>
    <row r="878" spans="1:12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  <c r="I878">
        <f>C878*D878*(1-VLOOKUP(A878,Orders!$A:$G,7,0))</f>
        <v>146.4</v>
      </c>
      <c r="J878" t="str">
        <f>VLOOKUP(A878,Orders!$A:$G,6,0)</f>
        <v>Dinner</v>
      </c>
      <c r="K878" t="str">
        <f>VLOOKUP(A878,Orders!$A:$G,5,0)</f>
        <v>Card</v>
      </c>
      <c r="L878">
        <f t="shared" si="13"/>
        <v>80.92</v>
      </c>
    </row>
    <row r="879" spans="1:12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  <c r="I879">
        <f>C879*D879*(1-VLOOKUP(A879,Orders!$A:$G,7,0))</f>
        <v>50.352000000000004</v>
      </c>
      <c r="J879" t="str">
        <f>VLOOKUP(A879,Orders!$A:$G,6,0)</f>
        <v>Dinner</v>
      </c>
      <c r="K879" t="str">
        <f>VLOOKUP(A879,Orders!$A:$G,5,0)</f>
        <v>UPI</v>
      </c>
      <c r="L879">
        <f t="shared" si="13"/>
        <v>25.8</v>
      </c>
    </row>
    <row r="880" spans="1:12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  <c r="I880">
        <f>C880*D880*(1-VLOOKUP(A880,Orders!$A:$G,7,0))</f>
        <v>54.585599999999999</v>
      </c>
      <c r="J880" t="str">
        <f>VLOOKUP(A880,Orders!$A:$G,6,0)</f>
        <v>Dinner</v>
      </c>
      <c r="K880" t="str">
        <f>VLOOKUP(A880,Orders!$A:$G,5,0)</f>
        <v>UPI</v>
      </c>
      <c r="L880">
        <f t="shared" si="13"/>
        <v>27.78</v>
      </c>
    </row>
    <row r="881" spans="1:12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  <c r="I881">
        <f>C881*D881*(1-VLOOKUP(A881,Orders!$A:$G,7,0))</f>
        <v>105.148</v>
      </c>
      <c r="J881" t="str">
        <f>VLOOKUP(A881,Orders!$A:$G,6,0)</f>
        <v>Dinner</v>
      </c>
      <c r="K881" t="str">
        <f>VLOOKUP(A881,Orders!$A:$G,5,0)</f>
        <v>Cash</v>
      </c>
      <c r="L881">
        <f t="shared" si="13"/>
        <v>43.9</v>
      </c>
    </row>
    <row r="882" spans="1:12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  <c r="I882">
        <f>C882*D882*(1-VLOOKUP(A882,Orders!$A:$G,7,0))</f>
        <v>70.791600000000003</v>
      </c>
      <c r="J882" t="str">
        <f>VLOOKUP(A882,Orders!$A:$G,6,0)</f>
        <v>Breakfast</v>
      </c>
      <c r="K882" t="str">
        <f>VLOOKUP(A882,Orders!$A:$G,5,0)</f>
        <v>UPI</v>
      </c>
      <c r="L882">
        <f t="shared" si="13"/>
        <v>39.1</v>
      </c>
    </row>
    <row r="883" spans="1:12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  <c r="I883">
        <f>C883*D883*(1-VLOOKUP(A883,Orders!$A:$G,7,0))</f>
        <v>50.405999999999999</v>
      </c>
      <c r="J883" t="str">
        <f>VLOOKUP(A883,Orders!$A:$G,6,0)</f>
        <v>Breakfast</v>
      </c>
      <c r="K883" t="str">
        <f>VLOOKUP(A883,Orders!$A:$G,5,0)</f>
        <v>UPI</v>
      </c>
      <c r="L883">
        <f t="shared" si="13"/>
        <v>21.95</v>
      </c>
    </row>
    <row r="884" spans="1:12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  <c r="I884">
        <f>C884*D884*(1-VLOOKUP(A884,Orders!$A:$G,7,0))</f>
        <v>93.353399999999993</v>
      </c>
      <c r="J884" t="str">
        <f>VLOOKUP(A884,Orders!$A:$G,6,0)</f>
        <v>Breakfast</v>
      </c>
      <c r="K884" t="str">
        <f>VLOOKUP(A884,Orders!$A:$G,5,0)</f>
        <v>UPI</v>
      </c>
      <c r="L884">
        <f t="shared" si="13"/>
        <v>45.22</v>
      </c>
    </row>
    <row r="885" spans="1:12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  <c r="I885">
        <f>C885*D885*(1-VLOOKUP(A885,Orders!$A:$G,7,0))</f>
        <v>20.645999999999997</v>
      </c>
      <c r="J885" t="str">
        <f>VLOOKUP(A885,Orders!$A:$G,6,0)</f>
        <v>Breakfast</v>
      </c>
      <c r="K885" t="str">
        <f>VLOOKUP(A885,Orders!$A:$G,5,0)</f>
        <v>UPI</v>
      </c>
      <c r="L885">
        <f t="shared" si="13"/>
        <v>9.3800000000000008</v>
      </c>
    </row>
    <row r="886" spans="1:12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  <c r="I886">
        <f>C886*D886*(1-VLOOKUP(A886,Orders!$A:$G,7,0))</f>
        <v>151.21800000000002</v>
      </c>
      <c r="J886" t="str">
        <f>VLOOKUP(A886,Orders!$A:$G,6,0)</f>
        <v>Breakfast</v>
      </c>
      <c r="K886" t="str">
        <f>VLOOKUP(A886,Orders!$A:$G,5,0)</f>
        <v>UPI</v>
      </c>
      <c r="L886">
        <f t="shared" si="13"/>
        <v>65.849999999999994</v>
      </c>
    </row>
    <row r="887" spans="1:12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  <c r="I887">
        <f>C887*D887*(1-VLOOKUP(A887,Orders!$A:$G,7,0))</f>
        <v>423.3546</v>
      </c>
      <c r="J887" t="str">
        <f>VLOOKUP(A887,Orders!$A:$G,6,0)</f>
        <v>Breakfast</v>
      </c>
      <c r="K887" t="str">
        <f>VLOOKUP(A887,Orders!$A:$G,5,0)</f>
        <v>UPI</v>
      </c>
      <c r="L887">
        <f t="shared" si="13"/>
        <v>192.44</v>
      </c>
    </row>
    <row r="888" spans="1:12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  <c r="I888">
        <f>C888*D888*(1-VLOOKUP(A888,Orders!$A:$G,7,0))</f>
        <v>17.294599999999999</v>
      </c>
      <c r="J888" t="str">
        <f>VLOOKUP(A888,Orders!$A:$G,6,0)</f>
        <v>Breakfast</v>
      </c>
      <c r="K888" t="str">
        <f>VLOOKUP(A888,Orders!$A:$G,5,0)</f>
        <v>Card</v>
      </c>
      <c r="L888">
        <f t="shared" si="13"/>
        <v>8</v>
      </c>
    </row>
    <row r="889" spans="1:12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  <c r="I889">
        <f>C889*D889*(1-VLOOKUP(A889,Orders!$A:$G,7,0))</f>
        <v>48.8996</v>
      </c>
      <c r="J889" t="str">
        <f>VLOOKUP(A889,Orders!$A:$G,6,0)</f>
        <v>Breakfast</v>
      </c>
      <c r="K889" t="str">
        <f>VLOOKUP(A889,Orders!$A:$G,5,0)</f>
        <v>Card</v>
      </c>
      <c r="L889">
        <f t="shared" si="13"/>
        <v>27.78</v>
      </c>
    </row>
    <row r="890" spans="1:12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  <c r="I890">
        <f>C890*D890*(1-VLOOKUP(A890,Orders!$A:$G,7,0))</f>
        <v>263.52000000000004</v>
      </c>
      <c r="J890" t="str">
        <f>VLOOKUP(A890,Orders!$A:$G,6,0)</f>
        <v>Dinner</v>
      </c>
      <c r="K890" t="str">
        <f>VLOOKUP(A890,Orders!$A:$G,5,0)</f>
        <v>Cash</v>
      </c>
      <c r="L890">
        <f t="shared" si="13"/>
        <v>161.84</v>
      </c>
    </row>
    <row r="891" spans="1:12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  <c r="I891">
        <f>C891*D891*(1-VLOOKUP(A891,Orders!$A:$G,7,0))</f>
        <v>231.21900000000002</v>
      </c>
      <c r="J891" t="str">
        <f>VLOOKUP(A891,Orders!$A:$G,6,0)</f>
        <v>Dinner</v>
      </c>
      <c r="K891" t="str">
        <f>VLOOKUP(A891,Orders!$A:$G,5,0)</f>
        <v>Cash</v>
      </c>
      <c r="L891">
        <f t="shared" si="13"/>
        <v>121.24</v>
      </c>
    </row>
    <row r="892" spans="1:12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  <c r="I892">
        <f>C892*D892*(1-VLOOKUP(A892,Orders!$A:$G,7,0))</f>
        <v>327.99360000000001</v>
      </c>
      <c r="J892" t="str">
        <f>VLOOKUP(A892,Orders!$A:$G,6,0)</f>
        <v>Dinner</v>
      </c>
      <c r="K892" t="str">
        <f>VLOOKUP(A892,Orders!$A:$G,5,0)</f>
        <v>Card</v>
      </c>
      <c r="L892">
        <f t="shared" si="13"/>
        <v>148.13999999999999</v>
      </c>
    </row>
    <row r="893" spans="1:12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  <c r="I893">
        <f>C893*D893*(1-VLOOKUP(A893,Orders!$A:$G,7,0))</f>
        <v>739.9008</v>
      </c>
      <c r="J893" t="str">
        <f>VLOOKUP(A893,Orders!$A:$G,6,0)</f>
        <v>Dinner</v>
      </c>
      <c r="K893" t="str">
        <f>VLOOKUP(A893,Orders!$A:$G,5,0)</f>
        <v>Card</v>
      </c>
      <c r="L893">
        <f t="shared" si="13"/>
        <v>363.71999999999997</v>
      </c>
    </row>
    <row r="894" spans="1:12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  <c r="I894">
        <f>C894*D894*(1-VLOOKUP(A894,Orders!$A:$G,7,0))</f>
        <v>67.718400000000003</v>
      </c>
      <c r="J894" t="str">
        <f>VLOOKUP(A894,Orders!$A:$G,6,0)</f>
        <v>Dinner</v>
      </c>
      <c r="K894" t="str">
        <f>VLOOKUP(A894,Orders!$A:$G,5,0)</f>
        <v>Card</v>
      </c>
      <c r="L894">
        <f t="shared" si="13"/>
        <v>35.81</v>
      </c>
    </row>
    <row r="895" spans="1:12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  <c r="I895">
        <f>C895*D895*(1-VLOOKUP(A895,Orders!$A:$G,7,0))</f>
        <v>109.5744</v>
      </c>
      <c r="J895" t="str">
        <f>VLOOKUP(A895,Orders!$A:$G,6,0)</f>
        <v>Dinner</v>
      </c>
      <c r="K895" t="str">
        <f>VLOOKUP(A895,Orders!$A:$G,5,0)</f>
        <v>Card</v>
      </c>
      <c r="L895">
        <f t="shared" si="13"/>
        <v>58.28</v>
      </c>
    </row>
    <row r="896" spans="1:12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  <c r="I896">
        <f>C896*D896*(1-VLOOKUP(A896,Orders!$A:$G,7,0))</f>
        <v>114.464</v>
      </c>
      <c r="J896" t="str">
        <f>VLOOKUP(A896,Orders!$A:$G,6,0)</f>
        <v>Breakfast</v>
      </c>
      <c r="K896" t="str">
        <f>VLOOKUP(A896,Orders!$A:$G,5,0)</f>
        <v>UPI</v>
      </c>
      <c r="L896">
        <f t="shared" si="13"/>
        <v>48.97</v>
      </c>
    </row>
    <row r="897" spans="1:12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  <c r="I897">
        <f>C897*D897*(1-VLOOKUP(A897,Orders!$A:$G,7,0))</f>
        <v>241.16820000000001</v>
      </c>
      <c r="J897" t="str">
        <f>VLOOKUP(A897,Orders!$A:$G,6,0)</f>
        <v>Breakfast</v>
      </c>
      <c r="K897" t="str">
        <f>VLOOKUP(A897,Orders!$A:$G,5,0)</f>
        <v>UPI</v>
      </c>
      <c r="L897">
        <f t="shared" si="13"/>
        <v>112.08</v>
      </c>
    </row>
    <row r="898" spans="1:12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  <c r="I898">
        <f>C898*D898*(1-VLOOKUP(A898,Orders!$A:$G,7,0))</f>
        <v>225.05699999999996</v>
      </c>
      <c r="J898" t="str">
        <f>VLOOKUP(A898,Orders!$A:$G,6,0)</f>
        <v>Breakfast</v>
      </c>
      <c r="K898" t="str">
        <f>VLOOKUP(A898,Orders!$A:$G,5,0)</f>
        <v>UPI</v>
      </c>
      <c r="L898">
        <f t="shared" ref="L898:L925" si="14">C898*E898</f>
        <v>114.69</v>
      </c>
    </row>
    <row r="899" spans="1:12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  <c r="I899">
        <f>C899*D899*(1-VLOOKUP(A899,Orders!$A:$G,7,0))</f>
        <v>334.82679999999999</v>
      </c>
      <c r="J899" t="str">
        <f>VLOOKUP(A899,Orders!$A:$G,6,0)</f>
        <v>Breakfast</v>
      </c>
      <c r="K899" t="str">
        <f>VLOOKUP(A899,Orders!$A:$G,5,0)</f>
        <v>UPI</v>
      </c>
      <c r="L899">
        <f t="shared" si="14"/>
        <v>148.13999999999999</v>
      </c>
    </row>
    <row r="900" spans="1:12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  <c r="I900">
        <f>C900*D900*(1-VLOOKUP(A900,Orders!$A:$G,7,0))</f>
        <v>60.683199999999999</v>
      </c>
      <c r="J900" t="str">
        <f>VLOOKUP(A900,Orders!$A:$G,6,0)</f>
        <v>Breakfast</v>
      </c>
      <c r="K900" t="str">
        <f>VLOOKUP(A900,Orders!$A:$G,5,0)</f>
        <v>UPI</v>
      </c>
      <c r="L900">
        <f t="shared" si="14"/>
        <v>23.68</v>
      </c>
    </row>
    <row r="901" spans="1:12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  <c r="I901">
        <f>C901*D901*(1-VLOOKUP(A901,Orders!$A:$G,7,0))</f>
        <v>269.37600000000003</v>
      </c>
      <c r="J901" t="str">
        <f>VLOOKUP(A901,Orders!$A:$G,6,0)</f>
        <v>Breakfast</v>
      </c>
      <c r="K901" t="str">
        <f>VLOOKUP(A901,Orders!$A:$G,5,0)</f>
        <v>UPI</v>
      </c>
      <c r="L901">
        <f t="shared" si="14"/>
        <v>161.84</v>
      </c>
    </row>
    <row r="902" spans="1:12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  <c r="I902">
        <f>C902*D902*(1-VLOOKUP(A902,Orders!$A:$G,7,0))</f>
        <v>26.1556</v>
      </c>
      <c r="J902" t="str">
        <f>VLOOKUP(A902,Orders!$A:$G,6,0)</f>
        <v>Breakfast</v>
      </c>
      <c r="K902" t="str">
        <f>VLOOKUP(A902,Orders!$A:$G,5,0)</f>
        <v>UPI</v>
      </c>
      <c r="L902">
        <f t="shared" si="14"/>
        <v>13.89</v>
      </c>
    </row>
    <row r="903" spans="1:12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  <c r="I903">
        <f>C903*D903*(1-VLOOKUP(A903,Orders!$A:$G,7,0))</f>
        <v>60.0732</v>
      </c>
      <c r="J903" t="str">
        <f>VLOOKUP(A903,Orders!$A:$G,6,0)</f>
        <v>Dinner</v>
      </c>
      <c r="K903" t="str">
        <f>VLOOKUP(A903,Orders!$A:$G,5,0)</f>
        <v>Card</v>
      </c>
      <c r="L903">
        <f t="shared" si="14"/>
        <v>28.36</v>
      </c>
    </row>
    <row r="904" spans="1:12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  <c r="I904">
        <f>C904*D904*(1-VLOOKUP(A904,Orders!$A:$G,7,0))</f>
        <v>17.495699999999999</v>
      </c>
      <c r="J904" t="str">
        <f>VLOOKUP(A904,Orders!$A:$G,6,0)</f>
        <v>Dinner</v>
      </c>
      <c r="K904" t="str">
        <f>VLOOKUP(A904,Orders!$A:$G,5,0)</f>
        <v>Cash</v>
      </c>
      <c r="L904">
        <f t="shared" si="14"/>
        <v>8</v>
      </c>
    </row>
    <row r="905" spans="1:12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  <c r="I905">
        <f>C905*D905*(1-VLOOKUP(A905,Orders!$A:$G,7,0))</f>
        <v>94.308000000000007</v>
      </c>
      <c r="J905" t="str">
        <f>VLOOKUP(A905,Orders!$A:$G,6,0)</f>
        <v>Dinner</v>
      </c>
      <c r="K905" t="str">
        <f>VLOOKUP(A905,Orders!$A:$G,5,0)</f>
        <v>Cash</v>
      </c>
      <c r="L905">
        <f t="shared" si="14"/>
        <v>43.9</v>
      </c>
    </row>
    <row r="906" spans="1:12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  <c r="I906">
        <f>C906*D906*(1-VLOOKUP(A906,Orders!$A:$G,7,0))</f>
        <v>26.395800000000001</v>
      </c>
      <c r="J906" t="str">
        <f>VLOOKUP(A906,Orders!$A:$G,6,0)</f>
        <v>Dinner</v>
      </c>
      <c r="K906" t="str">
        <f>VLOOKUP(A906,Orders!$A:$G,5,0)</f>
        <v>Cash</v>
      </c>
      <c r="L906">
        <f t="shared" si="14"/>
        <v>14.18</v>
      </c>
    </row>
    <row r="907" spans="1:12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  <c r="I907">
        <f>C907*D907*(1-VLOOKUP(A907,Orders!$A:$G,7,0))</f>
        <v>66.224400000000003</v>
      </c>
      <c r="J907" t="str">
        <f>VLOOKUP(A907,Orders!$A:$G,6,0)</f>
        <v>Dinner</v>
      </c>
      <c r="K907" t="str">
        <f>VLOOKUP(A907,Orders!$A:$G,5,0)</f>
        <v>Cash</v>
      </c>
      <c r="L907">
        <f t="shared" si="14"/>
        <v>39.1</v>
      </c>
    </row>
    <row r="908" spans="1:12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  <c r="I908">
        <f>C908*D908*(1-VLOOKUP(A908,Orders!$A:$G,7,0))</f>
        <v>204.38849999999999</v>
      </c>
      <c r="J908" t="str">
        <f>VLOOKUP(A908,Orders!$A:$G,6,0)</f>
        <v>Lunch</v>
      </c>
      <c r="K908" t="str">
        <f>VLOOKUP(A908,Orders!$A:$G,5,0)</f>
        <v>Card</v>
      </c>
      <c r="L908">
        <f t="shared" si="14"/>
        <v>114.69</v>
      </c>
    </row>
    <row r="909" spans="1:12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  <c r="I909">
        <f>C909*D909*(1-VLOOKUP(A909,Orders!$A:$G,7,0))</f>
        <v>146.976</v>
      </c>
      <c r="J909" t="str">
        <f>VLOOKUP(A909,Orders!$A:$G,6,0)</f>
        <v>Lunch</v>
      </c>
      <c r="K909" t="str">
        <f>VLOOKUP(A909,Orders!$A:$G,5,0)</f>
        <v>UPI</v>
      </c>
      <c r="L909">
        <f t="shared" si="14"/>
        <v>76.459999999999994</v>
      </c>
    </row>
    <row r="910" spans="1:12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  <c r="I910">
        <f>C910*D910*(1-VLOOKUP(A910,Orders!$A:$G,7,0))</f>
        <v>36.537599999999998</v>
      </c>
      <c r="J910" t="str">
        <f>VLOOKUP(A910,Orders!$A:$G,6,0)</f>
        <v>Lunch</v>
      </c>
      <c r="K910" t="str">
        <f>VLOOKUP(A910,Orders!$A:$G,5,0)</f>
        <v>UPI</v>
      </c>
      <c r="L910">
        <f t="shared" si="14"/>
        <v>19.55</v>
      </c>
    </row>
    <row r="911" spans="1:12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  <c r="I911">
        <f>C911*D911*(1-VLOOKUP(A911,Orders!$A:$G,7,0))</f>
        <v>57.07</v>
      </c>
      <c r="J911" t="str">
        <f>VLOOKUP(A911,Orders!$A:$G,6,0)</f>
        <v>Breakfast</v>
      </c>
      <c r="K911" t="str">
        <f>VLOOKUP(A911,Orders!$A:$G,5,0)</f>
        <v>Cash</v>
      </c>
      <c r="L911">
        <f t="shared" si="14"/>
        <v>29.14</v>
      </c>
    </row>
    <row r="912" spans="1:12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  <c r="I912">
        <f>C912*D912*(1-VLOOKUP(A912,Orders!$A:$G,7,0))</f>
        <v>30.34</v>
      </c>
      <c r="J912" t="str">
        <f>VLOOKUP(A912,Orders!$A:$G,6,0)</f>
        <v>Breakfast</v>
      </c>
      <c r="K912" t="str">
        <f>VLOOKUP(A912,Orders!$A:$G,5,0)</f>
        <v>Cash</v>
      </c>
      <c r="L912">
        <f t="shared" si="14"/>
        <v>14.18</v>
      </c>
    </row>
    <row r="913" spans="1:12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  <c r="I913">
        <f>C913*D913*(1-VLOOKUP(A913,Orders!$A:$G,7,0))</f>
        <v>89.338200000000001</v>
      </c>
      <c r="J913" t="str">
        <f>VLOOKUP(A913,Orders!$A:$G,6,0)</f>
        <v>Breakfast</v>
      </c>
      <c r="K913" t="str">
        <f>VLOOKUP(A913,Orders!$A:$G,5,0)</f>
        <v>Card</v>
      </c>
      <c r="L913">
        <f t="shared" si="14"/>
        <v>45.22</v>
      </c>
    </row>
    <row r="914" spans="1:12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  <c r="I914">
        <f>C914*D914*(1-VLOOKUP(A914,Orders!$A:$G,7,0))</f>
        <v>405.14580000000001</v>
      </c>
      <c r="J914" t="str">
        <f>VLOOKUP(A914,Orders!$A:$G,6,0)</f>
        <v>Breakfast</v>
      </c>
      <c r="K914" t="str">
        <f>VLOOKUP(A914,Orders!$A:$G,5,0)</f>
        <v>Card</v>
      </c>
      <c r="L914">
        <f t="shared" si="14"/>
        <v>192.44</v>
      </c>
    </row>
    <row r="915" spans="1:12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  <c r="I915">
        <f>C915*D915*(1-VLOOKUP(A915,Orders!$A:$G,7,0))</f>
        <v>152.03870000000001</v>
      </c>
      <c r="J915" t="str">
        <f>VLOOKUP(A915,Orders!$A:$G,6,0)</f>
        <v>Breakfast</v>
      </c>
      <c r="K915" t="str">
        <f>VLOOKUP(A915,Orders!$A:$G,5,0)</f>
        <v>Card</v>
      </c>
      <c r="L915">
        <f t="shared" si="14"/>
        <v>74.069999999999993</v>
      </c>
    </row>
    <row r="916" spans="1:12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  <c r="I916">
        <f>C916*D916*(1-VLOOKUP(A916,Orders!$A:$G,7,0))</f>
        <v>54.005200000000002</v>
      </c>
      <c r="J916" t="str">
        <f>VLOOKUP(A916,Orders!$A:$G,6,0)</f>
        <v>Breakfast</v>
      </c>
      <c r="K916" t="str">
        <f>VLOOKUP(A916,Orders!$A:$G,5,0)</f>
        <v>Card</v>
      </c>
      <c r="L916">
        <f t="shared" si="14"/>
        <v>28.36</v>
      </c>
    </row>
    <row r="917" spans="1:12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  <c r="I917">
        <f>C917*D917*(1-VLOOKUP(A917,Orders!$A:$G,7,0))</f>
        <v>18.903399999999998</v>
      </c>
      <c r="J917" t="str">
        <f>VLOOKUP(A917,Orders!$A:$G,6,0)</f>
        <v>Dinner</v>
      </c>
      <c r="K917" t="str">
        <f>VLOOKUP(A917,Orders!$A:$G,5,0)</f>
        <v>Cash</v>
      </c>
      <c r="L917">
        <f t="shared" si="14"/>
        <v>8</v>
      </c>
    </row>
    <row r="918" spans="1:12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  <c r="I918">
        <f>C918*D918*(1-VLOOKUP(A918,Orders!$A:$G,7,0))</f>
        <v>20.867999999999999</v>
      </c>
      <c r="J918" t="str">
        <f>VLOOKUP(A918,Orders!$A:$G,6,0)</f>
        <v>Dinner</v>
      </c>
      <c r="K918" t="str">
        <f>VLOOKUP(A918,Orders!$A:$G,5,0)</f>
        <v>Cash</v>
      </c>
      <c r="L918">
        <f t="shared" si="14"/>
        <v>9.3800000000000008</v>
      </c>
    </row>
    <row r="919" spans="1:12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  <c r="I919">
        <f>C919*D919*(1-VLOOKUP(A919,Orders!$A:$G,7,0))</f>
        <v>53.645799999999994</v>
      </c>
      <c r="J919" t="str">
        <f>VLOOKUP(A919,Orders!$A:$G,6,0)</f>
        <v>Dinner</v>
      </c>
      <c r="K919" t="str">
        <f>VLOOKUP(A919,Orders!$A:$G,5,0)</f>
        <v>Cash</v>
      </c>
      <c r="L919">
        <f t="shared" si="14"/>
        <v>29.14</v>
      </c>
    </row>
    <row r="920" spans="1:12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  <c r="I920">
        <f>C920*D920*(1-VLOOKUP(A920,Orders!$A:$G,7,0))</f>
        <v>62.780600000000007</v>
      </c>
      <c r="J920" t="str">
        <f>VLOOKUP(A920,Orders!$A:$G,6,0)</f>
        <v>Breakfast</v>
      </c>
      <c r="K920" t="str">
        <f>VLOOKUP(A920,Orders!$A:$G,5,0)</f>
        <v>UPI</v>
      </c>
      <c r="L920">
        <f t="shared" si="14"/>
        <v>35.81</v>
      </c>
    </row>
    <row r="921" spans="1:12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  <c r="I921">
        <f>C921*D921*(1-VLOOKUP(A921,Orders!$A:$G,7,0))</f>
        <v>27.002600000000001</v>
      </c>
      <c r="J921" t="str">
        <f>VLOOKUP(A921,Orders!$A:$G,6,0)</f>
        <v>Breakfast</v>
      </c>
      <c r="K921" t="str">
        <f>VLOOKUP(A921,Orders!$A:$G,5,0)</f>
        <v>UPI</v>
      </c>
      <c r="L921">
        <f t="shared" si="14"/>
        <v>14.18</v>
      </c>
    </row>
    <row r="922" spans="1:12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  <c r="I922">
        <f>C922*D922*(1-VLOOKUP(A922,Orders!$A:$G,7,0))</f>
        <v>455.22</v>
      </c>
      <c r="J922" t="str">
        <f>VLOOKUP(A922,Orders!$A:$G,6,0)</f>
        <v>Lunch</v>
      </c>
      <c r="K922" t="str">
        <f>VLOOKUP(A922,Orders!$A:$G,5,0)</f>
        <v>Cash</v>
      </c>
      <c r="L922">
        <f t="shared" si="14"/>
        <v>192.44</v>
      </c>
    </row>
    <row r="923" spans="1:12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  <c r="I923">
        <f>C923*D923*(1-VLOOKUP(A923,Orders!$A:$G,7,0))</f>
        <v>163.99680000000001</v>
      </c>
      <c r="J923" t="str">
        <f>VLOOKUP(A923,Orders!$A:$G,6,0)</f>
        <v>Dinner</v>
      </c>
      <c r="K923" t="str">
        <f>VLOOKUP(A923,Orders!$A:$G,5,0)</f>
        <v>UPI</v>
      </c>
      <c r="L923">
        <f t="shared" si="14"/>
        <v>74.069999999999993</v>
      </c>
    </row>
    <row r="924" spans="1:12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  <c r="I924">
        <f>C924*D924*(1-VLOOKUP(A924,Orders!$A:$G,7,0))</f>
        <v>739.9008</v>
      </c>
      <c r="J924" t="str">
        <f>VLOOKUP(A924,Orders!$A:$G,6,0)</f>
        <v>Dinner</v>
      </c>
      <c r="K924" t="str">
        <f>VLOOKUP(A924,Orders!$A:$G,5,0)</f>
        <v>UPI</v>
      </c>
      <c r="L924">
        <f t="shared" si="14"/>
        <v>363.71999999999997</v>
      </c>
    </row>
    <row r="925" spans="1:12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  <c r="I925">
        <f>C925*D925*(1-VLOOKUP(A925,Orders!$A:$G,7,0))</f>
        <v>58.252800000000001</v>
      </c>
      <c r="J925" t="str">
        <f>VLOOKUP(A925,Orders!$A:$G,6,0)</f>
        <v>Dinner</v>
      </c>
      <c r="K925" t="str">
        <f>VLOOKUP(A925,Orders!$A:$G,5,0)</f>
        <v>UPI</v>
      </c>
      <c r="L925">
        <f t="shared" si="14"/>
        <v>28.36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C78C-B7E1-4D4E-831C-E1A671076820}">
  <dimension ref="A1:M362"/>
  <sheetViews>
    <sheetView topLeftCell="B1" workbookViewId="0">
      <selection activeCell="K24" sqref="K24"/>
    </sheetView>
  </sheetViews>
  <sheetFormatPr defaultRowHeight="14.4"/>
  <cols>
    <col min="1" max="1" width="9.44140625" customWidth="1"/>
    <col min="2" max="2" width="15" bestFit="1" customWidth="1"/>
    <col min="3" max="3" width="8.77734375" bestFit="1" customWidth="1"/>
    <col min="4" max="4" width="12.33203125" customWidth="1"/>
    <col min="5" max="5" width="19.21875" customWidth="1"/>
    <col min="6" max="6" width="15.5546875" customWidth="1"/>
    <col min="7" max="7" width="12.109375" customWidth="1"/>
    <col min="8" max="8" width="16.109375" customWidth="1"/>
    <col min="9" max="9" width="33.109375" bestFit="1" customWidth="1"/>
    <col min="11" max="11" width="33.109375" bestFit="1" customWidth="1"/>
    <col min="12" max="12" width="15.77734375" customWidth="1"/>
  </cols>
  <sheetData>
    <row r="1" spans="1:13">
      <c r="A1" s="4" t="s">
        <v>0</v>
      </c>
      <c r="B1" s="4" t="s">
        <v>2</v>
      </c>
      <c r="C1" s="4" t="s">
        <v>5</v>
      </c>
      <c r="D1" s="4" t="s">
        <v>536</v>
      </c>
      <c r="E1" s="4" t="s">
        <v>525</v>
      </c>
      <c r="F1" s="4" t="s">
        <v>573</v>
      </c>
      <c r="G1" s="4" t="s">
        <v>574</v>
      </c>
      <c r="H1" s="4" t="s">
        <v>575</v>
      </c>
      <c r="I1" s="4" t="s">
        <v>576</v>
      </c>
      <c r="K1" s="4" t="s">
        <v>576</v>
      </c>
      <c r="L1" s="4" t="s">
        <v>577</v>
      </c>
      <c r="M1" s="4" t="s">
        <v>545</v>
      </c>
    </row>
    <row r="2" spans="1:13">
      <c r="A2" t="str">
        <f>Orders!A2</f>
        <v>O00001</v>
      </c>
      <c r="B2" t="str">
        <f>Orders!C2</f>
        <v>Head Office Café</v>
      </c>
      <c r="C2" t="str">
        <f>Orders!F2</f>
        <v>Breakfast</v>
      </c>
      <c r="D2" t="str">
        <f>Orders!J2</f>
        <v>Single</v>
      </c>
      <c r="E2" s="24">
        <f>Orders!I2</f>
        <v>147.90900000000002</v>
      </c>
      <c r="F2" s="24">
        <f>SUMIF(OrderLines!$A$2:$A$925,A2,OrderLines!$L$2:$L$925)</f>
        <v>77.400000000000006</v>
      </c>
      <c r="G2" s="23">
        <f>E2-F2</f>
        <v>70.509000000000015</v>
      </c>
      <c r="H2" s="23">
        <f>IFERROR(G2/E2,0)</f>
        <v>0.47670527148449388</v>
      </c>
      <c r="I2" t="str">
        <f>_xlfn.TEXTJOIN(" + ",TRUE,IF(COUNTIFS(OrderLines!$A$2:$A$925,A2,OrderLines!$F$2:$F$925,"Beverage")&gt;0,"Beverage",""),IF(COUNTIFS(OrderLines!$A$2:$A$925,A2,OrderLines!$F$2:$F$925,"Dessert")&gt;0,"Dessert",""),IF(COUNTIFS(OrderLines!$A$2:$A$925,A2,OrderLines!$F$2:$F$925,"Hot Meal")&gt;0,"Hot Meal",""),IF(COUNTIFS(OrderLines!$A$2:$A$925,A2,OrderLines!$F$2:$F$925,"Snack")&gt;0,"Snack",""))</f>
        <v>Snack</v>
      </c>
      <c r="K2" t="s">
        <v>444</v>
      </c>
      <c r="L2">
        <f>COUNTIFS($I$2:$I$361,K2,$B$2:$B$361,IF('Dashboard '!$B$4="All","*",'Dashboard '!$B$4),$C$2:$C$361,IF('Dashboard '!$E$4="All","*",'Dashboard '!$E$4))</f>
        <v>34</v>
      </c>
      <c r="M2">
        <f>RANK(L2,$L$2:$L$16)+COUNTIF($L$2:L2,L2)-1</f>
        <v>1</v>
      </c>
    </row>
    <row r="3" spans="1:13">
      <c r="A3" t="str">
        <f>Orders!A3</f>
        <v>O00002</v>
      </c>
      <c r="B3" t="str">
        <f>Orders!C3</f>
        <v>Plant 2 Canteen</v>
      </c>
      <c r="C3" t="str">
        <f>Orders!F3</f>
        <v>Dinner</v>
      </c>
      <c r="D3" t="str">
        <f>Orders!J3</f>
        <v>Single</v>
      </c>
      <c r="E3" s="24">
        <f>Orders!I3</f>
        <v>101.54549999999999</v>
      </c>
      <c r="F3" s="24">
        <f>SUMIF(OrderLines!$A$2:$A$925,A3,OrderLines!$L$2:$L$925)</f>
        <v>52.41</v>
      </c>
      <c r="G3" s="23">
        <f t="shared" ref="G3:G15" si="0">E3-F3</f>
        <v>49.135499999999993</v>
      </c>
      <c r="H3" s="23">
        <f t="shared" ref="H3:H15" si="1">IFERROR(G3/E3,0)</f>
        <v>0.48387668582064197</v>
      </c>
      <c r="I3" t="str">
        <f>_xlfn.TEXTJOIN(" + ",TRUE,IF(COUNTIFS(OrderLines!$A$2:$A$925,A3,OrderLines!$F$2:$F$925,"Beverage")&gt;0,"Beverage",""),IF(COUNTIFS(OrderLines!$A$2:$A$925,A3,OrderLines!$F$2:$F$925,"Dessert")&gt;0,"Dessert",""),IF(COUNTIFS(OrderLines!$A$2:$A$925,A3,OrderLines!$F$2:$F$925,"Hot Meal")&gt;0,"Hot Meal",""),IF(COUNTIFS(OrderLines!$A$2:$A$925,A3,OrderLines!$F$2:$F$925,"Snack")&gt;0,"Snack",""))</f>
        <v>Beverage + Dessert</v>
      </c>
      <c r="K3" t="s">
        <v>450</v>
      </c>
      <c r="L3">
        <f>COUNTIFS($I$2:$I$361,K3,$B$2:$B$361,IF('Dashboard '!$B$4="All","*",'Dashboard '!$B$4),$C$2:$C$361,IF('Dashboard '!$E$4="All","*",'Dashboard '!$E$4))</f>
        <v>12</v>
      </c>
      <c r="M3">
        <f>RANK(L3,$L$2:$L$16)+COUNTIF($L$2:L3,L3)-1</f>
        <v>14</v>
      </c>
    </row>
    <row r="4" spans="1:13">
      <c r="A4" t="str">
        <f>Orders!A4</f>
        <v>O00003</v>
      </c>
      <c r="B4" t="str">
        <f>Orders!C4</f>
        <v>Head Office Café</v>
      </c>
      <c r="C4" t="str">
        <f>Orders!F4</f>
        <v>Lunch</v>
      </c>
      <c r="D4" t="str">
        <f>Orders!J4</f>
        <v>Combo</v>
      </c>
      <c r="E4" s="24">
        <f>Orders!I4</f>
        <v>668.96</v>
      </c>
      <c r="F4" s="24">
        <f>SUMIF(OrderLines!$A$2:$A$925,A4,OrderLines!$L$2:$L$925)</f>
        <v>291.24</v>
      </c>
      <c r="G4" s="23">
        <f t="shared" si="0"/>
        <v>377.72</v>
      </c>
      <c r="H4" s="23">
        <f t="shared" si="1"/>
        <v>0.56463764649605364</v>
      </c>
      <c r="I4" t="str">
        <f>_xlfn.TEXTJOIN(" + ",TRUE,IF(COUNTIFS(OrderLines!$A$2:$A$925,A4,OrderLines!$F$2:$F$925,"Beverage")&gt;0,"Beverage",""),IF(COUNTIFS(OrderLines!$A$2:$A$925,A4,OrderLines!$F$2:$F$925,"Dessert")&gt;0,"Dessert",""),IF(COUNTIFS(OrderLines!$A$2:$A$925,A4,OrderLines!$F$2:$F$925,"Hot Meal")&gt;0,"Hot Meal",""),IF(COUNTIFS(OrderLines!$A$2:$A$925,A4,OrderLines!$F$2:$F$925,"Snack")&gt;0,"Snack",""))</f>
        <v>Beverage + Hot Meal + Snack</v>
      </c>
      <c r="K4" t="s">
        <v>425</v>
      </c>
      <c r="L4">
        <f>COUNTIFS($I$2:$I$361,K4,$B$2:$B$361,IF('Dashboard '!$B$4="All","*",'Dashboard '!$B$4),$C$2:$C$361,IF('Dashboard '!$E$4="All","*",'Dashboard '!$E$4))</f>
        <v>27</v>
      </c>
      <c r="M4">
        <f>RANK(L4,$L$2:$L$16)+COUNTIF($L$2:L4,L4)-1</f>
        <v>5</v>
      </c>
    </row>
    <row r="5" spans="1:13">
      <c r="A5" t="str">
        <f>Orders!A5</f>
        <v>O00004</v>
      </c>
      <c r="B5" t="str">
        <f>Orders!C5</f>
        <v>Plant 2 Canteen</v>
      </c>
      <c r="C5" t="str">
        <f>Orders!F5</f>
        <v>Breakfast</v>
      </c>
      <c r="D5" t="str">
        <f>Orders!J5</f>
        <v>Single</v>
      </c>
      <c r="E5" s="24">
        <f>Orders!I5</f>
        <v>477.41460000000001</v>
      </c>
      <c r="F5" s="24">
        <f>SUMIF(OrderLines!$A$2:$A$925,A5,OrderLines!$L$2:$L$925)</f>
        <v>224.16</v>
      </c>
      <c r="G5" s="23">
        <f t="shared" si="0"/>
        <v>253.25460000000001</v>
      </c>
      <c r="H5" s="23">
        <f t="shared" si="1"/>
        <v>0.53047099942062936</v>
      </c>
      <c r="I5" t="str">
        <f>_xlfn.TEXTJOIN(" + ",TRUE,IF(COUNTIFS(OrderLines!$A$2:$A$925,A5,OrderLines!$F$2:$F$925,"Beverage")&gt;0,"Beverage",""),IF(COUNTIFS(OrderLines!$A$2:$A$925,A5,OrderLines!$F$2:$F$925,"Dessert")&gt;0,"Dessert",""),IF(COUNTIFS(OrderLines!$A$2:$A$925,A5,OrderLines!$F$2:$F$925,"Hot Meal")&gt;0,"Hot Meal",""),IF(COUNTIFS(OrderLines!$A$2:$A$925,A5,OrderLines!$F$2:$F$925,"Snack")&gt;0,"Snack",""))</f>
        <v>Hot Meal</v>
      </c>
      <c r="K5" t="s">
        <v>436</v>
      </c>
      <c r="L5">
        <f>COUNTIFS($I$2:$I$361,K5,$B$2:$B$361,IF('Dashboard '!$B$4="All","*",'Dashboard '!$B$4),$C$2:$C$361,IF('Dashboard '!$E$4="All","*",'Dashboard '!$E$4))</f>
        <v>29</v>
      </c>
      <c r="M5">
        <f>RANK(L5,$L$2:$L$16)+COUNTIF($L$2:L5,L5)-1</f>
        <v>3</v>
      </c>
    </row>
    <row r="6" spans="1:13">
      <c r="A6" t="str">
        <f>Orders!A6</f>
        <v>O00005</v>
      </c>
      <c r="B6" t="str">
        <f>Orders!C6</f>
        <v>Plant 2 Canteen</v>
      </c>
      <c r="C6" t="str">
        <f>Orders!F6</f>
        <v>Breakfast</v>
      </c>
      <c r="D6" t="str">
        <f>Orders!J6</f>
        <v>Single</v>
      </c>
      <c r="E6" s="24">
        <f>Orders!I6</f>
        <v>95.011200000000002</v>
      </c>
      <c r="F6" s="24">
        <f>SUMIF(OrderLines!$A$2:$A$925,A6,OrderLines!$L$2:$L$925)</f>
        <v>49.7</v>
      </c>
      <c r="G6" s="23">
        <f t="shared" si="0"/>
        <v>45.311199999999999</v>
      </c>
      <c r="H6" s="23">
        <f t="shared" si="1"/>
        <v>0.47690377555488195</v>
      </c>
      <c r="I6" t="str">
        <f>_xlfn.TEXTJOIN(" + ",TRUE,IF(COUNTIFS(OrderLines!$A$2:$A$925,A6,OrderLines!$F$2:$F$925,"Beverage")&gt;0,"Beverage",""),IF(COUNTIFS(OrderLines!$A$2:$A$925,A6,OrderLines!$F$2:$F$925,"Dessert")&gt;0,"Dessert",""),IF(COUNTIFS(OrderLines!$A$2:$A$925,A6,OrderLines!$F$2:$F$925,"Hot Meal")&gt;0,"Hot Meal",""),IF(COUNTIFS(OrderLines!$A$2:$A$925,A6,OrderLines!$F$2:$F$925,"Snack")&gt;0,"Snack",""))</f>
        <v>Beverage + Snack</v>
      </c>
      <c r="K6" t="s">
        <v>578</v>
      </c>
      <c r="L6">
        <f>COUNTIFS($I$2:$I$361,K6,$B$2:$B$361,IF('Dashboard '!$B$4="All","*",'Dashboard '!$B$4),$C$2:$C$361,IF('Dashboard '!$E$4="All","*",'Dashboard '!$E$4))</f>
        <v>23</v>
      </c>
      <c r="M6">
        <f>RANK(L6,$L$2:$L$16)+COUNTIF($L$2:L6,L6)-1</f>
        <v>10</v>
      </c>
    </row>
    <row r="7" spans="1:13">
      <c r="A7" t="str">
        <f>Orders!A7</f>
        <v>O00006</v>
      </c>
      <c r="B7" t="str">
        <f>Orders!C7</f>
        <v>Plant 1 Canteen</v>
      </c>
      <c r="C7" t="str">
        <f>Orders!F7</f>
        <v>Breakfast</v>
      </c>
      <c r="D7" t="str">
        <f>Orders!J7</f>
        <v>Single</v>
      </c>
      <c r="E7" s="24">
        <f>Orders!I7</f>
        <v>54.296999999999997</v>
      </c>
      <c r="F7" s="24">
        <f>SUMIF(OrderLines!$A$2:$A$925,A7,OrderLines!$L$2:$L$925)</f>
        <v>24</v>
      </c>
      <c r="G7" s="23">
        <f t="shared" si="0"/>
        <v>30.296999999999997</v>
      </c>
      <c r="H7" s="23">
        <f t="shared" si="1"/>
        <v>0.5579866290955301</v>
      </c>
      <c r="I7" t="str">
        <f>_xlfn.TEXTJOIN(" + ",TRUE,IF(COUNTIFS(OrderLines!$A$2:$A$925,A7,OrderLines!$F$2:$F$925,"Beverage")&gt;0,"Beverage",""),IF(COUNTIFS(OrderLines!$A$2:$A$925,A7,OrderLines!$F$2:$F$925,"Dessert")&gt;0,"Dessert",""),IF(COUNTIFS(OrderLines!$A$2:$A$925,A7,OrderLines!$F$2:$F$925,"Hot Meal")&gt;0,"Hot Meal",""),IF(COUNTIFS(OrderLines!$A$2:$A$925,A7,OrderLines!$F$2:$F$925,"Snack")&gt;0,"Snack",""))</f>
        <v>Beverage</v>
      </c>
      <c r="K7" t="s">
        <v>579</v>
      </c>
      <c r="L7">
        <f>COUNTIFS($I$2:$I$361,K7,$B$2:$B$361,IF('Dashboard '!$B$4="All","*",'Dashboard '!$B$4),$C$2:$C$361,IF('Dashboard '!$E$4="All","*",'Dashboard '!$E$4))</f>
        <v>25</v>
      </c>
      <c r="M7">
        <f>RANK(L7,$L$2:$L$16)+COUNTIF($L$2:L7,L7)-1</f>
        <v>8</v>
      </c>
    </row>
    <row r="8" spans="1:13">
      <c r="A8" t="str">
        <f>Orders!A8</f>
        <v>O00007</v>
      </c>
      <c r="B8" t="str">
        <f>Orders!C8</f>
        <v>Plant 2 Canteen</v>
      </c>
      <c r="C8" t="str">
        <f>Orders!F8</f>
        <v>Dinner</v>
      </c>
      <c r="D8" t="str">
        <f>Orders!J8</f>
        <v>Combo</v>
      </c>
      <c r="E8" s="24">
        <f>Orders!I8</f>
        <v>348.41520000000003</v>
      </c>
      <c r="F8" s="24">
        <f>SUMIF(OrderLines!$A$2:$A$925,A8,OrderLines!$L$2:$L$925)</f>
        <v>159.97999999999999</v>
      </c>
      <c r="G8" s="23">
        <f t="shared" si="0"/>
        <v>188.43520000000004</v>
      </c>
      <c r="H8" s="23">
        <f t="shared" si="1"/>
        <v>0.54083518744302783</v>
      </c>
      <c r="I8" t="str">
        <f>_xlfn.TEXTJOIN(" + ",TRUE,IF(COUNTIFS(OrderLines!$A$2:$A$925,A8,OrderLines!$F$2:$F$925,"Beverage")&gt;0,"Beverage",""),IF(COUNTIFS(OrderLines!$A$2:$A$925,A8,OrderLines!$F$2:$F$925,"Dessert")&gt;0,"Dessert",""),IF(COUNTIFS(OrderLines!$A$2:$A$925,A8,OrderLines!$F$2:$F$925,"Hot Meal")&gt;0,"Hot Meal",""),IF(COUNTIFS(OrderLines!$A$2:$A$925,A8,OrderLines!$F$2:$F$925,"Snack")&gt;0,"Snack",""))</f>
        <v>Beverage + Hot Meal</v>
      </c>
      <c r="K8" t="s">
        <v>580</v>
      </c>
      <c r="L8">
        <f>COUNTIFS($I$2:$I$361,K8,$B$2:$B$361,IF('Dashboard '!$B$4="All","*",'Dashboard '!$B$4),$C$2:$C$361,IF('Dashboard '!$E$4="All","*",'Dashboard '!$E$4))</f>
        <v>31</v>
      </c>
      <c r="M8">
        <f>RANK(L8,$L$2:$L$16)+COUNTIF($L$2:L8,L8)-1</f>
        <v>2</v>
      </c>
    </row>
    <row r="9" spans="1:13">
      <c r="A9" t="str">
        <f>Orders!A9</f>
        <v>O00008</v>
      </c>
      <c r="B9" t="str">
        <f>Orders!C9</f>
        <v>Plant 1 Canteen</v>
      </c>
      <c r="C9" t="str">
        <f>Orders!F9</f>
        <v>Lunch</v>
      </c>
      <c r="D9" t="str">
        <f>Orders!J9</f>
        <v>Single</v>
      </c>
      <c r="E9" s="24">
        <f>Orders!I9</f>
        <v>223.75</v>
      </c>
      <c r="F9" s="24">
        <f>SUMIF(OrderLines!$A$2:$A$925,A9,OrderLines!$L$2:$L$925)</f>
        <v>110.97999999999999</v>
      </c>
      <c r="G9" s="23">
        <f t="shared" si="0"/>
        <v>112.77000000000001</v>
      </c>
      <c r="H9" s="23">
        <f t="shared" si="1"/>
        <v>0.504</v>
      </c>
      <c r="I9" t="str">
        <f>_xlfn.TEXTJOIN(" + ",TRUE,IF(COUNTIFS(OrderLines!$A$2:$A$925,A9,OrderLines!$F$2:$F$925,"Beverage")&gt;0,"Beverage",""),IF(COUNTIFS(OrderLines!$A$2:$A$925,A9,OrderLines!$F$2:$F$925,"Dessert")&gt;0,"Dessert",""),IF(COUNTIFS(OrderLines!$A$2:$A$925,A9,OrderLines!$F$2:$F$925,"Hot Meal")&gt;0,"Hot Meal",""),IF(COUNTIFS(OrderLines!$A$2:$A$925,A9,OrderLines!$F$2:$F$925,"Snack")&gt;0,"Snack",""))</f>
        <v>Beverage + Dessert</v>
      </c>
      <c r="K9" t="s">
        <v>581</v>
      </c>
      <c r="L9">
        <f>COUNTIFS($I$2:$I$361,K9,$B$2:$B$361,IF('Dashboard '!$B$4="All","*",'Dashboard '!$B$4),$C$2:$C$361,IF('Dashboard '!$E$4="All","*",'Dashboard '!$E$4))</f>
        <v>27</v>
      </c>
      <c r="M9">
        <f>RANK(L9,$L$2:$L$16)+COUNTIF($L$2:L9,L9)-1</f>
        <v>6</v>
      </c>
    </row>
    <row r="10" spans="1:13">
      <c r="A10" t="str">
        <f>Orders!A10</f>
        <v>O00009</v>
      </c>
      <c r="B10" t="str">
        <f>Orders!C10</f>
        <v>Head Office Café</v>
      </c>
      <c r="C10" t="str">
        <f>Orders!F10</f>
        <v>Breakfast</v>
      </c>
      <c r="D10" t="str">
        <f>Orders!J10</f>
        <v>Single</v>
      </c>
      <c r="E10" s="24">
        <f>Orders!I10</f>
        <v>459.28980000000001</v>
      </c>
      <c r="F10" s="24">
        <f>SUMIF(OrderLines!$A$2:$A$925,A10,OrderLines!$L$2:$L$925)</f>
        <v>225.97</v>
      </c>
      <c r="G10" s="23">
        <f t="shared" si="0"/>
        <v>233.31980000000001</v>
      </c>
      <c r="H10" s="23">
        <f t="shared" si="1"/>
        <v>0.50800126630288767</v>
      </c>
      <c r="I10" t="str">
        <f>_xlfn.TEXTJOIN(" + ",TRUE,IF(COUNTIFS(OrderLines!$A$2:$A$925,A10,OrderLines!$F$2:$F$925,"Beverage")&gt;0,"Beverage",""),IF(COUNTIFS(OrderLines!$A$2:$A$925,A10,OrderLines!$F$2:$F$925,"Dessert")&gt;0,"Dessert",""),IF(COUNTIFS(OrderLines!$A$2:$A$925,A10,OrderLines!$F$2:$F$925,"Hot Meal")&gt;0,"Hot Meal",""),IF(COUNTIFS(OrderLines!$A$2:$A$925,A10,OrderLines!$F$2:$F$925,"Snack")&gt;0,"Snack",""))</f>
        <v>Dessert + Hot Meal + Snack</v>
      </c>
      <c r="K10" t="s">
        <v>582</v>
      </c>
      <c r="L10">
        <f>COUNTIFS($I$2:$I$361,K10,$B$2:$B$361,IF('Dashboard '!$B$4="All","*",'Dashboard '!$B$4),$C$2:$C$361,IF('Dashboard '!$E$4="All","*",'Dashboard '!$E$4))</f>
        <v>18</v>
      </c>
      <c r="M10">
        <f>RANK(L10,$L$2:$L$16)+COUNTIF($L$2:L10,L10)-1</f>
        <v>13</v>
      </c>
    </row>
    <row r="11" spans="1:13">
      <c r="A11" t="str">
        <f>Orders!A11</f>
        <v>O00010</v>
      </c>
      <c r="B11" t="str">
        <f>Orders!C11</f>
        <v>Plant 1 Canteen</v>
      </c>
      <c r="C11" t="str">
        <f>Orders!F11</f>
        <v>Breakfast</v>
      </c>
      <c r="D11" t="str">
        <f>Orders!J11</f>
        <v>Combo</v>
      </c>
      <c r="E11" s="24">
        <f>Orders!I11</f>
        <v>420.07679999999999</v>
      </c>
      <c r="F11" s="24">
        <f>SUMIF(OrderLines!$A$2:$A$925,A11,OrderLines!$L$2:$L$925)</f>
        <v>204.88</v>
      </c>
      <c r="G11" s="23">
        <f t="shared" si="0"/>
        <v>215.1968</v>
      </c>
      <c r="H11" s="23">
        <f t="shared" si="1"/>
        <v>0.51227965933848285</v>
      </c>
      <c r="I11" t="str">
        <f>_xlfn.TEXTJOIN(" + ",TRUE,IF(COUNTIFS(OrderLines!$A$2:$A$925,A11,OrderLines!$F$2:$F$925,"Beverage")&gt;0,"Beverage",""),IF(COUNTIFS(OrderLines!$A$2:$A$925,A11,OrderLines!$F$2:$F$925,"Dessert")&gt;0,"Dessert",""),IF(COUNTIFS(OrderLines!$A$2:$A$925,A11,OrderLines!$F$2:$F$925,"Hot Meal")&gt;0,"Hot Meal",""),IF(COUNTIFS(OrderLines!$A$2:$A$925,A11,OrderLines!$F$2:$F$925,"Snack")&gt;0,"Snack",""))</f>
        <v>Beverage + Dessert + Hot Meal + Snack</v>
      </c>
      <c r="K11" t="s">
        <v>583</v>
      </c>
      <c r="L11">
        <f>COUNTIFS($I$2:$I$361,K11,$B$2:$B$361,IF('Dashboard '!$B$4="All","*",'Dashboard '!$B$4),$C$2:$C$361,IF('Dashboard '!$E$4="All","*",'Dashboard '!$E$4))</f>
        <v>28</v>
      </c>
      <c r="M11">
        <f>RANK(L11,$L$2:$L$16)+COUNTIF($L$2:L11,L11)-1</f>
        <v>4</v>
      </c>
    </row>
    <row r="12" spans="1:13">
      <c r="A12" t="str">
        <f>Orders!A12</f>
        <v>O00011</v>
      </c>
      <c r="B12" t="str">
        <f>Orders!C12</f>
        <v>Plant 2 Canteen</v>
      </c>
      <c r="C12" t="str">
        <f>Orders!F12</f>
        <v>Breakfast</v>
      </c>
      <c r="D12" t="str">
        <f>Orders!J12</f>
        <v>Single</v>
      </c>
      <c r="E12" s="24">
        <f>Orders!I12</f>
        <v>27.577099999999998</v>
      </c>
      <c r="F12" s="24">
        <f>SUMIF(OrderLines!$A$2:$A$925,A12,OrderLines!$L$2:$L$925)</f>
        <v>13.89</v>
      </c>
      <c r="G12" s="23">
        <f t="shared" si="0"/>
        <v>13.687099999999997</v>
      </c>
      <c r="H12" s="23">
        <f t="shared" si="1"/>
        <v>0.49632122304375725</v>
      </c>
      <c r="I12" t="str">
        <f>_xlfn.TEXTJOIN(" + ",TRUE,IF(COUNTIFS(OrderLines!$A$2:$A$925,A12,OrderLines!$F$2:$F$925,"Beverage")&gt;0,"Beverage",""),IF(COUNTIFS(OrderLines!$A$2:$A$925,A12,OrderLines!$F$2:$F$925,"Dessert")&gt;0,"Dessert",""),IF(COUNTIFS(OrderLines!$A$2:$A$925,A12,OrderLines!$F$2:$F$925,"Hot Meal")&gt;0,"Hot Meal",""),IF(COUNTIFS(OrderLines!$A$2:$A$925,A12,OrderLines!$F$2:$F$925,"Snack")&gt;0,"Snack",""))</f>
        <v>Beverage</v>
      </c>
      <c r="K12" t="s">
        <v>584</v>
      </c>
      <c r="L12">
        <f>COUNTIFS($I$2:$I$361,K12,$B$2:$B$361,IF('Dashboard '!$B$4="All","*",'Dashboard '!$B$4),$C$2:$C$361,IF('Dashboard '!$E$4="All","*",'Dashboard '!$E$4))</f>
        <v>27</v>
      </c>
      <c r="M12">
        <f>RANK(L12,$L$2:$L$16)+COUNTIF($L$2:L12,L12)-1</f>
        <v>7</v>
      </c>
    </row>
    <row r="13" spans="1:13">
      <c r="A13" t="str">
        <f>Orders!A13</f>
        <v>O00012</v>
      </c>
      <c r="B13" t="str">
        <f>Orders!C13</f>
        <v>Plant 2 Canteen</v>
      </c>
      <c r="C13" t="str">
        <f>Orders!F13</f>
        <v>Lunch</v>
      </c>
      <c r="D13" t="str">
        <f>Orders!J13</f>
        <v>Single</v>
      </c>
      <c r="E13" s="24">
        <f>Orders!I13</f>
        <v>98.118000000000009</v>
      </c>
      <c r="F13" s="24">
        <f>SUMIF(OrderLines!$A$2:$A$925,A13,OrderLines!$L$2:$L$925)</f>
        <v>47.75</v>
      </c>
      <c r="G13" s="23">
        <f t="shared" si="0"/>
        <v>50.368000000000009</v>
      </c>
      <c r="H13" s="23">
        <f t="shared" si="1"/>
        <v>0.5133410791088282</v>
      </c>
      <c r="I13" t="str">
        <f>_xlfn.TEXTJOIN(" + ",TRUE,IF(COUNTIFS(OrderLines!$A$2:$A$925,A13,OrderLines!$F$2:$F$925,"Beverage")&gt;0,"Beverage",""),IF(COUNTIFS(OrderLines!$A$2:$A$925,A13,OrderLines!$F$2:$F$925,"Dessert")&gt;0,"Dessert",""),IF(COUNTIFS(OrderLines!$A$2:$A$925,A13,OrderLines!$F$2:$F$925,"Hot Meal")&gt;0,"Hot Meal",""),IF(COUNTIFS(OrderLines!$A$2:$A$925,A13,OrderLines!$F$2:$F$925,"Snack")&gt;0,"Snack",""))</f>
        <v>Dessert + Snack</v>
      </c>
      <c r="K13" t="s">
        <v>585</v>
      </c>
      <c r="L13">
        <f>COUNTIFS($I$2:$I$361,K13,$B$2:$B$361,IF('Dashboard '!$B$4="All","*",'Dashboard '!$B$4),$C$2:$C$361,IF('Dashboard '!$E$4="All","*",'Dashboard '!$E$4))</f>
        <v>22</v>
      </c>
      <c r="M13">
        <f>RANK(L13,$L$2:$L$16)+COUNTIF($L$2:L13,L13)-1</f>
        <v>12</v>
      </c>
    </row>
    <row r="14" spans="1:13">
      <c r="A14" t="str">
        <f>Orders!A14</f>
        <v>O00013</v>
      </c>
      <c r="B14" t="str">
        <f>Orders!C14</f>
        <v>Head Office Café</v>
      </c>
      <c r="C14" t="str">
        <f>Orders!F14</f>
        <v>Breakfast</v>
      </c>
      <c r="D14" t="str">
        <f>Orders!J14</f>
        <v>Combo</v>
      </c>
      <c r="E14" s="24">
        <f>Orders!I14</f>
        <v>807.87599999999998</v>
      </c>
      <c r="F14" s="24">
        <f>SUMIF(OrderLines!$A$2:$A$925,A14,OrderLines!$L$2:$L$925)</f>
        <v>411.20000000000005</v>
      </c>
      <c r="G14" s="23">
        <f t="shared" si="0"/>
        <v>396.67599999999993</v>
      </c>
      <c r="H14" s="23">
        <f t="shared" si="1"/>
        <v>0.49101099673712295</v>
      </c>
      <c r="I14" t="str">
        <f>_xlfn.TEXTJOIN(" + ",TRUE,IF(COUNTIFS(OrderLines!$A$2:$A$925,A14,OrderLines!$F$2:$F$925,"Beverage")&gt;0,"Beverage",""),IF(COUNTIFS(OrderLines!$A$2:$A$925,A14,OrderLines!$F$2:$F$925,"Dessert")&gt;0,"Dessert",""),IF(COUNTIFS(OrderLines!$A$2:$A$925,A14,OrderLines!$F$2:$F$925,"Hot Meal")&gt;0,"Hot Meal",""),IF(COUNTIFS(OrderLines!$A$2:$A$925,A14,OrderLines!$F$2:$F$925,"Snack")&gt;0,"Snack",""))</f>
        <v>Beverage + Dessert + Hot Meal</v>
      </c>
      <c r="K14" t="s">
        <v>586</v>
      </c>
      <c r="L14">
        <f>COUNTIFS($I$2:$I$361,K14,$B$2:$B$361,IF('Dashboard '!$B$4="All","*",'Dashboard '!$B$4),$C$2:$C$361,IF('Dashboard '!$E$4="All","*",'Dashboard '!$E$4))</f>
        <v>25</v>
      </c>
      <c r="M14">
        <f>RANK(L14,$L$2:$L$16)+COUNTIF($L$2:L14,L14)-1</f>
        <v>9</v>
      </c>
    </row>
    <row r="15" spans="1:13">
      <c r="A15" t="str">
        <f>Orders!A15</f>
        <v>O00014</v>
      </c>
      <c r="B15" t="str">
        <f>Orders!C15</f>
        <v>Plant 1 Canteen</v>
      </c>
      <c r="C15" t="str">
        <f>Orders!F15</f>
        <v>Breakfast</v>
      </c>
      <c r="D15" t="str">
        <f>Orders!J15</f>
        <v>Single</v>
      </c>
      <c r="E15" s="24">
        <f>Orders!I15</f>
        <v>181.47599999999997</v>
      </c>
      <c r="F15" s="24">
        <f>SUMIF(OrderLines!$A$2:$A$925,A15,OrderLines!$L$2:$L$925)</f>
        <v>98.35</v>
      </c>
      <c r="G15" s="23">
        <f t="shared" si="0"/>
        <v>83.125999999999976</v>
      </c>
      <c r="H15" s="23">
        <f t="shared" si="1"/>
        <v>0.45805505962220894</v>
      </c>
      <c r="I15" t="str">
        <f>_xlfn.TEXTJOIN(" + ",TRUE,IF(COUNTIFS(OrderLines!$A$2:$A$925,A15,OrderLines!$F$2:$F$925,"Beverage")&gt;0,"Beverage",""),IF(COUNTIFS(OrderLines!$A$2:$A$925,A15,OrderLines!$F$2:$F$925,"Dessert")&gt;0,"Dessert",""),IF(COUNTIFS(OrderLines!$A$2:$A$925,A15,OrderLines!$F$2:$F$925,"Hot Meal")&gt;0,"Hot Meal",""),IF(COUNTIFS(OrderLines!$A$2:$A$925,A15,OrderLines!$F$2:$F$925,"Snack")&gt;0,"Snack",""))</f>
        <v>Beverage + Dessert</v>
      </c>
      <c r="K15" t="s">
        <v>587</v>
      </c>
      <c r="L15">
        <f>COUNTIFS($I$2:$I$361,K15,$B$2:$B$361,IF('Dashboard '!$B$4="All","*",'Dashboard '!$B$4),$C$2:$C$361,IF('Dashboard '!$E$4="All","*",'Dashboard '!$E$4))</f>
        <v>23</v>
      </c>
      <c r="M15">
        <f>RANK(L15,$L$2:$L$16)+COUNTIF($L$2:L15,L15)-1</f>
        <v>11</v>
      </c>
    </row>
    <row r="16" spans="1:13">
      <c r="A16" t="str">
        <f>Orders!A16</f>
        <v>O00015</v>
      </c>
      <c r="B16" t="str">
        <f>Orders!C16</f>
        <v>Head Office Café</v>
      </c>
      <c r="C16" t="str">
        <f>Orders!F16</f>
        <v>Lunch</v>
      </c>
      <c r="D16" t="str">
        <f>Orders!J16</f>
        <v>Combo</v>
      </c>
      <c r="E16" s="24">
        <f>Orders!I16</f>
        <v>410.18389999999999</v>
      </c>
      <c r="F16" s="24">
        <f>SUMIF(OrderLines!$A$2:$A$925,A16,OrderLines!$L$2:$L$925)</f>
        <v>186.04999999999998</v>
      </c>
      <c r="G16" s="23">
        <f t="shared" ref="G16:G79" si="2">E16-F16</f>
        <v>224.13390000000001</v>
      </c>
      <c r="H16" s="23">
        <f t="shared" ref="H16:H79" si="3">IFERROR(G16/E16,0)</f>
        <v>0.54642295809269947</v>
      </c>
      <c r="I16" t="str">
        <f>_xlfn.TEXTJOIN(" + ",TRUE,IF(COUNTIFS(OrderLines!$A$2:$A$925,A16,OrderLines!$F$2:$F$925,"Beverage")&gt;0,"Beverage",""),IF(COUNTIFS(OrderLines!$A$2:$A$925,A16,OrderLines!$F$2:$F$925,"Dessert")&gt;0,"Dessert",""),IF(COUNTIFS(OrderLines!$A$2:$A$925,A16,OrderLines!$F$2:$F$925,"Hot Meal")&gt;0,"Hot Meal",""),IF(COUNTIFS(OrderLines!$A$2:$A$925,A16,OrderLines!$F$2:$F$925,"Snack")&gt;0,"Snack",""))</f>
        <v>Beverage + Dessert + Hot Meal</v>
      </c>
      <c r="K16" t="s">
        <v>588</v>
      </c>
      <c r="L16">
        <f>COUNTIFS($I$2:$I$361,K16,$B$2:$B$361,IF('Dashboard '!$B$4="All","*",'Dashboard '!$B$4),$C$2:$C$361,IF('Dashboard '!$E$4="All","*",'Dashboard '!$E$4))</f>
        <v>9</v>
      </c>
      <c r="M16">
        <f>RANK(L16,$L$2:$L$16)+COUNTIF($L$2:L16,L16)-1</f>
        <v>15</v>
      </c>
    </row>
    <row r="17" spans="1:9">
      <c r="A17" t="str">
        <f>Orders!A17</f>
        <v>O00016</v>
      </c>
      <c r="B17" t="str">
        <f>Orders!C17</f>
        <v>Plant 1 Canteen</v>
      </c>
      <c r="C17" t="str">
        <f>Orders!F17</f>
        <v>Dinner</v>
      </c>
      <c r="D17" t="str">
        <f>Orders!J17</f>
        <v>Single</v>
      </c>
      <c r="E17" s="24">
        <f>Orders!I17</f>
        <v>486.94150000000002</v>
      </c>
      <c r="F17" s="24">
        <f>SUMIF(OrderLines!$A$2:$A$925,A17,OrderLines!$L$2:$L$925)</f>
        <v>238.57000000000002</v>
      </c>
      <c r="G17" s="23">
        <f t="shared" si="2"/>
        <v>248.3715</v>
      </c>
      <c r="H17" s="23">
        <f t="shared" si="3"/>
        <v>0.51006435064581679</v>
      </c>
      <c r="I17" t="str">
        <f>_xlfn.TEXTJOIN(" + ",TRUE,IF(COUNTIFS(OrderLines!$A$2:$A$925,A17,OrderLines!$F$2:$F$925,"Beverage")&gt;0,"Beverage",""),IF(COUNTIFS(OrderLines!$A$2:$A$925,A17,OrderLines!$F$2:$F$925,"Dessert")&gt;0,"Dessert",""),IF(COUNTIFS(OrderLines!$A$2:$A$925,A17,OrderLines!$F$2:$F$925,"Hot Meal")&gt;0,"Hot Meal",""),IF(COUNTIFS(OrderLines!$A$2:$A$925,A17,OrderLines!$F$2:$F$925,"Snack")&gt;0,"Snack",""))</f>
        <v>Dessert + Hot Meal + Snack</v>
      </c>
    </row>
    <row r="18" spans="1:9">
      <c r="A18" t="str">
        <f>Orders!A18</f>
        <v>O00017</v>
      </c>
      <c r="B18" t="str">
        <f>Orders!C18</f>
        <v>Plant 1 Canteen</v>
      </c>
      <c r="C18" t="str">
        <f>Orders!F18</f>
        <v>Dinner</v>
      </c>
      <c r="D18" t="str">
        <f>Orders!J18</f>
        <v>Single</v>
      </c>
      <c r="E18" s="24">
        <f>Orders!I18</f>
        <v>30.671399999999995</v>
      </c>
      <c r="F18" s="24">
        <f>SUMIF(OrderLines!$A$2:$A$925,A18,OrderLines!$L$2:$L$925)</f>
        <v>11.84</v>
      </c>
      <c r="G18" s="23">
        <f t="shared" si="2"/>
        <v>18.831399999999995</v>
      </c>
      <c r="H18" s="23">
        <f t="shared" si="3"/>
        <v>0.61397262596425328</v>
      </c>
      <c r="I18" t="str">
        <f>_xlfn.TEXTJOIN(" + ",TRUE,IF(COUNTIFS(OrderLines!$A$2:$A$925,A18,OrderLines!$F$2:$F$925,"Beverage")&gt;0,"Beverage",""),IF(COUNTIFS(OrderLines!$A$2:$A$925,A18,OrderLines!$F$2:$F$925,"Dessert")&gt;0,"Dessert",""),IF(COUNTIFS(OrderLines!$A$2:$A$925,A18,OrderLines!$F$2:$F$925,"Hot Meal")&gt;0,"Hot Meal",""),IF(COUNTIFS(OrderLines!$A$2:$A$925,A18,OrderLines!$F$2:$F$925,"Snack")&gt;0,"Snack",""))</f>
        <v>Beverage</v>
      </c>
    </row>
    <row r="19" spans="1:9">
      <c r="A19" t="str">
        <f>Orders!A19</f>
        <v>O00018</v>
      </c>
      <c r="B19" t="str">
        <f>Orders!C19</f>
        <v>Plant 1 Canteen</v>
      </c>
      <c r="C19" t="str">
        <f>Orders!F19</f>
        <v>Breakfast</v>
      </c>
      <c r="D19" t="str">
        <f>Orders!J19</f>
        <v>Single</v>
      </c>
      <c r="E19" s="24">
        <f>Orders!I19</f>
        <v>164.48400000000001</v>
      </c>
      <c r="F19" s="24">
        <f>SUMIF(OrderLines!$A$2:$A$925,A19,OrderLines!$L$2:$L$925)</f>
        <v>72.650000000000006</v>
      </c>
      <c r="G19" s="23">
        <f t="shared" si="2"/>
        <v>91.834000000000003</v>
      </c>
      <c r="H19" s="23">
        <f t="shared" si="3"/>
        <v>0.55831570243914297</v>
      </c>
      <c r="I19" t="str">
        <f>_xlfn.TEXTJOIN(" + ",TRUE,IF(COUNTIFS(OrderLines!$A$2:$A$925,A19,OrderLines!$F$2:$F$925,"Beverage")&gt;0,"Beverage",""),IF(COUNTIFS(OrderLines!$A$2:$A$925,A19,OrderLines!$F$2:$F$925,"Dessert")&gt;0,"Dessert",""),IF(COUNTIFS(OrderLines!$A$2:$A$925,A19,OrderLines!$F$2:$F$925,"Hot Meal")&gt;0,"Hot Meal",""),IF(COUNTIFS(OrderLines!$A$2:$A$925,A19,OrderLines!$F$2:$F$925,"Snack")&gt;0,"Snack",""))</f>
        <v>Beverage + Dessert</v>
      </c>
    </row>
    <row r="20" spans="1:9">
      <c r="A20" t="str">
        <f>Orders!A20</f>
        <v>O00019</v>
      </c>
      <c r="B20" t="str">
        <f>Orders!C20</f>
        <v>Plant 1 Canteen</v>
      </c>
      <c r="C20" t="str">
        <f>Orders!F20</f>
        <v>Breakfast</v>
      </c>
      <c r="D20" t="str">
        <f>Orders!J20</f>
        <v>Single</v>
      </c>
      <c r="E20" s="24">
        <f>Orders!I20</f>
        <v>701.52960000000007</v>
      </c>
      <c r="F20" s="24">
        <f>SUMIF(OrderLines!$A$2:$A$925,A20,OrderLines!$L$2:$L$925)</f>
        <v>359.21</v>
      </c>
      <c r="G20" s="23">
        <f t="shared" si="2"/>
        <v>342.31960000000009</v>
      </c>
      <c r="H20" s="23">
        <f t="shared" si="3"/>
        <v>0.48796173390260378</v>
      </c>
      <c r="I20" t="str">
        <f>_xlfn.TEXTJOIN(" + ",TRUE,IF(COUNTIFS(OrderLines!$A$2:$A$925,A20,OrderLines!$F$2:$F$925,"Beverage")&gt;0,"Beverage",""),IF(COUNTIFS(OrderLines!$A$2:$A$925,A20,OrderLines!$F$2:$F$925,"Dessert")&gt;0,"Dessert",""),IF(COUNTIFS(OrderLines!$A$2:$A$925,A20,OrderLines!$F$2:$F$925,"Hot Meal")&gt;0,"Hot Meal",""),IF(COUNTIFS(OrderLines!$A$2:$A$925,A20,OrderLines!$F$2:$F$925,"Snack")&gt;0,"Snack",""))</f>
        <v>Hot Meal + Snack</v>
      </c>
    </row>
    <row r="21" spans="1:9">
      <c r="A21" t="str">
        <f>Orders!A21</f>
        <v>O00020</v>
      </c>
      <c r="B21" t="str">
        <f>Orders!C21</f>
        <v>Plant 2 Canteen</v>
      </c>
      <c r="C21" t="str">
        <f>Orders!F21</f>
        <v>Breakfast</v>
      </c>
      <c r="D21" t="str">
        <f>Orders!J21</f>
        <v>Combo</v>
      </c>
      <c r="E21" s="24">
        <f>Orders!I21</f>
        <v>474.75300000000004</v>
      </c>
      <c r="F21" s="24">
        <f>SUMIF(OrderLines!$A$2:$A$925,A21,OrderLines!$L$2:$L$925)</f>
        <v>212.14</v>
      </c>
      <c r="G21" s="23">
        <f t="shared" si="2"/>
        <v>262.61300000000006</v>
      </c>
      <c r="H21" s="23">
        <f t="shared" si="3"/>
        <v>0.55315711538421042</v>
      </c>
      <c r="I21" t="str">
        <f>_xlfn.TEXTJOIN(" + ",TRUE,IF(COUNTIFS(OrderLines!$A$2:$A$925,A21,OrderLines!$F$2:$F$925,"Beverage")&gt;0,"Beverage",""),IF(COUNTIFS(OrderLines!$A$2:$A$925,A21,OrderLines!$F$2:$F$925,"Dessert")&gt;0,"Dessert",""),IF(COUNTIFS(OrderLines!$A$2:$A$925,A21,OrderLines!$F$2:$F$925,"Hot Meal")&gt;0,"Hot Meal",""),IF(COUNTIFS(OrderLines!$A$2:$A$925,A21,OrderLines!$F$2:$F$925,"Snack")&gt;0,"Snack",""))</f>
        <v>Beverage + Dessert + Hot Meal</v>
      </c>
    </row>
    <row r="22" spans="1:9">
      <c r="A22" t="str">
        <f>Orders!A22</f>
        <v>O00021</v>
      </c>
      <c r="B22" t="str">
        <f>Orders!C22</f>
        <v>Plant 2 Canteen</v>
      </c>
      <c r="C22" t="str">
        <f>Orders!F22</f>
        <v>Dinner</v>
      </c>
      <c r="D22" t="str">
        <f>Orders!J22</f>
        <v>Single</v>
      </c>
      <c r="E22" s="24">
        <f>Orders!I22</f>
        <v>291.72640000000001</v>
      </c>
      <c r="F22" s="24">
        <f>SUMIF(OrderLines!$A$2:$A$925,A22,OrderLines!$L$2:$L$925)</f>
        <v>138.13</v>
      </c>
      <c r="G22" s="23">
        <f t="shared" si="2"/>
        <v>153.59640000000002</v>
      </c>
      <c r="H22" s="23">
        <f t="shared" si="3"/>
        <v>0.52650839965118001</v>
      </c>
      <c r="I22" t="str">
        <f>_xlfn.TEXTJOIN(" + ",TRUE,IF(COUNTIFS(OrderLines!$A$2:$A$925,A22,OrderLines!$F$2:$F$925,"Beverage")&gt;0,"Beverage",""),IF(COUNTIFS(OrderLines!$A$2:$A$925,A22,OrderLines!$F$2:$F$925,"Dessert")&gt;0,"Dessert",""),IF(COUNTIFS(OrderLines!$A$2:$A$925,A22,OrderLines!$F$2:$F$925,"Hot Meal")&gt;0,"Hot Meal",""),IF(COUNTIFS(OrderLines!$A$2:$A$925,A22,OrderLines!$F$2:$F$925,"Snack")&gt;0,"Snack",""))</f>
        <v>Snack</v>
      </c>
    </row>
    <row r="23" spans="1:9">
      <c r="A23" t="str">
        <f>Orders!A23</f>
        <v>O00022</v>
      </c>
      <c r="B23" t="str">
        <f>Orders!C23</f>
        <v>Plant 2 Canteen</v>
      </c>
      <c r="C23" t="str">
        <f>Orders!F23</f>
        <v>Breakfast</v>
      </c>
      <c r="D23" t="str">
        <f>Orders!J23</f>
        <v>Combo</v>
      </c>
      <c r="E23" s="24">
        <f>Orders!I23</f>
        <v>364.2903</v>
      </c>
      <c r="F23" s="24">
        <f>SUMIF(OrderLines!$A$2:$A$925,A23,OrderLines!$L$2:$L$925)</f>
        <v>170.97</v>
      </c>
      <c r="G23" s="23">
        <f t="shared" si="2"/>
        <v>193.3203</v>
      </c>
      <c r="H23" s="23">
        <f t="shared" si="3"/>
        <v>0.53067649618998913</v>
      </c>
      <c r="I23" t="str">
        <f>_xlfn.TEXTJOIN(" + ",TRUE,IF(COUNTIFS(OrderLines!$A$2:$A$925,A23,OrderLines!$F$2:$F$925,"Beverage")&gt;0,"Beverage",""),IF(COUNTIFS(OrderLines!$A$2:$A$925,A23,OrderLines!$F$2:$F$925,"Dessert")&gt;0,"Dessert",""),IF(COUNTIFS(OrderLines!$A$2:$A$925,A23,OrderLines!$F$2:$F$925,"Hot Meal")&gt;0,"Hot Meal",""),IF(COUNTIFS(OrderLines!$A$2:$A$925,A23,OrderLines!$F$2:$F$925,"Snack")&gt;0,"Snack",""))</f>
        <v>Beverage + Dessert + Hot Meal</v>
      </c>
    </row>
    <row r="24" spans="1:9">
      <c r="A24" t="str">
        <f>Orders!A24</f>
        <v>O00023</v>
      </c>
      <c r="B24" t="str">
        <f>Orders!C24</f>
        <v>Plant 2 Canteen</v>
      </c>
      <c r="C24" t="str">
        <f>Orders!F24</f>
        <v>Lunch</v>
      </c>
      <c r="D24" t="str">
        <f>Orders!J24</f>
        <v>Combo</v>
      </c>
      <c r="E24" s="24">
        <f>Orders!I24</f>
        <v>242.24200000000002</v>
      </c>
      <c r="F24" s="24">
        <f>SUMIF(OrderLines!$A$2:$A$925,A24,OrderLines!$L$2:$L$925)</f>
        <v>120.08</v>
      </c>
      <c r="G24" s="23">
        <f t="shared" si="2"/>
        <v>122.16200000000002</v>
      </c>
      <c r="H24" s="23">
        <f t="shared" si="3"/>
        <v>0.50429735553702504</v>
      </c>
      <c r="I24" t="str">
        <f>_xlfn.TEXTJOIN(" + ",TRUE,IF(COUNTIFS(OrderLines!$A$2:$A$925,A24,OrderLines!$F$2:$F$925,"Beverage")&gt;0,"Beverage",""),IF(COUNTIFS(OrderLines!$A$2:$A$925,A24,OrderLines!$F$2:$F$925,"Dessert")&gt;0,"Dessert",""),IF(COUNTIFS(OrderLines!$A$2:$A$925,A24,OrderLines!$F$2:$F$925,"Hot Meal")&gt;0,"Hot Meal",""),IF(COUNTIFS(OrderLines!$A$2:$A$925,A24,OrderLines!$F$2:$F$925,"Snack")&gt;0,"Snack",""))</f>
        <v>Beverage + Hot Meal</v>
      </c>
    </row>
    <row r="25" spans="1:9">
      <c r="A25" t="str">
        <f>Orders!A25</f>
        <v>O00024</v>
      </c>
      <c r="B25" t="str">
        <f>Orders!C25</f>
        <v>Plant 1 Canteen</v>
      </c>
      <c r="C25" t="str">
        <f>Orders!F25</f>
        <v>Dinner</v>
      </c>
      <c r="D25" t="str">
        <f>Orders!J25</f>
        <v>Single</v>
      </c>
      <c r="E25" s="24">
        <f>Orders!I25</f>
        <v>390.88800000000003</v>
      </c>
      <c r="F25" s="24">
        <f>SUMIF(OrderLines!$A$2:$A$925,A25,OrderLines!$L$2:$L$925)</f>
        <v>242.76</v>
      </c>
      <c r="G25" s="23">
        <f t="shared" si="2"/>
        <v>148.12800000000004</v>
      </c>
      <c r="H25" s="23">
        <f t="shared" si="3"/>
        <v>0.37895253883465346</v>
      </c>
      <c r="I25" t="str">
        <f>_xlfn.TEXTJOIN(" + ",TRUE,IF(COUNTIFS(OrderLines!$A$2:$A$925,A25,OrderLines!$F$2:$F$925,"Beverage")&gt;0,"Beverage",""),IF(COUNTIFS(OrderLines!$A$2:$A$925,A25,OrderLines!$F$2:$F$925,"Dessert")&gt;0,"Dessert",""),IF(COUNTIFS(OrderLines!$A$2:$A$925,A25,OrderLines!$F$2:$F$925,"Hot Meal")&gt;0,"Hot Meal",""),IF(COUNTIFS(OrderLines!$A$2:$A$925,A25,OrderLines!$F$2:$F$925,"Snack")&gt;0,"Snack",""))</f>
        <v>Hot Meal</v>
      </c>
    </row>
    <row r="26" spans="1:9">
      <c r="A26" t="str">
        <f>Orders!A26</f>
        <v>O00025</v>
      </c>
      <c r="B26" t="str">
        <f>Orders!C26</f>
        <v>Plant 2 Canteen</v>
      </c>
      <c r="C26" t="str">
        <f>Orders!F26</f>
        <v>Breakfast</v>
      </c>
      <c r="D26" t="str">
        <f>Orders!J26</f>
        <v>Single</v>
      </c>
      <c r="E26" s="24">
        <f>Orders!I26</f>
        <v>47.178599999999996</v>
      </c>
      <c r="F26" s="24">
        <f>SUMIF(OrderLines!$A$2:$A$925,A26,OrderLines!$L$2:$L$925)</f>
        <v>22.61</v>
      </c>
      <c r="G26" s="23">
        <f t="shared" si="2"/>
        <v>24.568599999999996</v>
      </c>
      <c r="H26" s="23">
        <f t="shared" si="3"/>
        <v>0.52075729250126113</v>
      </c>
      <c r="I26" t="str">
        <f>_xlfn.TEXTJOIN(" + ",TRUE,IF(COUNTIFS(OrderLines!$A$2:$A$925,A26,OrderLines!$F$2:$F$925,"Beverage")&gt;0,"Beverage",""),IF(COUNTIFS(OrderLines!$A$2:$A$925,A26,OrderLines!$F$2:$F$925,"Dessert")&gt;0,"Dessert",""),IF(COUNTIFS(OrderLines!$A$2:$A$925,A26,OrderLines!$F$2:$F$925,"Hot Meal")&gt;0,"Hot Meal",""),IF(COUNTIFS(OrderLines!$A$2:$A$925,A26,OrderLines!$F$2:$F$925,"Snack")&gt;0,"Snack",""))</f>
        <v>Snack</v>
      </c>
    </row>
    <row r="27" spans="1:9">
      <c r="A27" t="str">
        <f>Orders!A27</f>
        <v>O00026</v>
      </c>
      <c r="B27" t="str">
        <f>Orders!C27</f>
        <v>Plant 2 Canteen</v>
      </c>
      <c r="C27" t="str">
        <f>Orders!F27</f>
        <v>Dinner</v>
      </c>
      <c r="D27" t="str">
        <f>Orders!J27</f>
        <v>Single</v>
      </c>
      <c r="E27" s="24">
        <f>Orders!I27</f>
        <v>81.459000000000003</v>
      </c>
      <c r="F27" s="24">
        <f>SUMIF(OrderLines!$A$2:$A$925,A27,OrderLines!$L$2:$L$925)</f>
        <v>45.35</v>
      </c>
      <c r="G27" s="23">
        <f t="shared" si="2"/>
        <v>36.109000000000002</v>
      </c>
      <c r="H27" s="23">
        <f t="shared" si="3"/>
        <v>0.44327821357983771</v>
      </c>
      <c r="I27" t="str">
        <f>_xlfn.TEXTJOIN(" + ",TRUE,IF(COUNTIFS(OrderLines!$A$2:$A$925,A27,OrderLines!$F$2:$F$925,"Beverage")&gt;0,"Beverage",""),IF(COUNTIFS(OrderLines!$A$2:$A$925,A27,OrderLines!$F$2:$F$925,"Dessert")&gt;0,"Dessert",""),IF(COUNTIFS(OrderLines!$A$2:$A$925,A27,OrderLines!$F$2:$F$925,"Hot Meal")&gt;0,"Hot Meal",""),IF(COUNTIFS(OrderLines!$A$2:$A$925,A27,OrderLines!$F$2:$F$925,"Snack")&gt;0,"Snack",""))</f>
        <v>Snack</v>
      </c>
    </row>
    <row r="28" spans="1:9">
      <c r="A28" t="str">
        <f>Orders!A28</f>
        <v>O00027</v>
      </c>
      <c r="B28" t="str">
        <f>Orders!C28</f>
        <v>Head Office Café</v>
      </c>
      <c r="C28" t="str">
        <f>Orders!F28</f>
        <v>Dinner</v>
      </c>
      <c r="D28" t="str">
        <f>Orders!J28</f>
        <v>Combo</v>
      </c>
      <c r="E28" s="24">
        <f>Orders!I28</f>
        <v>839.84580000000005</v>
      </c>
      <c r="F28" s="24">
        <f>SUMIF(OrderLines!$A$2:$A$925,A28,OrderLines!$L$2:$L$925)</f>
        <v>406.74999999999994</v>
      </c>
      <c r="G28" s="23">
        <f t="shared" si="2"/>
        <v>433.09580000000011</v>
      </c>
      <c r="H28" s="23">
        <f t="shared" si="3"/>
        <v>0.51568490310959469</v>
      </c>
      <c r="I28" t="str">
        <f>_xlfn.TEXTJOIN(" + ",TRUE,IF(COUNTIFS(OrderLines!$A$2:$A$925,A28,OrderLines!$F$2:$F$925,"Beverage")&gt;0,"Beverage",""),IF(COUNTIFS(OrderLines!$A$2:$A$925,A28,OrderLines!$F$2:$F$925,"Dessert")&gt;0,"Dessert",""),IF(COUNTIFS(OrderLines!$A$2:$A$925,A28,OrderLines!$F$2:$F$925,"Hot Meal")&gt;0,"Hot Meal",""),IF(COUNTIFS(OrderLines!$A$2:$A$925,A28,OrderLines!$F$2:$F$925,"Snack")&gt;0,"Snack",""))</f>
        <v>Beverage + Dessert + Hot Meal</v>
      </c>
    </row>
    <row r="29" spans="1:9">
      <c r="A29" t="str">
        <f>Orders!A29</f>
        <v>O00028</v>
      </c>
      <c r="B29" t="str">
        <f>Orders!C29</f>
        <v>Head Office Café</v>
      </c>
      <c r="C29" t="str">
        <f>Orders!F29</f>
        <v>Breakfast</v>
      </c>
      <c r="D29" t="str">
        <f>Orders!J29</f>
        <v>Single</v>
      </c>
      <c r="E29" s="24">
        <f>Orders!I29</f>
        <v>382.71350000000001</v>
      </c>
      <c r="F29" s="24">
        <f>SUMIF(OrderLines!$A$2:$A$925,A29,OrderLines!$L$2:$L$925)</f>
        <v>172.36</v>
      </c>
      <c r="G29" s="23">
        <f t="shared" si="2"/>
        <v>210.3535</v>
      </c>
      <c r="H29" s="23">
        <f t="shared" si="3"/>
        <v>0.54963700000130644</v>
      </c>
      <c r="I29" t="str">
        <f>_xlfn.TEXTJOIN(" + ",TRUE,IF(COUNTIFS(OrderLines!$A$2:$A$925,A29,OrderLines!$F$2:$F$925,"Beverage")&gt;0,"Beverage",""),IF(COUNTIFS(OrderLines!$A$2:$A$925,A29,OrderLines!$F$2:$F$925,"Dessert")&gt;0,"Dessert",""),IF(COUNTIFS(OrderLines!$A$2:$A$925,A29,OrderLines!$F$2:$F$925,"Hot Meal")&gt;0,"Hot Meal",""),IF(COUNTIFS(OrderLines!$A$2:$A$925,A29,OrderLines!$F$2:$F$925,"Snack")&gt;0,"Snack",""))</f>
        <v>Beverage + Dessert + Snack</v>
      </c>
    </row>
    <row r="30" spans="1:9">
      <c r="A30" t="str">
        <f>Orders!A30</f>
        <v>O00029</v>
      </c>
      <c r="B30" t="str">
        <f>Orders!C30</f>
        <v>Plant 2 Canteen</v>
      </c>
      <c r="C30" t="str">
        <f>Orders!F30</f>
        <v>Breakfast</v>
      </c>
      <c r="D30" t="str">
        <f>Orders!J30</f>
        <v>Single</v>
      </c>
      <c r="E30" s="24">
        <f>Orders!I30</f>
        <v>140.03009999999998</v>
      </c>
      <c r="F30" s="24">
        <f>SUMIF(OrderLines!$A$2:$A$925,A30,OrderLines!$L$2:$L$925)</f>
        <v>67.83</v>
      </c>
      <c r="G30" s="23">
        <f t="shared" si="2"/>
        <v>72.200099999999978</v>
      </c>
      <c r="H30" s="23">
        <f t="shared" si="3"/>
        <v>0.51560414510880148</v>
      </c>
      <c r="I30" t="str">
        <f>_xlfn.TEXTJOIN(" + ",TRUE,IF(COUNTIFS(OrderLines!$A$2:$A$925,A30,OrderLines!$F$2:$F$925,"Beverage")&gt;0,"Beverage",""),IF(COUNTIFS(OrderLines!$A$2:$A$925,A30,OrderLines!$F$2:$F$925,"Dessert")&gt;0,"Dessert",""),IF(COUNTIFS(OrderLines!$A$2:$A$925,A30,OrderLines!$F$2:$F$925,"Hot Meal")&gt;0,"Hot Meal",""),IF(COUNTIFS(OrderLines!$A$2:$A$925,A30,OrderLines!$F$2:$F$925,"Snack")&gt;0,"Snack",""))</f>
        <v>Snack</v>
      </c>
    </row>
    <row r="31" spans="1:9">
      <c r="A31" t="str">
        <f>Orders!A31</f>
        <v>O00030</v>
      </c>
      <c r="B31" t="str">
        <f>Orders!C31</f>
        <v>Plant 2 Canteen</v>
      </c>
      <c r="C31" t="str">
        <f>Orders!F31</f>
        <v>Breakfast</v>
      </c>
      <c r="D31" t="str">
        <f>Orders!J31</f>
        <v>Combo</v>
      </c>
      <c r="E31" s="24">
        <f>Orders!I31</f>
        <v>365.72800000000001</v>
      </c>
      <c r="F31" s="24">
        <f>SUMIF(OrderLines!$A$2:$A$925,A31,OrderLines!$L$2:$L$925)</f>
        <v>197.59</v>
      </c>
      <c r="G31" s="23">
        <f t="shared" si="2"/>
        <v>168.13800000000001</v>
      </c>
      <c r="H31" s="23">
        <f t="shared" si="3"/>
        <v>0.45973510368361187</v>
      </c>
      <c r="I31" t="str">
        <f>_xlfn.TEXTJOIN(" + ",TRUE,IF(COUNTIFS(OrderLines!$A$2:$A$925,A31,OrderLines!$F$2:$F$925,"Beverage")&gt;0,"Beverage",""),IF(COUNTIFS(OrderLines!$A$2:$A$925,A31,OrderLines!$F$2:$F$925,"Dessert")&gt;0,"Dessert",""),IF(COUNTIFS(OrderLines!$A$2:$A$925,A31,OrderLines!$F$2:$F$925,"Hot Meal")&gt;0,"Hot Meal",""),IF(COUNTIFS(OrderLines!$A$2:$A$925,A31,OrderLines!$F$2:$F$925,"Snack")&gt;0,"Snack",""))</f>
        <v>Beverage + Hot Meal + Snack</v>
      </c>
    </row>
    <row r="32" spans="1:9">
      <c r="A32" t="str">
        <f>Orders!A32</f>
        <v>O00031</v>
      </c>
      <c r="B32" t="str">
        <f>Orders!C32</f>
        <v>Plant 1 Canteen</v>
      </c>
      <c r="C32" t="str">
        <f>Orders!F32</f>
        <v>Lunch</v>
      </c>
      <c r="D32" t="str">
        <f>Orders!J32</f>
        <v>Single</v>
      </c>
      <c r="E32" s="24">
        <f>Orders!I32</f>
        <v>435.97199999999992</v>
      </c>
      <c r="F32" s="24">
        <f>SUMIF(OrderLines!$A$2:$A$925,A32,OrderLines!$L$2:$L$925)</f>
        <v>232.76</v>
      </c>
      <c r="G32" s="23">
        <f t="shared" si="2"/>
        <v>203.21199999999993</v>
      </c>
      <c r="H32" s="23">
        <f t="shared" si="3"/>
        <v>0.46611250263778403</v>
      </c>
      <c r="I32" t="str">
        <f>_xlfn.TEXTJOIN(" + ",TRUE,IF(COUNTIFS(OrderLines!$A$2:$A$925,A32,OrderLines!$F$2:$F$925,"Beverage")&gt;0,"Beverage",""),IF(COUNTIFS(OrderLines!$A$2:$A$925,A32,OrderLines!$F$2:$F$925,"Dessert")&gt;0,"Dessert",""),IF(COUNTIFS(OrderLines!$A$2:$A$925,A32,OrderLines!$F$2:$F$925,"Hot Meal")&gt;0,"Hot Meal",""),IF(COUNTIFS(OrderLines!$A$2:$A$925,A32,OrderLines!$F$2:$F$925,"Snack")&gt;0,"Snack",""))</f>
        <v>Dessert + Hot Meal</v>
      </c>
    </row>
    <row r="33" spans="1:9">
      <c r="A33" t="str">
        <f>Orders!A33</f>
        <v>O00032</v>
      </c>
      <c r="B33" t="str">
        <f>Orders!C33</f>
        <v>Plant 2 Canteen</v>
      </c>
      <c r="C33" t="str">
        <f>Orders!F33</f>
        <v>Breakfast</v>
      </c>
      <c r="D33" t="str">
        <f>Orders!J33</f>
        <v>Combo</v>
      </c>
      <c r="E33" s="24">
        <f>Orders!I33</f>
        <v>466.18879999999996</v>
      </c>
      <c r="F33" s="24">
        <f>SUMIF(OrderLines!$A$2:$A$925,A33,OrderLines!$L$2:$L$925)</f>
        <v>256.44</v>
      </c>
      <c r="G33" s="23">
        <f t="shared" si="2"/>
        <v>209.74879999999996</v>
      </c>
      <c r="H33" s="23">
        <f t="shared" si="3"/>
        <v>0.44992243485900985</v>
      </c>
      <c r="I33" t="str">
        <f>_xlfn.TEXTJOIN(" + ",TRUE,IF(COUNTIFS(OrderLines!$A$2:$A$925,A33,OrderLines!$F$2:$F$925,"Beverage")&gt;0,"Beverage",""),IF(COUNTIFS(OrderLines!$A$2:$A$925,A33,OrderLines!$F$2:$F$925,"Dessert")&gt;0,"Dessert",""),IF(COUNTIFS(OrderLines!$A$2:$A$925,A33,OrderLines!$F$2:$F$925,"Hot Meal")&gt;0,"Hot Meal",""),IF(COUNTIFS(OrderLines!$A$2:$A$925,A33,OrderLines!$F$2:$F$925,"Snack")&gt;0,"Snack",""))</f>
        <v>Beverage + Dessert + Hot Meal</v>
      </c>
    </row>
    <row r="34" spans="1:9">
      <c r="A34" t="str">
        <f>Orders!A34</f>
        <v>O00033</v>
      </c>
      <c r="B34" t="str">
        <f>Orders!C34</f>
        <v>Plant 2 Canteen</v>
      </c>
      <c r="C34" t="str">
        <f>Orders!F34</f>
        <v>Breakfast</v>
      </c>
      <c r="D34" t="str">
        <f>Orders!J34</f>
        <v>Single</v>
      </c>
      <c r="E34" s="24">
        <f>Orders!I34</f>
        <v>390.34999999999997</v>
      </c>
      <c r="F34" s="24">
        <f>SUMIF(OrderLines!$A$2:$A$925,A34,OrderLines!$L$2:$L$925)</f>
        <v>162.41999999999999</v>
      </c>
      <c r="G34" s="23">
        <f t="shared" si="2"/>
        <v>227.92999999999998</v>
      </c>
      <c r="H34" s="23">
        <f t="shared" si="3"/>
        <v>0.58391187395926736</v>
      </c>
      <c r="I34" t="str">
        <f>_xlfn.TEXTJOIN(" + ",TRUE,IF(COUNTIFS(OrderLines!$A$2:$A$925,A34,OrderLines!$F$2:$F$925,"Beverage")&gt;0,"Beverage",""),IF(COUNTIFS(OrderLines!$A$2:$A$925,A34,OrderLines!$F$2:$F$925,"Dessert")&gt;0,"Dessert",""),IF(COUNTIFS(OrderLines!$A$2:$A$925,A34,OrderLines!$F$2:$F$925,"Hot Meal")&gt;0,"Hot Meal",""),IF(COUNTIFS(OrderLines!$A$2:$A$925,A34,OrderLines!$F$2:$F$925,"Snack")&gt;0,"Snack",""))</f>
        <v>Dessert + Snack</v>
      </c>
    </row>
    <row r="35" spans="1:9">
      <c r="A35" t="str">
        <f>Orders!A35</f>
        <v>O00034</v>
      </c>
      <c r="B35" t="str">
        <f>Orders!C35</f>
        <v>Head Office Café</v>
      </c>
      <c r="C35" t="str">
        <f>Orders!F35</f>
        <v>Dinner</v>
      </c>
      <c r="D35" t="str">
        <f>Orders!J35</f>
        <v>Single</v>
      </c>
      <c r="E35" s="24">
        <f>Orders!I35</f>
        <v>86.568299999999994</v>
      </c>
      <c r="F35" s="24">
        <f>SUMIF(OrderLines!$A$2:$A$925,A35,OrderLines!$L$2:$L$925)</f>
        <v>36.730000000000004</v>
      </c>
      <c r="G35" s="23">
        <f t="shared" si="2"/>
        <v>49.83829999999999</v>
      </c>
      <c r="H35" s="23">
        <f t="shared" si="3"/>
        <v>0.57571073938150563</v>
      </c>
      <c r="I35" t="str">
        <f>_xlfn.TEXTJOIN(" + ",TRUE,IF(COUNTIFS(OrderLines!$A$2:$A$925,A35,OrderLines!$F$2:$F$925,"Beverage")&gt;0,"Beverage",""),IF(COUNTIFS(OrderLines!$A$2:$A$925,A35,OrderLines!$F$2:$F$925,"Dessert")&gt;0,"Dessert",""),IF(COUNTIFS(OrderLines!$A$2:$A$925,A35,OrderLines!$F$2:$F$925,"Hot Meal")&gt;0,"Hot Meal",""),IF(COUNTIFS(OrderLines!$A$2:$A$925,A35,OrderLines!$F$2:$F$925,"Snack")&gt;0,"Snack",""))</f>
        <v>Beverage + Snack</v>
      </c>
    </row>
    <row r="36" spans="1:9">
      <c r="A36" t="str">
        <f>Orders!A36</f>
        <v>O00035</v>
      </c>
      <c r="B36" t="str">
        <f>Orders!C36</f>
        <v>Head Office Café</v>
      </c>
      <c r="C36" t="str">
        <f>Orders!F36</f>
        <v>Dinner</v>
      </c>
      <c r="D36" t="str">
        <f>Orders!J36</f>
        <v>Combo</v>
      </c>
      <c r="E36" s="24">
        <f>Orders!I36</f>
        <v>636.38</v>
      </c>
      <c r="F36" s="24">
        <f>SUMIF(OrderLines!$A$2:$A$925,A36,OrderLines!$L$2:$L$925)</f>
        <v>293.52999999999997</v>
      </c>
      <c r="G36" s="23">
        <f t="shared" si="2"/>
        <v>342.85</v>
      </c>
      <c r="H36" s="23">
        <f t="shared" si="3"/>
        <v>0.53875043213174523</v>
      </c>
      <c r="I36" t="str">
        <f>_xlfn.TEXTJOIN(" + ",TRUE,IF(COUNTIFS(OrderLines!$A$2:$A$925,A36,OrderLines!$F$2:$F$925,"Beverage")&gt;0,"Beverage",""),IF(COUNTIFS(OrderLines!$A$2:$A$925,A36,OrderLines!$F$2:$F$925,"Dessert")&gt;0,"Dessert",""),IF(COUNTIFS(OrderLines!$A$2:$A$925,A36,OrderLines!$F$2:$F$925,"Hot Meal")&gt;0,"Hot Meal",""),IF(COUNTIFS(OrderLines!$A$2:$A$925,A36,OrderLines!$F$2:$F$925,"Snack")&gt;0,"Snack",""))</f>
        <v>Beverage + Dessert + Hot Meal</v>
      </c>
    </row>
    <row r="37" spans="1:9">
      <c r="A37" t="str">
        <f>Orders!A37</f>
        <v>O00036</v>
      </c>
      <c r="B37" t="str">
        <f>Orders!C37</f>
        <v>Plant 1 Canteen</v>
      </c>
      <c r="C37" t="str">
        <f>Orders!F37</f>
        <v>Breakfast</v>
      </c>
      <c r="D37" t="str">
        <f>Orders!J37</f>
        <v>Single</v>
      </c>
      <c r="E37" s="24">
        <f>Orders!I37</f>
        <v>209.96899999999999</v>
      </c>
      <c r="F37" s="24">
        <f>SUMIF(OrderLines!$A$2:$A$925,A37,OrderLines!$L$2:$L$925)</f>
        <v>96.679999999999993</v>
      </c>
      <c r="G37" s="23">
        <f t="shared" si="2"/>
        <v>113.289</v>
      </c>
      <c r="H37" s="23">
        <f t="shared" si="3"/>
        <v>0.53955107658749624</v>
      </c>
      <c r="I37" t="str">
        <f>_xlfn.TEXTJOIN(" + ",TRUE,IF(COUNTIFS(OrderLines!$A$2:$A$925,A37,OrderLines!$F$2:$F$925,"Beverage")&gt;0,"Beverage",""),IF(COUNTIFS(OrderLines!$A$2:$A$925,A37,OrderLines!$F$2:$F$925,"Dessert")&gt;0,"Dessert",""),IF(COUNTIFS(OrderLines!$A$2:$A$925,A37,OrderLines!$F$2:$F$925,"Hot Meal")&gt;0,"Hot Meal",""),IF(COUNTIFS(OrderLines!$A$2:$A$925,A37,OrderLines!$F$2:$F$925,"Snack")&gt;0,"Snack",""))</f>
        <v>Hot Meal + Snack</v>
      </c>
    </row>
    <row r="38" spans="1:9">
      <c r="A38" t="str">
        <f>Orders!A38</f>
        <v>O00037</v>
      </c>
      <c r="B38" t="str">
        <f>Orders!C38</f>
        <v>Plant 2 Canteen</v>
      </c>
      <c r="C38" t="str">
        <f>Orders!F38</f>
        <v>Dinner</v>
      </c>
      <c r="D38" t="str">
        <f>Orders!J38</f>
        <v>Single</v>
      </c>
      <c r="E38" s="24">
        <f>Orders!I38</f>
        <v>321.16039999999998</v>
      </c>
      <c r="F38" s="24">
        <f>SUMIF(OrderLines!$A$2:$A$925,A38,OrderLines!$L$2:$L$925)</f>
        <v>148.13999999999999</v>
      </c>
      <c r="G38" s="23">
        <f t="shared" si="2"/>
        <v>173.0204</v>
      </c>
      <c r="H38" s="23">
        <f t="shared" si="3"/>
        <v>0.53873516162017487</v>
      </c>
      <c r="I38" t="str">
        <f>_xlfn.TEXTJOIN(" + ",TRUE,IF(COUNTIFS(OrderLines!$A$2:$A$925,A38,OrderLines!$F$2:$F$925,"Beverage")&gt;0,"Beverage",""),IF(COUNTIFS(OrderLines!$A$2:$A$925,A38,OrderLines!$F$2:$F$925,"Dessert")&gt;0,"Dessert",""),IF(COUNTIFS(OrderLines!$A$2:$A$925,A38,OrderLines!$F$2:$F$925,"Hot Meal")&gt;0,"Hot Meal",""),IF(COUNTIFS(OrderLines!$A$2:$A$925,A38,OrderLines!$F$2:$F$925,"Snack")&gt;0,"Snack",""))</f>
        <v>Hot Meal</v>
      </c>
    </row>
    <row r="39" spans="1:9">
      <c r="A39" t="str">
        <f>Orders!A39</f>
        <v>O00038</v>
      </c>
      <c r="B39" t="str">
        <f>Orders!C39</f>
        <v>Plant 1 Canteen</v>
      </c>
      <c r="C39" t="str">
        <f>Orders!F39</f>
        <v>Dinner</v>
      </c>
      <c r="D39" t="str">
        <f>Orders!J39</f>
        <v>Single</v>
      </c>
      <c r="E39" s="24">
        <f>Orders!I39</f>
        <v>88.16</v>
      </c>
      <c r="F39" s="24">
        <f>SUMIF(OrderLines!$A$2:$A$925,A39,OrderLines!$L$2:$L$925)</f>
        <v>33.06</v>
      </c>
      <c r="G39" s="23">
        <f t="shared" si="2"/>
        <v>55.099999999999994</v>
      </c>
      <c r="H39" s="23">
        <f t="shared" si="3"/>
        <v>0.625</v>
      </c>
      <c r="I39" t="str">
        <f>_xlfn.TEXTJOIN(" + ",TRUE,IF(COUNTIFS(OrderLines!$A$2:$A$925,A39,OrderLines!$F$2:$F$925,"Beverage")&gt;0,"Beverage",""),IF(COUNTIFS(OrderLines!$A$2:$A$925,A39,OrderLines!$F$2:$F$925,"Dessert")&gt;0,"Dessert",""),IF(COUNTIFS(OrderLines!$A$2:$A$925,A39,OrderLines!$F$2:$F$925,"Hot Meal")&gt;0,"Hot Meal",""),IF(COUNTIFS(OrderLines!$A$2:$A$925,A39,OrderLines!$F$2:$F$925,"Snack")&gt;0,"Snack",""))</f>
        <v>Beverage</v>
      </c>
    </row>
    <row r="40" spans="1:9">
      <c r="A40" t="str">
        <f>Orders!A40</f>
        <v>O00039</v>
      </c>
      <c r="B40" t="str">
        <f>Orders!C40</f>
        <v>Plant 2 Canteen</v>
      </c>
      <c r="C40" t="str">
        <f>Orders!F40</f>
        <v>Breakfast</v>
      </c>
      <c r="D40" t="str">
        <f>Orders!J40</f>
        <v>Single</v>
      </c>
      <c r="E40" s="24">
        <f>Orders!I40</f>
        <v>486.8655</v>
      </c>
      <c r="F40" s="24">
        <f>SUMIF(OrderLines!$A$2:$A$925,A40,OrderLines!$L$2:$L$925)</f>
        <v>222.20999999999998</v>
      </c>
      <c r="G40" s="23">
        <f t="shared" si="2"/>
        <v>264.65550000000002</v>
      </c>
      <c r="H40" s="23">
        <f t="shared" si="3"/>
        <v>0.54359058097154145</v>
      </c>
      <c r="I40" t="str">
        <f>_xlfn.TEXTJOIN(" + ",TRUE,IF(COUNTIFS(OrderLines!$A$2:$A$925,A40,OrderLines!$F$2:$F$925,"Beverage")&gt;0,"Beverage",""),IF(COUNTIFS(OrderLines!$A$2:$A$925,A40,OrderLines!$F$2:$F$925,"Dessert")&gt;0,"Dessert",""),IF(COUNTIFS(OrderLines!$A$2:$A$925,A40,OrderLines!$F$2:$F$925,"Hot Meal")&gt;0,"Hot Meal",""),IF(COUNTIFS(OrderLines!$A$2:$A$925,A40,OrderLines!$F$2:$F$925,"Snack")&gt;0,"Snack",""))</f>
        <v>Hot Meal</v>
      </c>
    </row>
    <row r="41" spans="1:9">
      <c r="A41" t="str">
        <f>Orders!A41</f>
        <v>O00040</v>
      </c>
      <c r="B41" t="str">
        <f>Orders!C41</f>
        <v>Plant 2 Canteen</v>
      </c>
      <c r="C41" t="str">
        <f>Orders!F41</f>
        <v>Breakfast</v>
      </c>
      <c r="D41" t="str">
        <f>Orders!J41</f>
        <v>Combo</v>
      </c>
      <c r="E41" s="24">
        <f>Orders!I41</f>
        <v>624.52289999999994</v>
      </c>
      <c r="F41" s="24">
        <f>SUMIF(OrderLines!$A$2:$A$925,A41,OrderLines!$L$2:$L$925)</f>
        <v>306.07</v>
      </c>
      <c r="G41" s="23">
        <f t="shared" si="2"/>
        <v>318.45289999999994</v>
      </c>
      <c r="H41" s="23">
        <f t="shared" si="3"/>
        <v>0.5099138878654409</v>
      </c>
      <c r="I41" t="str">
        <f>_xlfn.TEXTJOIN(" + ",TRUE,IF(COUNTIFS(OrderLines!$A$2:$A$925,A41,OrderLines!$F$2:$F$925,"Beverage")&gt;0,"Beverage",""),IF(COUNTIFS(OrderLines!$A$2:$A$925,A41,OrderLines!$F$2:$F$925,"Dessert")&gt;0,"Dessert",""),IF(COUNTIFS(OrderLines!$A$2:$A$925,A41,OrderLines!$F$2:$F$925,"Hot Meal")&gt;0,"Hot Meal",""),IF(COUNTIFS(OrderLines!$A$2:$A$925,A41,OrderLines!$F$2:$F$925,"Snack")&gt;0,"Snack",""))</f>
        <v>Beverage + Hot Meal</v>
      </c>
    </row>
    <row r="42" spans="1:9">
      <c r="A42" t="str">
        <f>Orders!A42</f>
        <v>O00041</v>
      </c>
      <c r="B42" t="str">
        <f>Orders!C42</f>
        <v>Plant 1 Canteen</v>
      </c>
      <c r="C42" t="str">
        <f>Orders!F42</f>
        <v>Breakfast</v>
      </c>
      <c r="D42" t="str">
        <f>Orders!J42</f>
        <v>Single</v>
      </c>
      <c r="E42" s="24">
        <f>Orders!I42</f>
        <v>149.14240000000001</v>
      </c>
      <c r="F42" s="24">
        <f>SUMIF(OrderLines!$A$2:$A$925,A42,OrderLines!$L$2:$L$925)</f>
        <v>71.33</v>
      </c>
      <c r="G42" s="23">
        <f t="shared" si="2"/>
        <v>77.812400000000011</v>
      </c>
      <c r="H42" s="23">
        <f t="shared" si="3"/>
        <v>0.52173225052030814</v>
      </c>
      <c r="I42" t="str">
        <f>_xlfn.TEXTJOIN(" + ",TRUE,IF(COUNTIFS(OrderLines!$A$2:$A$925,A42,OrderLines!$F$2:$F$925,"Beverage")&gt;0,"Beverage",""),IF(COUNTIFS(OrderLines!$A$2:$A$925,A42,OrderLines!$F$2:$F$925,"Dessert")&gt;0,"Dessert",""),IF(COUNTIFS(OrderLines!$A$2:$A$925,A42,OrderLines!$F$2:$F$925,"Hot Meal")&gt;0,"Hot Meal",""),IF(COUNTIFS(OrderLines!$A$2:$A$925,A42,OrderLines!$F$2:$F$925,"Snack")&gt;0,"Snack",""))</f>
        <v>Beverage + Snack</v>
      </c>
    </row>
    <row r="43" spans="1:9">
      <c r="A43" t="str">
        <f>Orders!A43</f>
        <v>O00042</v>
      </c>
      <c r="B43" t="str">
        <f>Orders!C43</f>
        <v>Head Office Café</v>
      </c>
      <c r="C43" t="str">
        <f>Orders!F43</f>
        <v>Lunch</v>
      </c>
      <c r="D43" t="str">
        <f>Orders!J43</f>
        <v>Combo</v>
      </c>
      <c r="E43" s="24">
        <f>Orders!I43</f>
        <v>346.63679999999999</v>
      </c>
      <c r="F43" s="24">
        <f>SUMIF(OrderLines!$A$2:$A$925,A43,OrderLines!$L$2:$L$925)</f>
        <v>156.69</v>
      </c>
      <c r="G43" s="23">
        <f t="shared" si="2"/>
        <v>189.9468</v>
      </c>
      <c r="H43" s="23">
        <f t="shared" si="3"/>
        <v>0.54797067131937516</v>
      </c>
      <c r="I43" t="str">
        <f>_xlfn.TEXTJOIN(" + ",TRUE,IF(COUNTIFS(OrderLines!$A$2:$A$925,A43,OrderLines!$F$2:$F$925,"Beverage")&gt;0,"Beverage",""),IF(COUNTIFS(OrderLines!$A$2:$A$925,A43,OrderLines!$F$2:$F$925,"Dessert")&gt;0,"Dessert",""),IF(COUNTIFS(OrderLines!$A$2:$A$925,A43,OrderLines!$F$2:$F$925,"Hot Meal")&gt;0,"Hot Meal",""),IF(COUNTIFS(OrderLines!$A$2:$A$925,A43,OrderLines!$F$2:$F$925,"Snack")&gt;0,"Snack",""))</f>
        <v>Beverage + Dessert + Hot Meal</v>
      </c>
    </row>
    <row r="44" spans="1:9">
      <c r="A44" t="str">
        <f>Orders!A44</f>
        <v>O00043</v>
      </c>
      <c r="B44" t="str">
        <f>Orders!C44</f>
        <v>Plant 1 Canteen</v>
      </c>
      <c r="C44" t="str">
        <f>Orders!F44</f>
        <v>Breakfast</v>
      </c>
      <c r="D44" t="str">
        <f>Orders!J44</f>
        <v>Single</v>
      </c>
      <c r="E44" s="24">
        <f>Orders!I44</f>
        <v>21.533999999999999</v>
      </c>
      <c r="F44" s="24">
        <f>SUMIF(OrderLines!$A$2:$A$925,A44,OrderLines!$L$2:$L$925)</f>
        <v>9.3800000000000008</v>
      </c>
      <c r="G44" s="23">
        <f t="shared" si="2"/>
        <v>12.153999999999998</v>
      </c>
      <c r="H44" s="23">
        <f t="shared" si="3"/>
        <v>0.56440977059533759</v>
      </c>
      <c r="I44" t="str">
        <f>_xlfn.TEXTJOIN(" + ",TRUE,IF(COUNTIFS(OrderLines!$A$2:$A$925,A44,OrderLines!$F$2:$F$925,"Beverage")&gt;0,"Beverage",""),IF(COUNTIFS(OrderLines!$A$2:$A$925,A44,OrderLines!$F$2:$F$925,"Dessert")&gt;0,"Dessert",""),IF(COUNTIFS(OrderLines!$A$2:$A$925,A44,OrderLines!$F$2:$F$925,"Hot Meal")&gt;0,"Hot Meal",""),IF(COUNTIFS(OrderLines!$A$2:$A$925,A44,OrderLines!$F$2:$F$925,"Snack")&gt;0,"Snack",""))</f>
        <v>Beverage</v>
      </c>
    </row>
    <row r="45" spans="1:9">
      <c r="A45" t="str">
        <f>Orders!A45</f>
        <v>O00044</v>
      </c>
      <c r="B45" t="str">
        <f>Orders!C45</f>
        <v>Plant 2 Canteen</v>
      </c>
      <c r="C45" t="str">
        <f>Orders!F45</f>
        <v>Breakfast</v>
      </c>
      <c r="D45" t="str">
        <f>Orders!J45</f>
        <v>Single</v>
      </c>
      <c r="E45" s="24">
        <f>Orders!I45</f>
        <v>139.38240000000002</v>
      </c>
      <c r="F45" s="24">
        <f>SUMIF(OrderLines!$A$2:$A$925,A45,OrderLines!$L$2:$L$925)</f>
        <v>70.990000000000009</v>
      </c>
      <c r="G45" s="23">
        <f t="shared" si="2"/>
        <v>68.392400000000009</v>
      </c>
      <c r="H45" s="23">
        <f t="shared" si="3"/>
        <v>0.49068175035011596</v>
      </c>
      <c r="I45" t="str">
        <f>_xlfn.TEXTJOIN(" + ",TRUE,IF(COUNTIFS(OrderLines!$A$2:$A$925,A45,OrderLines!$F$2:$F$925,"Beverage")&gt;0,"Beverage",""),IF(COUNTIFS(OrderLines!$A$2:$A$925,A45,OrderLines!$F$2:$F$925,"Dessert")&gt;0,"Dessert",""),IF(COUNTIFS(OrderLines!$A$2:$A$925,A45,OrderLines!$F$2:$F$925,"Hot Meal")&gt;0,"Hot Meal",""),IF(COUNTIFS(OrderLines!$A$2:$A$925,A45,OrderLines!$F$2:$F$925,"Snack")&gt;0,"Snack",""))</f>
        <v>Beverage + Snack</v>
      </c>
    </row>
    <row r="46" spans="1:9">
      <c r="A46" t="str">
        <f>Orders!A46</f>
        <v>O00045</v>
      </c>
      <c r="B46" t="str">
        <f>Orders!C46</f>
        <v>Plant 2 Canteen</v>
      </c>
      <c r="C46" t="str">
        <f>Orders!F46</f>
        <v>Breakfast</v>
      </c>
      <c r="D46" t="str">
        <f>Orders!J46</f>
        <v>Single</v>
      </c>
      <c r="E46" s="24">
        <f>Orders!I46</f>
        <v>323.90100000000001</v>
      </c>
      <c r="F46" s="24">
        <f>SUMIF(OrderLines!$A$2:$A$925,A46,OrderLines!$L$2:$L$925)</f>
        <v>145.62</v>
      </c>
      <c r="G46" s="23">
        <f t="shared" si="2"/>
        <v>178.28100000000001</v>
      </c>
      <c r="H46" s="23">
        <f t="shared" si="3"/>
        <v>0.55041818333379644</v>
      </c>
      <c r="I46" t="str">
        <f>_xlfn.TEXTJOIN(" + ",TRUE,IF(COUNTIFS(OrderLines!$A$2:$A$925,A46,OrderLines!$F$2:$F$925,"Beverage")&gt;0,"Beverage",""),IF(COUNTIFS(OrderLines!$A$2:$A$925,A46,OrderLines!$F$2:$F$925,"Dessert")&gt;0,"Dessert",""),IF(COUNTIFS(OrderLines!$A$2:$A$925,A46,OrderLines!$F$2:$F$925,"Hot Meal")&gt;0,"Hot Meal",""),IF(COUNTIFS(OrderLines!$A$2:$A$925,A46,OrderLines!$F$2:$F$925,"Snack")&gt;0,"Snack",""))</f>
        <v>Beverage + Dessert</v>
      </c>
    </row>
    <row r="47" spans="1:9">
      <c r="A47" t="str">
        <f>Orders!A47</f>
        <v>O00046</v>
      </c>
      <c r="B47" t="str">
        <f>Orders!C47</f>
        <v>Plant 2 Canteen</v>
      </c>
      <c r="C47" t="str">
        <f>Orders!F47</f>
        <v>Breakfast</v>
      </c>
      <c r="D47" t="str">
        <f>Orders!J47</f>
        <v>Single</v>
      </c>
      <c r="E47" s="24">
        <f>Orders!I47</f>
        <v>37.153500000000001</v>
      </c>
      <c r="F47" s="24">
        <f>SUMIF(OrderLines!$A$2:$A$925,A47,OrderLines!$L$2:$L$925)</f>
        <v>15.51</v>
      </c>
      <c r="G47" s="23">
        <f t="shared" si="2"/>
        <v>21.643500000000003</v>
      </c>
      <c r="H47" s="23">
        <f t="shared" si="3"/>
        <v>0.58254269449715379</v>
      </c>
      <c r="I47" t="str">
        <f>_xlfn.TEXTJOIN(" + ",TRUE,IF(COUNTIFS(OrderLines!$A$2:$A$925,A47,OrderLines!$F$2:$F$925,"Beverage")&gt;0,"Beverage",""),IF(COUNTIFS(OrderLines!$A$2:$A$925,A47,OrderLines!$F$2:$F$925,"Dessert")&gt;0,"Dessert",""),IF(COUNTIFS(OrderLines!$A$2:$A$925,A47,OrderLines!$F$2:$F$925,"Hot Meal")&gt;0,"Hot Meal",""),IF(COUNTIFS(OrderLines!$A$2:$A$925,A47,OrderLines!$F$2:$F$925,"Snack")&gt;0,"Snack",""))</f>
        <v>Snack</v>
      </c>
    </row>
    <row r="48" spans="1:9">
      <c r="A48" t="str">
        <f>Orders!A48</f>
        <v>O00047</v>
      </c>
      <c r="B48" t="str">
        <f>Orders!C48</f>
        <v>Plant 2 Canteen</v>
      </c>
      <c r="C48" t="str">
        <f>Orders!F48</f>
        <v>Breakfast</v>
      </c>
      <c r="D48" t="str">
        <f>Orders!J48</f>
        <v>Single</v>
      </c>
      <c r="E48" s="24">
        <f>Orders!I48</f>
        <v>595.65120000000002</v>
      </c>
      <c r="F48" s="24">
        <f>SUMIF(OrderLines!$A$2:$A$925,A48,OrderLines!$L$2:$L$925)</f>
        <v>290.22999999999996</v>
      </c>
      <c r="G48" s="23">
        <f t="shared" si="2"/>
        <v>305.42120000000006</v>
      </c>
      <c r="H48" s="23">
        <f t="shared" si="3"/>
        <v>0.51275175807586726</v>
      </c>
      <c r="I48" t="str">
        <f>_xlfn.TEXTJOIN(" + ",TRUE,IF(COUNTIFS(OrderLines!$A$2:$A$925,A48,OrderLines!$F$2:$F$925,"Beverage")&gt;0,"Beverage",""),IF(COUNTIFS(OrderLines!$A$2:$A$925,A48,OrderLines!$F$2:$F$925,"Dessert")&gt;0,"Dessert",""),IF(COUNTIFS(OrderLines!$A$2:$A$925,A48,OrderLines!$F$2:$F$925,"Hot Meal")&gt;0,"Hot Meal",""),IF(COUNTIFS(OrderLines!$A$2:$A$925,A48,OrderLines!$F$2:$F$925,"Snack")&gt;0,"Snack",""))</f>
        <v>Dessert + Hot Meal + Snack</v>
      </c>
    </row>
    <row r="49" spans="1:9">
      <c r="A49" t="str">
        <f>Orders!A49</f>
        <v>O00048</v>
      </c>
      <c r="B49" t="str">
        <f>Orders!C49</f>
        <v>Plant 2 Canteen</v>
      </c>
      <c r="C49" t="str">
        <f>Orders!F49</f>
        <v>Breakfast</v>
      </c>
      <c r="D49" t="str">
        <f>Orders!J49</f>
        <v>Single</v>
      </c>
      <c r="E49" s="24">
        <f>Orders!I49</f>
        <v>179.67599999999999</v>
      </c>
      <c r="F49" s="24">
        <f>SUMIF(OrderLines!$A$2:$A$925,A49,OrderLines!$L$2:$L$925)</f>
        <v>92.55</v>
      </c>
      <c r="G49" s="23">
        <f t="shared" si="2"/>
        <v>87.125999999999991</v>
      </c>
      <c r="H49" s="23">
        <f t="shared" si="3"/>
        <v>0.48490616442930606</v>
      </c>
      <c r="I49" t="str">
        <f>_xlfn.TEXTJOIN(" + ",TRUE,IF(COUNTIFS(OrderLines!$A$2:$A$925,A49,OrderLines!$F$2:$F$925,"Beverage")&gt;0,"Beverage",""),IF(COUNTIFS(OrderLines!$A$2:$A$925,A49,OrderLines!$F$2:$F$925,"Dessert")&gt;0,"Dessert",""),IF(COUNTIFS(OrderLines!$A$2:$A$925,A49,OrderLines!$F$2:$F$925,"Hot Meal")&gt;0,"Hot Meal",""),IF(COUNTIFS(OrderLines!$A$2:$A$925,A49,OrderLines!$F$2:$F$925,"Snack")&gt;0,"Snack",""))</f>
        <v>Beverage + Snack</v>
      </c>
    </row>
    <row r="50" spans="1:9">
      <c r="A50" t="str">
        <f>Orders!A50</f>
        <v>O00049</v>
      </c>
      <c r="B50" t="str">
        <f>Orders!C50</f>
        <v>Head Office Café</v>
      </c>
      <c r="C50" t="str">
        <f>Orders!F50</f>
        <v>Lunch</v>
      </c>
      <c r="D50" t="str">
        <f>Orders!J50</f>
        <v>Combo</v>
      </c>
      <c r="E50" s="24">
        <f>Orders!I50</f>
        <v>275.95579999999995</v>
      </c>
      <c r="F50" s="24">
        <f>SUMIF(OrderLines!$A$2:$A$925,A50,OrderLines!$L$2:$L$925)</f>
        <v>119.9</v>
      </c>
      <c r="G50" s="23">
        <f t="shared" si="2"/>
        <v>156.05579999999995</v>
      </c>
      <c r="H50" s="23">
        <f t="shared" si="3"/>
        <v>0.56551012879598828</v>
      </c>
      <c r="I50" t="str">
        <f>_xlfn.TEXTJOIN(" + ",TRUE,IF(COUNTIFS(OrderLines!$A$2:$A$925,A50,OrderLines!$F$2:$F$925,"Beverage")&gt;0,"Beverage",""),IF(COUNTIFS(OrderLines!$A$2:$A$925,A50,OrderLines!$F$2:$F$925,"Dessert")&gt;0,"Dessert",""),IF(COUNTIFS(OrderLines!$A$2:$A$925,A50,OrderLines!$F$2:$F$925,"Hot Meal")&gt;0,"Hot Meal",""),IF(COUNTIFS(OrderLines!$A$2:$A$925,A50,OrderLines!$F$2:$F$925,"Snack")&gt;0,"Snack",""))</f>
        <v>Beverage + Hot Meal</v>
      </c>
    </row>
    <row r="51" spans="1:9">
      <c r="A51" t="str">
        <f>Orders!A51</f>
        <v>O00050</v>
      </c>
      <c r="B51" t="str">
        <f>Orders!C51</f>
        <v>Plant 2 Canteen</v>
      </c>
      <c r="C51" t="str">
        <f>Orders!F51</f>
        <v>Breakfast</v>
      </c>
      <c r="D51" t="str">
        <f>Orders!J51</f>
        <v>Single</v>
      </c>
      <c r="E51" s="24">
        <f>Orders!I51</f>
        <v>98.576999999999998</v>
      </c>
      <c r="F51" s="24">
        <f>SUMIF(OrderLines!$A$2:$A$925,A51,OrderLines!$L$2:$L$925)</f>
        <v>50.069999999999993</v>
      </c>
      <c r="G51" s="23">
        <f t="shared" si="2"/>
        <v>48.507000000000005</v>
      </c>
      <c r="H51" s="23">
        <f t="shared" si="3"/>
        <v>0.49207218722420043</v>
      </c>
      <c r="I51" t="str">
        <f>_xlfn.TEXTJOIN(" + ",TRUE,IF(COUNTIFS(OrderLines!$A$2:$A$925,A51,OrderLines!$F$2:$F$925,"Beverage")&gt;0,"Beverage",""),IF(COUNTIFS(OrderLines!$A$2:$A$925,A51,OrderLines!$F$2:$F$925,"Dessert")&gt;0,"Dessert",""),IF(COUNTIFS(OrderLines!$A$2:$A$925,A51,OrderLines!$F$2:$F$925,"Hot Meal")&gt;0,"Hot Meal",""),IF(COUNTIFS(OrderLines!$A$2:$A$925,A51,OrderLines!$F$2:$F$925,"Snack")&gt;0,"Snack",""))</f>
        <v>Beverage + Dessert</v>
      </c>
    </row>
    <row r="52" spans="1:9">
      <c r="A52" t="str">
        <f>Orders!A52</f>
        <v>O00051</v>
      </c>
      <c r="B52" t="str">
        <f>Orders!C52</f>
        <v>Head Office Café</v>
      </c>
      <c r="C52" t="str">
        <f>Orders!F52</f>
        <v>Lunch</v>
      </c>
      <c r="D52" t="str">
        <f>Orders!J52</f>
        <v>Single</v>
      </c>
      <c r="E52" s="24">
        <f>Orders!I52</f>
        <v>574.76379999999995</v>
      </c>
      <c r="F52" s="24">
        <f>SUMIF(OrderLines!$A$2:$A$925,A52,OrderLines!$L$2:$L$925)</f>
        <v>275.74</v>
      </c>
      <c r="G52" s="23">
        <f t="shared" si="2"/>
        <v>299.02379999999994</v>
      </c>
      <c r="H52" s="23">
        <f t="shared" si="3"/>
        <v>0.52025510305276701</v>
      </c>
      <c r="I52" t="str">
        <f>_xlfn.TEXTJOIN(" + ",TRUE,IF(COUNTIFS(OrderLines!$A$2:$A$925,A52,OrderLines!$F$2:$F$925,"Beverage")&gt;0,"Beverage",""),IF(COUNTIFS(OrderLines!$A$2:$A$925,A52,OrderLines!$F$2:$F$925,"Dessert")&gt;0,"Dessert",""),IF(COUNTIFS(OrderLines!$A$2:$A$925,A52,OrderLines!$F$2:$F$925,"Hot Meal")&gt;0,"Hot Meal",""),IF(COUNTIFS(OrderLines!$A$2:$A$925,A52,OrderLines!$F$2:$F$925,"Snack")&gt;0,"Snack",""))</f>
        <v>Dessert + Hot Meal</v>
      </c>
    </row>
    <row r="53" spans="1:9">
      <c r="A53" t="str">
        <f>Orders!A53</f>
        <v>O00052</v>
      </c>
      <c r="B53" t="str">
        <f>Orders!C53</f>
        <v>Plant 1 Canteen</v>
      </c>
      <c r="C53" t="str">
        <f>Orders!F53</f>
        <v>Breakfast</v>
      </c>
      <c r="D53" t="str">
        <f>Orders!J53</f>
        <v>Single</v>
      </c>
      <c r="E53" s="24">
        <f>Orders!I53</f>
        <v>183.8535</v>
      </c>
      <c r="F53" s="24">
        <f>SUMIF(OrderLines!$A$2:$A$925,A53,OrderLines!$L$2:$L$925)</f>
        <v>97.42</v>
      </c>
      <c r="G53" s="23">
        <f t="shared" si="2"/>
        <v>86.433499999999995</v>
      </c>
      <c r="H53" s="23">
        <f t="shared" si="3"/>
        <v>0.47012159137574205</v>
      </c>
      <c r="I53" t="str">
        <f>_xlfn.TEXTJOIN(" + ",TRUE,IF(COUNTIFS(OrderLines!$A$2:$A$925,A53,OrderLines!$F$2:$F$925,"Beverage")&gt;0,"Beverage",""),IF(COUNTIFS(OrderLines!$A$2:$A$925,A53,OrderLines!$F$2:$F$925,"Dessert")&gt;0,"Dessert",""),IF(COUNTIFS(OrderLines!$A$2:$A$925,A53,OrderLines!$F$2:$F$925,"Hot Meal")&gt;0,"Hot Meal",""),IF(COUNTIFS(OrderLines!$A$2:$A$925,A53,OrderLines!$F$2:$F$925,"Snack")&gt;0,"Snack",""))</f>
        <v>Snack</v>
      </c>
    </row>
    <row r="54" spans="1:9">
      <c r="A54" t="str">
        <f>Orders!A54</f>
        <v>O00053</v>
      </c>
      <c r="B54" t="str">
        <f>Orders!C54</f>
        <v>Head Office Café</v>
      </c>
      <c r="C54" t="str">
        <f>Orders!F54</f>
        <v>Breakfast</v>
      </c>
      <c r="D54" t="str">
        <f>Orders!J54</f>
        <v>Single</v>
      </c>
      <c r="E54" s="24">
        <f>Orders!I54</f>
        <v>100.70400000000001</v>
      </c>
      <c r="F54" s="24">
        <f>SUMIF(OrderLines!$A$2:$A$925,A54,OrderLines!$L$2:$L$925)</f>
        <v>51.6</v>
      </c>
      <c r="G54" s="23">
        <f t="shared" si="2"/>
        <v>49.104000000000006</v>
      </c>
      <c r="H54" s="23">
        <f t="shared" si="3"/>
        <v>0.48760724499523356</v>
      </c>
      <c r="I54" t="str">
        <f>_xlfn.TEXTJOIN(" + ",TRUE,IF(COUNTIFS(OrderLines!$A$2:$A$925,A54,OrderLines!$F$2:$F$925,"Beverage")&gt;0,"Beverage",""),IF(COUNTIFS(OrderLines!$A$2:$A$925,A54,OrderLines!$F$2:$F$925,"Dessert")&gt;0,"Dessert",""),IF(COUNTIFS(OrderLines!$A$2:$A$925,A54,OrderLines!$F$2:$F$925,"Hot Meal")&gt;0,"Hot Meal",""),IF(COUNTIFS(OrderLines!$A$2:$A$925,A54,OrderLines!$F$2:$F$925,"Snack")&gt;0,"Snack",""))</f>
        <v>Snack</v>
      </c>
    </row>
    <row r="55" spans="1:9">
      <c r="A55" t="str">
        <f>Orders!A55</f>
        <v>O00054</v>
      </c>
      <c r="B55" t="str">
        <f>Orders!C55</f>
        <v>Plant 2 Canteen</v>
      </c>
      <c r="C55" t="str">
        <f>Orders!F55</f>
        <v>Lunch</v>
      </c>
      <c r="D55" t="str">
        <f>Orders!J55</f>
        <v>Single</v>
      </c>
      <c r="E55" s="24">
        <f>Orders!I55</f>
        <v>271.65999999999997</v>
      </c>
      <c r="F55" s="24">
        <f>SUMIF(OrderLines!$A$2:$A$925,A55,OrderLines!$L$2:$L$925)</f>
        <v>117.49</v>
      </c>
      <c r="G55" s="23">
        <f t="shared" si="2"/>
        <v>154.16999999999996</v>
      </c>
      <c r="H55" s="23">
        <f t="shared" si="3"/>
        <v>0.56751085916218791</v>
      </c>
      <c r="I55" t="str">
        <f>_xlfn.TEXTJOIN(" + ",TRUE,IF(COUNTIFS(OrderLines!$A$2:$A$925,A55,OrderLines!$F$2:$F$925,"Beverage")&gt;0,"Beverage",""),IF(COUNTIFS(OrderLines!$A$2:$A$925,A55,OrderLines!$F$2:$F$925,"Dessert")&gt;0,"Dessert",""),IF(COUNTIFS(OrderLines!$A$2:$A$925,A55,OrderLines!$F$2:$F$925,"Hot Meal")&gt;0,"Hot Meal",""),IF(COUNTIFS(OrderLines!$A$2:$A$925,A55,OrderLines!$F$2:$F$925,"Snack")&gt;0,"Snack",""))</f>
        <v>Dessert + Snack</v>
      </c>
    </row>
    <row r="56" spans="1:9">
      <c r="A56" t="str">
        <f>Orders!A56</f>
        <v>O00055</v>
      </c>
      <c r="B56" t="str">
        <f>Orders!C56</f>
        <v>Head Office Café</v>
      </c>
      <c r="C56" t="str">
        <f>Orders!F56</f>
        <v>Dinner</v>
      </c>
      <c r="D56" t="str">
        <f>Orders!J56</f>
        <v>Single</v>
      </c>
      <c r="E56" s="24">
        <f>Orders!I56</f>
        <v>706.71630000000005</v>
      </c>
      <c r="F56" s="24">
        <f>SUMIF(OrderLines!$A$2:$A$925,A56,OrderLines!$L$2:$L$925)</f>
        <v>354.56</v>
      </c>
      <c r="G56" s="23">
        <f t="shared" si="2"/>
        <v>352.15630000000004</v>
      </c>
      <c r="H56" s="23">
        <f t="shared" si="3"/>
        <v>0.4982993883118304</v>
      </c>
      <c r="I56" t="str">
        <f>_xlfn.TEXTJOIN(" + ",TRUE,IF(COUNTIFS(OrderLines!$A$2:$A$925,A56,OrderLines!$F$2:$F$925,"Beverage")&gt;0,"Beverage",""),IF(COUNTIFS(OrderLines!$A$2:$A$925,A56,OrderLines!$F$2:$F$925,"Dessert")&gt;0,"Dessert",""),IF(COUNTIFS(OrderLines!$A$2:$A$925,A56,OrderLines!$F$2:$F$925,"Hot Meal")&gt;0,"Hot Meal",""),IF(COUNTIFS(OrderLines!$A$2:$A$925,A56,OrderLines!$F$2:$F$925,"Snack")&gt;0,"Snack",""))</f>
        <v>Hot Meal</v>
      </c>
    </row>
    <row r="57" spans="1:9">
      <c r="A57" t="str">
        <f>Orders!A57</f>
        <v>O00056</v>
      </c>
      <c r="B57" t="str">
        <f>Orders!C57</f>
        <v>Plant 2 Canteen</v>
      </c>
      <c r="C57" t="str">
        <f>Orders!F57</f>
        <v>Lunch</v>
      </c>
      <c r="D57" t="str">
        <f>Orders!J57</f>
        <v>Single</v>
      </c>
      <c r="E57" s="24">
        <f>Orders!I57</f>
        <v>462.02399999999994</v>
      </c>
      <c r="F57" s="24">
        <f>SUMIF(OrderLines!$A$2:$A$925,A57,OrderLines!$L$2:$L$925)</f>
        <v>227.82999999999998</v>
      </c>
      <c r="G57" s="23">
        <f t="shared" si="2"/>
        <v>234.19399999999996</v>
      </c>
      <c r="H57" s="23">
        <f t="shared" si="3"/>
        <v>0.50688708811663463</v>
      </c>
      <c r="I57" t="str">
        <f>_xlfn.TEXTJOIN(" + ",TRUE,IF(COUNTIFS(OrderLines!$A$2:$A$925,A57,OrderLines!$F$2:$F$925,"Beverage")&gt;0,"Beverage",""),IF(COUNTIFS(OrderLines!$A$2:$A$925,A57,OrderLines!$F$2:$F$925,"Dessert")&gt;0,"Dessert",""),IF(COUNTIFS(OrderLines!$A$2:$A$925,A57,OrderLines!$F$2:$F$925,"Hot Meal")&gt;0,"Hot Meal",""),IF(COUNTIFS(OrderLines!$A$2:$A$925,A57,OrderLines!$F$2:$F$925,"Snack")&gt;0,"Snack",""))</f>
        <v>Dessert + Hot Meal</v>
      </c>
    </row>
    <row r="58" spans="1:9">
      <c r="A58" t="str">
        <f>Orders!A58</f>
        <v>O00057</v>
      </c>
      <c r="B58" t="str">
        <f>Orders!C58</f>
        <v>Head Office Café</v>
      </c>
      <c r="C58" t="str">
        <f>Orders!F58</f>
        <v>Breakfast</v>
      </c>
      <c r="D58" t="str">
        <f>Orders!J58</f>
        <v>Single</v>
      </c>
      <c r="E58" s="24">
        <f>Orders!I58</f>
        <v>240.47079999999997</v>
      </c>
      <c r="F58" s="24">
        <f>SUMIF(OrderLines!$A$2:$A$925,A58,OrderLines!$L$2:$L$925)</f>
        <v>122.93</v>
      </c>
      <c r="G58" s="23">
        <f t="shared" si="2"/>
        <v>117.54079999999996</v>
      </c>
      <c r="H58" s="23">
        <f t="shared" si="3"/>
        <v>0.4887944814921395</v>
      </c>
      <c r="I58" t="str">
        <f>_xlfn.TEXTJOIN(" + ",TRUE,IF(COUNTIFS(OrderLines!$A$2:$A$925,A58,OrderLines!$F$2:$F$925,"Beverage")&gt;0,"Beverage",""),IF(COUNTIFS(OrderLines!$A$2:$A$925,A58,OrderLines!$F$2:$F$925,"Dessert")&gt;0,"Dessert",""),IF(COUNTIFS(OrderLines!$A$2:$A$925,A58,OrderLines!$F$2:$F$925,"Hot Meal")&gt;0,"Hot Meal",""),IF(COUNTIFS(OrderLines!$A$2:$A$925,A58,OrderLines!$F$2:$F$925,"Snack")&gt;0,"Snack",""))</f>
        <v>Beverage + Dessert + Snack</v>
      </c>
    </row>
    <row r="59" spans="1:9">
      <c r="A59" t="str">
        <f>Orders!A59</f>
        <v>O00058</v>
      </c>
      <c r="B59" t="str">
        <f>Orders!C59</f>
        <v>Plant 2 Canteen</v>
      </c>
      <c r="C59" t="str">
        <f>Orders!F59</f>
        <v>Dinner</v>
      </c>
      <c r="D59" t="str">
        <f>Orders!J59</f>
        <v>Single</v>
      </c>
      <c r="E59" s="24">
        <f>Orders!I59</f>
        <v>233.78549999999998</v>
      </c>
      <c r="F59" s="24">
        <f>SUMIF(OrderLines!$A$2:$A$925,A59,OrderLines!$L$2:$L$925)</f>
        <v>112.08</v>
      </c>
      <c r="G59" s="23">
        <f t="shared" si="2"/>
        <v>121.70549999999999</v>
      </c>
      <c r="H59" s="23">
        <f t="shared" si="3"/>
        <v>0.52058617835580046</v>
      </c>
      <c r="I59" t="str">
        <f>_xlfn.TEXTJOIN(" + ",TRUE,IF(COUNTIFS(OrderLines!$A$2:$A$925,A59,OrderLines!$F$2:$F$925,"Beverage")&gt;0,"Beverage",""),IF(COUNTIFS(OrderLines!$A$2:$A$925,A59,OrderLines!$F$2:$F$925,"Dessert")&gt;0,"Dessert",""),IF(COUNTIFS(OrderLines!$A$2:$A$925,A59,OrderLines!$F$2:$F$925,"Hot Meal")&gt;0,"Hot Meal",""),IF(COUNTIFS(OrderLines!$A$2:$A$925,A59,OrderLines!$F$2:$F$925,"Snack")&gt;0,"Snack",""))</f>
        <v>Hot Meal</v>
      </c>
    </row>
    <row r="60" spans="1:9">
      <c r="A60" t="str">
        <f>Orders!A60</f>
        <v>O00059</v>
      </c>
      <c r="B60" t="str">
        <f>Orders!C60</f>
        <v>Plant 2 Canteen</v>
      </c>
      <c r="C60" t="str">
        <f>Orders!F60</f>
        <v>Lunch</v>
      </c>
      <c r="D60" t="str">
        <f>Orders!J60</f>
        <v>Single</v>
      </c>
      <c r="E60" s="24">
        <f>Orders!I60</f>
        <v>662.52</v>
      </c>
      <c r="F60" s="24">
        <f>SUMIF(OrderLines!$A$2:$A$925,A60,OrderLines!$L$2:$L$925)</f>
        <v>290.85000000000002</v>
      </c>
      <c r="G60" s="23">
        <f t="shared" si="2"/>
        <v>371.66999999999996</v>
      </c>
      <c r="H60" s="23">
        <f t="shared" si="3"/>
        <v>0.56099438507516752</v>
      </c>
      <c r="I60" t="str">
        <f>_xlfn.TEXTJOIN(" + ",TRUE,IF(COUNTIFS(OrderLines!$A$2:$A$925,A60,OrderLines!$F$2:$F$925,"Beverage")&gt;0,"Beverage",""),IF(COUNTIFS(OrderLines!$A$2:$A$925,A60,OrderLines!$F$2:$F$925,"Dessert")&gt;0,"Dessert",""),IF(COUNTIFS(OrderLines!$A$2:$A$925,A60,OrderLines!$F$2:$F$925,"Hot Meal")&gt;0,"Hot Meal",""),IF(COUNTIFS(OrderLines!$A$2:$A$925,A60,OrderLines!$F$2:$F$925,"Snack")&gt;0,"Snack",""))</f>
        <v>Dessert + Hot Meal</v>
      </c>
    </row>
    <row r="61" spans="1:9">
      <c r="A61" t="str">
        <f>Orders!A61</f>
        <v>O00060</v>
      </c>
      <c r="B61" t="str">
        <f>Orders!C61</f>
        <v>Plant 2 Canteen</v>
      </c>
      <c r="C61" t="str">
        <f>Orders!F61</f>
        <v>Dinner</v>
      </c>
      <c r="D61" t="str">
        <f>Orders!J61</f>
        <v>Single</v>
      </c>
      <c r="E61" s="24">
        <f>Orders!I61</f>
        <v>710.06400000000008</v>
      </c>
      <c r="F61" s="24">
        <f>SUMIF(OrderLines!$A$2:$A$925,A61,OrderLines!$L$2:$L$925)</f>
        <v>341</v>
      </c>
      <c r="G61" s="23">
        <f t="shared" si="2"/>
        <v>369.06400000000008</v>
      </c>
      <c r="H61" s="23">
        <f t="shared" si="3"/>
        <v>0.5197615989544605</v>
      </c>
      <c r="I61" t="str">
        <f>_xlfn.TEXTJOIN(" + ",TRUE,IF(COUNTIFS(OrderLines!$A$2:$A$925,A61,OrderLines!$F$2:$F$925,"Beverage")&gt;0,"Beverage",""),IF(COUNTIFS(OrderLines!$A$2:$A$925,A61,OrderLines!$F$2:$F$925,"Dessert")&gt;0,"Dessert",""),IF(COUNTIFS(OrderLines!$A$2:$A$925,A61,OrderLines!$F$2:$F$925,"Hot Meal")&gt;0,"Hot Meal",""),IF(COUNTIFS(OrderLines!$A$2:$A$925,A61,OrderLines!$F$2:$F$925,"Snack")&gt;0,"Snack",""))</f>
        <v>Hot Meal + Snack</v>
      </c>
    </row>
    <row r="62" spans="1:9">
      <c r="A62" t="str">
        <f>Orders!A62</f>
        <v>O00061</v>
      </c>
      <c r="B62" t="str">
        <f>Orders!C62</f>
        <v>Plant 2 Canteen</v>
      </c>
      <c r="C62" t="str">
        <f>Orders!F62</f>
        <v>Breakfast</v>
      </c>
      <c r="D62" t="str">
        <f>Orders!J62</f>
        <v>Single</v>
      </c>
      <c r="E62" s="24">
        <f>Orders!I62</f>
        <v>252.66200000000001</v>
      </c>
      <c r="F62" s="24">
        <f>SUMIF(OrderLines!$A$2:$A$925,A62,OrderLines!$L$2:$L$925)</f>
        <v>112.53</v>
      </c>
      <c r="G62" s="23">
        <f t="shared" si="2"/>
        <v>140.13200000000001</v>
      </c>
      <c r="H62" s="23">
        <f t="shared" si="3"/>
        <v>0.5546223808883014</v>
      </c>
      <c r="I62" t="str">
        <f>_xlfn.TEXTJOIN(" + ",TRUE,IF(COUNTIFS(OrderLines!$A$2:$A$925,A62,OrderLines!$F$2:$F$925,"Beverage")&gt;0,"Beverage",""),IF(COUNTIFS(OrderLines!$A$2:$A$925,A62,OrderLines!$F$2:$F$925,"Dessert")&gt;0,"Dessert",""),IF(COUNTIFS(OrderLines!$A$2:$A$925,A62,OrderLines!$F$2:$F$925,"Hot Meal")&gt;0,"Hot Meal",""),IF(COUNTIFS(OrderLines!$A$2:$A$925,A62,OrderLines!$F$2:$F$925,"Snack")&gt;0,"Snack",""))</f>
        <v>Beverage + Snack</v>
      </c>
    </row>
    <row r="63" spans="1:9">
      <c r="A63" t="str">
        <f>Orders!A63</f>
        <v>O00062</v>
      </c>
      <c r="B63" t="str">
        <f>Orders!C63</f>
        <v>Plant 2 Canteen</v>
      </c>
      <c r="C63" t="str">
        <f>Orders!F63</f>
        <v>Dinner</v>
      </c>
      <c r="D63" t="str">
        <f>Orders!J63</f>
        <v>Single</v>
      </c>
      <c r="E63" s="24">
        <f>Orders!I63</f>
        <v>285.45159999999998</v>
      </c>
      <c r="F63" s="24">
        <f>SUMIF(OrderLines!$A$2:$A$925,A63,OrderLines!$L$2:$L$925)</f>
        <v>126.3</v>
      </c>
      <c r="G63" s="23">
        <f t="shared" si="2"/>
        <v>159.15159999999997</v>
      </c>
      <c r="H63" s="23">
        <f t="shared" si="3"/>
        <v>0.55754320522288181</v>
      </c>
      <c r="I63" t="str">
        <f>_xlfn.TEXTJOIN(" + ",TRUE,IF(COUNTIFS(OrderLines!$A$2:$A$925,A63,OrderLines!$F$2:$F$925,"Beverage")&gt;0,"Beverage",""),IF(COUNTIFS(OrderLines!$A$2:$A$925,A63,OrderLines!$F$2:$F$925,"Dessert")&gt;0,"Dessert",""),IF(COUNTIFS(OrderLines!$A$2:$A$925,A63,OrderLines!$F$2:$F$925,"Hot Meal")&gt;0,"Hot Meal",""),IF(COUNTIFS(OrderLines!$A$2:$A$925,A63,OrderLines!$F$2:$F$925,"Snack")&gt;0,"Snack",""))</f>
        <v>Beverage + Dessert</v>
      </c>
    </row>
    <row r="64" spans="1:9">
      <c r="A64" t="str">
        <f>Orders!A64</f>
        <v>O00063</v>
      </c>
      <c r="B64" t="str">
        <f>Orders!C64</f>
        <v>Head Office Café</v>
      </c>
      <c r="C64" t="str">
        <f>Orders!F64</f>
        <v>Dinner</v>
      </c>
      <c r="D64" t="str">
        <f>Orders!J64</f>
        <v>Single</v>
      </c>
      <c r="E64" s="24">
        <f>Orders!I64</f>
        <v>145.44499999999999</v>
      </c>
      <c r="F64" s="24">
        <f>SUMIF(OrderLines!$A$2:$A$925,A64,OrderLines!$L$2:$L$925)</f>
        <v>76.459999999999994</v>
      </c>
      <c r="G64" s="23">
        <f t="shared" si="2"/>
        <v>68.984999999999999</v>
      </c>
      <c r="H64" s="23">
        <f t="shared" si="3"/>
        <v>0.47430300113444945</v>
      </c>
      <c r="I64" t="str">
        <f>_xlfn.TEXTJOIN(" + ",TRUE,IF(COUNTIFS(OrderLines!$A$2:$A$925,A64,OrderLines!$F$2:$F$925,"Beverage")&gt;0,"Beverage",""),IF(COUNTIFS(OrderLines!$A$2:$A$925,A64,OrderLines!$F$2:$F$925,"Dessert")&gt;0,"Dessert",""),IF(COUNTIFS(OrderLines!$A$2:$A$925,A64,OrderLines!$F$2:$F$925,"Hot Meal")&gt;0,"Hot Meal",""),IF(COUNTIFS(OrderLines!$A$2:$A$925,A64,OrderLines!$F$2:$F$925,"Snack")&gt;0,"Snack",""))</f>
        <v>Dessert</v>
      </c>
    </row>
    <row r="65" spans="1:9">
      <c r="A65" t="str">
        <f>Orders!A65</f>
        <v>O00064</v>
      </c>
      <c r="B65" t="str">
        <f>Orders!C65</f>
        <v>Plant 1 Canteen</v>
      </c>
      <c r="C65" t="str">
        <f>Orders!F65</f>
        <v>Breakfast</v>
      </c>
      <c r="D65" t="str">
        <f>Orders!J65</f>
        <v>Single</v>
      </c>
      <c r="E65" s="24">
        <f>Orders!I65</f>
        <v>18.501200000000001</v>
      </c>
      <c r="F65" s="24">
        <f>SUMIF(OrderLines!$A$2:$A$925,A65,OrderLines!$L$2:$L$925)</f>
        <v>8</v>
      </c>
      <c r="G65" s="23">
        <f t="shared" si="2"/>
        <v>10.501200000000001</v>
      </c>
      <c r="H65" s="23">
        <f t="shared" si="3"/>
        <v>0.5675956154195404</v>
      </c>
      <c r="I65" t="str">
        <f>_xlfn.TEXTJOIN(" + ",TRUE,IF(COUNTIFS(OrderLines!$A$2:$A$925,A65,OrderLines!$F$2:$F$925,"Beverage")&gt;0,"Beverage",""),IF(COUNTIFS(OrderLines!$A$2:$A$925,A65,OrderLines!$F$2:$F$925,"Dessert")&gt;0,"Dessert",""),IF(COUNTIFS(OrderLines!$A$2:$A$925,A65,OrderLines!$F$2:$F$925,"Hot Meal")&gt;0,"Hot Meal",""),IF(COUNTIFS(OrderLines!$A$2:$A$925,A65,OrderLines!$F$2:$F$925,"Snack")&gt;0,"Snack",""))</f>
        <v>Beverage</v>
      </c>
    </row>
    <row r="66" spans="1:9">
      <c r="A66" t="str">
        <f>Orders!A66</f>
        <v>O00065</v>
      </c>
      <c r="B66" t="str">
        <f>Orders!C66</f>
        <v>Plant 1 Canteen</v>
      </c>
      <c r="C66" t="str">
        <f>Orders!F66</f>
        <v>Lunch</v>
      </c>
      <c r="D66" t="str">
        <f>Orders!J66</f>
        <v>Combo</v>
      </c>
      <c r="E66" s="24">
        <f>Orders!I66</f>
        <v>587.66380000000004</v>
      </c>
      <c r="F66" s="24">
        <f>SUMIF(OrderLines!$A$2:$A$925,A66,OrderLines!$L$2:$L$925)</f>
        <v>327.99</v>
      </c>
      <c r="G66" s="23">
        <f t="shared" si="2"/>
        <v>259.67380000000003</v>
      </c>
      <c r="H66" s="23">
        <f t="shared" si="3"/>
        <v>0.44187475900336215</v>
      </c>
      <c r="I66" t="str">
        <f>_xlfn.TEXTJOIN(" + ",TRUE,IF(COUNTIFS(OrderLines!$A$2:$A$925,A66,OrderLines!$F$2:$F$925,"Beverage")&gt;0,"Beverage",""),IF(COUNTIFS(OrderLines!$A$2:$A$925,A66,OrderLines!$F$2:$F$925,"Dessert")&gt;0,"Dessert",""),IF(COUNTIFS(OrderLines!$A$2:$A$925,A66,OrderLines!$F$2:$F$925,"Hot Meal")&gt;0,"Hot Meal",""),IF(COUNTIFS(OrderLines!$A$2:$A$925,A66,OrderLines!$F$2:$F$925,"Snack")&gt;0,"Snack",""))</f>
        <v>Beverage + Hot Meal + Snack</v>
      </c>
    </row>
    <row r="67" spans="1:9">
      <c r="A67" t="str">
        <f>Orders!A67</f>
        <v>O00066</v>
      </c>
      <c r="B67" t="str">
        <f>Orders!C67</f>
        <v>Head Office Café</v>
      </c>
      <c r="C67" t="str">
        <f>Orders!F67</f>
        <v>Breakfast</v>
      </c>
      <c r="D67" t="str">
        <f>Orders!J67</f>
        <v>Single</v>
      </c>
      <c r="E67" s="24">
        <f>Orders!I67</f>
        <v>1009.5894</v>
      </c>
      <c r="F67" s="24">
        <f>SUMIF(OrderLines!$A$2:$A$925,A67,OrderLines!$L$2:$L$925)</f>
        <v>531.21</v>
      </c>
      <c r="G67" s="23">
        <f t="shared" si="2"/>
        <v>478.37939999999992</v>
      </c>
      <c r="H67" s="23">
        <f t="shared" si="3"/>
        <v>0.47383560088883653</v>
      </c>
      <c r="I67" t="str">
        <f>_xlfn.TEXTJOIN(" + ",TRUE,IF(COUNTIFS(OrderLines!$A$2:$A$925,A67,OrderLines!$F$2:$F$925,"Beverage")&gt;0,"Beverage",""),IF(COUNTIFS(OrderLines!$A$2:$A$925,A67,OrderLines!$F$2:$F$925,"Dessert")&gt;0,"Dessert",""),IF(COUNTIFS(OrderLines!$A$2:$A$925,A67,OrderLines!$F$2:$F$925,"Hot Meal")&gt;0,"Hot Meal",""),IF(COUNTIFS(OrderLines!$A$2:$A$925,A67,OrderLines!$F$2:$F$925,"Snack")&gt;0,"Snack",""))</f>
        <v>Dessert + Hot Meal + Snack</v>
      </c>
    </row>
    <row r="68" spans="1:9">
      <c r="A68" t="str">
        <f>Orders!A68</f>
        <v>O00067</v>
      </c>
      <c r="B68" t="str">
        <f>Orders!C68</f>
        <v>Plant 1 Canteen</v>
      </c>
      <c r="C68" t="str">
        <f>Orders!F68</f>
        <v>Breakfast</v>
      </c>
      <c r="D68" t="str">
        <f>Orders!J68</f>
        <v>Single</v>
      </c>
      <c r="E68" s="24">
        <f>Orders!I68</f>
        <v>337.50630000000001</v>
      </c>
      <c r="F68" s="24">
        <f>SUMIF(OrderLines!$A$2:$A$925,A68,OrderLines!$L$2:$L$925)</f>
        <v>161.82</v>
      </c>
      <c r="G68" s="23">
        <f t="shared" si="2"/>
        <v>175.68630000000002</v>
      </c>
      <c r="H68" s="23">
        <f t="shared" si="3"/>
        <v>0.52054228321071339</v>
      </c>
      <c r="I68" t="str">
        <f>_xlfn.TEXTJOIN(" + ",TRUE,IF(COUNTIFS(OrderLines!$A$2:$A$925,A68,OrderLines!$F$2:$F$925,"Beverage")&gt;0,"Beverage",""),IF(COUNTIFS(OrderLines!$A$2:$A$925,A68,OrderLines!$F$2:$F$925,"Dessert")&gt;0,"Dessert",""),IF(COUNTIFS(OrderLines!$A$2:$A$925,A68,OrderLines!$F$2:$F$925,"Hot Meal")&gt;0,"Hot Meal",""),IF(COUNTIFS(OrderLines!$A$2:$A$925,A68,OrderLines!$F$2:$F$925,"Snack")&gt;0,"Snack",""))</f>
        <v>Beverage + Dessert + Snack</v>
      </c>
    </row>
    <row r="69" spans="1:9">
      <c r="A69" t="str">
        <f>Orders!A69</f>
        <v>O00068</v>
      </c>
      <c r="B69" t="str">
        <f>Orders!C69</f>
        <v>Plant 2 Canteen</v>
      </c>
      <c r="C69" t="str">
        <f>Orders!F69</f>
        <v>Breakfast</v>
      </c>
      <c r="D69" t="str">
        <f>Orders!J69</f>
        <v>Combo</v>
      </c>
      <c r="E69" s="24">
        <f>Orders!I69</f>
        <v>373.89439999999996</v>
      </c>
      <c r="F69" s="24">
        <f>SUMIF(OrderLines!$A$2:$A$925,A69,OrderLines!$L$2:$L$925)</f>
        <v>191.77999999999997</v>
      </c>
      <c r="G69" s="23">
        <f t="shared" si="2"/>
        <v>182.11439999999999</v>
      </c>
      <c r="H69" s="23">
        <f t="shared" si="3"/>
        <v>0.48707442529227507</v>
      </c>
      <c r="I69" t="str">
        <f>_xlfn.TEXTJOIN(" + ",TRUE,IF(COUNTIFS(OrderLines!$A$2:$A$925,A69,OrderLines!$F$2:$F$925,"Beverage")&gt;0,"Beverage",""),IF(COUNTIFS(OrderLines!$A$2:$A$925,A69,OrderLines!$F$2:$F$925,"Dessert")&gt;0,"Dessert",""),IF(COUNTIFS(OrderLines!$A$2:$A$925,A69,OrderLines!$F$2:$F$925,"Hot Meal")&gt;0,"Hot Meal",""),IF(COUNTIFS(OrderLines!$A$2:$A$925,A69,OrderLines!$F$2:$F$925,"Snack")&gt;0,"Snack",""))</f>
        <v>Beverage + Hot Meal + Snack</v>
      </c>
    </row>
    <row r="70" spans="1:9">
      <c r="A70" t="str">
        <f>Orders!A70</f>
        <v>O00069</v>
      </c>
      <c r="B70" t="str">
        <f>Orders!C70</f>
        <v>Plant 2 Canteen</v>
      </c>
      <c r="C70" t="str">
        <f>Orders!F70</f>
        <v>Lunch</v>
      </c>
      <c r="D70" t="str">
        <f>Orders!J70</f>
        <v>Single</v>
      </c>
      <c r="E70" s="24">
        <f>Orders!I70</f>
        <v>1539.5700000000002</v>
      </c>
      <c r="F70" s="24">
        <f>SUMIF(OrderLines!$A$2:$A$925,A70,OrderLines!$L$2:$L$925)</f>
        <v>731.26</v>
      </c>
      <c r="G70" s="23">
        <f t="shared" si="2"/>
        <v>808.31000000000017</v>
      </c>
      <c r="H70" s="23">
        <f t="shared" si="3"/>
        <v>0.52502322076943564</v>
      </c>
      <c r="I70" t="str">
        <f>_xlfn.TEXTJOIN(" + ",TRUE,IF(COUNTIFS(OrderLines!$A$2:$A$925,A70,OrderLines!$F$2:$F$925,"Beverage")&gt;0,"Beverage",""),IF(COUNTIFS(OrderLines!$A$2:$A$925,A70,OrderLines!$F$2:$F$925,"Dessert")&gt;0,"Dessert",""),IF(COUNTIFS(OrderLines!$A$2:$A$925,A70,OrderLines!$F$2:$F$925,"Hot Meal")&gt;0,"Hot Meal",""),IF(COUNTIFS(OrderLines!$A$2:$A$925,A70,OrderLines!$F$2:$F$925,"Snack")&gt;0,"Snack",""))</f>
        <v>Hot Meal + Snack</v>
      </c>
    </row>
    <row r="71" spans="1:9">
      <c r="A71" t="str">
        <f>Orders!A71</f>
        <v>O00070</v>
      </c>
      <c r="B71" t="str">
        <f>Orders!C71</f>
        <v>Plant 1 Canteen</v>
      </c>
      <c r="C71" t="str">
        <f>Orders!F71</f>
        <v>Breakfast</v>
      </c>
      <c r="D71" t="str">
        <f>Orders!J71</f>
        <v>Single</v>
      </c>
      <c r="E71" s="24">
        <f>Orders!I71</f>
        <v>56.710199999999993</v>
      </c>
      <c r="F71" s="24">
        <f>SUMIF(OrderLines!$A$2:$A$925,A71,OrderLines!$L$2:$L$925)</f>
        <v>24</v>
      </c>
      <c r="G71" s="23">
        <f t="shared" si="2"/>
        <v>32.710199999999993</v>
      </c>
      <c r="H71" s="23">
        <f t="shared" si="3"/>
        <v>0.57679570870848629</v>
      </c>
      <c r="I71" t="str">
        <f>_xlfn.TEXTJOIN(" + ",TRUE,IF(COUNTIFS(OrderLines!$A$2:$A$925,A71,OrderLines!$F$2:$F$925,"Beverage")&gt;0,"Beverage",""),IF(COUNTIFS(OrderLines!$A$2:$A$925,A71,OrderLines!$F$2:$F$925,"Dessert")&gt;0,"Dessert",""),IF(COUNTIFS(OrderLines!$A$2:$A$925,A71,OrderLines!$F$2:$F$925,"Hot Meal")&gt;0,"Hot Meal",""),IF(COUNTIFS(OrderLines!$A$2:$A$925,A71,OrderLines!$F$2:$F$925,"Snack")&gt;0,"Snack",""))</f>
        <v>Beverage</v>
      </c>
    </row>
    <row r="72" spans="1:9">
      <c r="A72" t="str">
        <f>Orders!A72</f>
        <v>O00071</v>
      </c>
      <c r="B72" t="str">
        <f>Orders!C72</f>
        <v>Plant 1 Canteen</v>
      </c>
      <c r="C72" t="str">
        <f>Orders!F72</f>
        <v>Lunch</v>
      </c>
      <c r="D72" t="str">
        <f>Orders!J72</f>
        <v>Single</v>
      </c>
      <c r="E72" s="24">
        <f>Orders!I72</f>
        <v>304.49419999999998</v>
      </c>
      <c r="F72" s="24">
        <f>SUMIF(OrderLines!$A$2:$A$925,A72,OrderLines!$L$2:$L$925)</f>
        <v>150.52999999999997</v>
      </c>
      <c r="G72" s="23">
        <f t="shared" si="2"/>
        <v>153.96420000000001</v>
      </c>
      <c r="H72" s="23">
        <f t="shared" si="3"/>
        <v>0.50563918787287254</v>
      </c>
      <c r="I72" t="str">
        <f>_xlfn.TEXTJOIN(" + ",TRUE,IF(COUNTIFS(OrderLines!$A$2:$A$925,A72,OrderLines!$F$2:$F$925,"Beverage")&gt;0,"Beverage",""),IF(COUNTIFS(OrderLines!$A$2:$A$925,A72,OrderLines!$F$2:$F$925,"Dessert")&gt;0,"Dessert",""),IF(COUNTIFS(OrderLines!$A$2:$A$925,A72,OrderLines!$F$2:$F$925,"Hot Meal")&gt;0,"Hot Meal",""),IF(COUNTIFS(OrderLines!$A$2:$A$925,A72,OrderLines!$F$2:$F$925,"Snack")&gt;0,"Snack",""))</f>
        <v>Dessert + Hot Meal</v>
      </c>
    </row>
    <row r="73" spans="1:9">
      <c r="A73" t="str">
        <f>Orders!A73</f>
        <v>O00072</v>
      </c>
      <c r="B73" t="str">
        <f>Orders!C73</f>
        <v>Head Office Café</v>
      </c>
      <c r="C73" t="str">
        <f>Orders!F73</f>
        <v>Lunch</v>
      </c>
      <c r="D73" t="str">
        <f>Orders!J73</f>
        <v>Combo</v>
      </c>
      <c r="E73" s="24">
        <f>Orders!I73</f>
        <v>336.36119999999994</v>
      </c>
      <c r="F73" s="24">
        <f>SUMIF(OrderLines!$A$2:$A$925,A73,OrderLines!$L$2:$L$925)</f>
        <v>176.20999999999998</v>
      </c>
      <c r="G73" s="23">
        <f t="shared" si="2"/>
        <v>160.15119999999996</v>
      </c>
      <c r="H73" s="23">
        <f t="shared" si="3"/>
        <v>0.47612863790472859</v>
      </c>
      <c r="I73" t="str">
        <f>_xlfn.TEXTJOIN(" + ",TRUE,IF(COUNTIFS(OrderLines!$A$2:$A$925,A73,OrderLines!$F$2:$F$925,"Beverage")&gt;0,"Beverage",""),IF(COUNTIFS(OrderLines!$A$2:$A$925,A73,OrderLines!$F$2:$F$925,"Dessert")&gt;0,"Dessert",""),IF(COUNTIFS(OrderLines!$A$2:$A$925,A73,OrderLines!$F$2:$F$925,"Hot Meal")&gt;0,"Hot Meal",""),IF(COUNTIFS(OrderLines!$A$2:$A$925,A73,OrderLines!$F$2:$F$925,"Snack")&gt;0,"Snack",""))</f>
        <v>Beverage + Hot Meal</v>
      </c>
    </row>
    <row r="74" spans="1:9">
      <c r="A74" t="str">
        <f>Orders!A74</f>
        <v>O00073</v>
      </c>
      <c r="B74" t="str">
        <f>Orders!C74</f>
        <v>Head Office Café</v>
      </c>
      <c r="C74" t="str">
        <f>Orders!F74</f>
        <v>Dinner</v>
      </c>
      <c r="D74" t="str">
        <f>Orders!J74</f>
        <v>Single</v>
      </c>
      <c r="E74" s="24">
        <f>Orders!I74</f>
        <v>95.36099999999999</v>
      </c>
      <c r="F74" s="24">
        <f>SUMIF(OrderLines!$A$2:$A$925,A74,OrderLines!$L$2:$L$925)</f>
        <v>45.22</v>
      </c>
      <c r="G74" s="23">
        <f t="shared" si="2"/>
        <v>50.140999999999991</v>
      </c>
      <c r="H74" s="23">
        <f t="shared" si="3"/>
        <v>0.52580195258019524</v>
      </c>
      <c r="I74" t="str">
        <f>_xlfn.TEXTJOIN(" + ",TRUE,IF(COUNTIFS(OrderLines!$A$2:$A$925,A74,OrderLines!$F$2:$F$925,"Beverage")&gt;0,"Beverage",""),IF(COUNTIFS(OrderLines!$A$2:$A$925,A74,OrderLines!$F$2:$F$925,"Dessert")&gt;0,"Dessert",""),IF(COUNTIFS(OrderLines!$A$2:$A$925,A74,OrderLines!$F$2:$F$925,"Hot Meal")&gt;0,"Hot Meal",""),IF(COUNTIFS(OrderLines!$A$2:$A$925,A74,OrderLines!$F$2:$F$925,"Snack")&gt;0,"Snack",""))</f>
        <v>Snack</v>
      </c>
    </row>
    <row r="75" spans="1:9">
      <c r="A75" t="str">
        <f>Orders!A75</f>
        <v>O00074</v>
      </c>
      <c r="B75" t="str">
        <f>Orders!C75</f>
        <v>Plant 2 Canteen</v>
      </c>
      <c r="C75" t="str">
        <f>Orders!F75</f>
        <v>Dinner</v>
      </c>
      <c r="D75" t="str">
        <f>Orders!J75</f>
        <v>Combo</v>
      </c>
      <c r="E75" s="24">
        <f>Orders!I75</f>
        <v>835.66079999999988</v>
      </c>
      <c r="F75" s="24">
        <f>SUMIF(OrderLines!$A$2:$A$925,A75,OrderLines!$L$2:$L$925)</f>
        <v>395.46</v>
      </c>
      <c r="G75" s="23">
        <f t="shared" si="2"/>
        <v>440.2007999999999</v>
      </c>
      <c r="H75" s="23">
        <f t="shared" si="3"/>
        <v>0.52676971326164868</v>
      </c>
      <c r="I75" t="str">
        <f>_xlfn.TEXTJOIN(" + ",TRUE,IF(COUNTIFS(OrderLines!$A$2:$A$925,A75,OrderLines!$F$2:$F$925,"Beverage")&gt;0,"Beverage",""),IF(COUNTIFS(OrderLines!$A$2:$A$925,A75,OrderLines!$F$2:$F$925,"Dessert")&gt;0,"Dessert",""),IF(COUNTIFS(OrderLines!$A$2:$A$925,A75,OrderLines!$F$2:$F$925,"Hot Meal")&gt;0,"Hot Meal",""),IF(COUNTIFS(OrderLines!$A$2:$A$925,A75,OrderLines!$F$2:$F$925,"Snack")&gt;0,"Snack",""))</f>
        <v>Beverage + Hot Meal + Snack</v>
      </c>
    </row>
    <row r="76" spans="1:9">
      <c r="A76" t="str">
        <f>Orders!A76</f>
        <v>O00075</v>
      </c>
      <c r="B76" t="str">
        <f>Orders!C76</f>
        <v>Plant 2 Canteen</v>
      </c>
      <c r="C76" t="str">
        <f>Orders!F76</f>
        <v>Dinner</v>
      </c>
      <c r="D76" t="str">
        <f>Orders!J76</f>
        <v>Combo</v>
      </c>
      <c r="E76" s="24">
        <f>Orders!I76</f>
        <v>512.8922</v>
      </c>
      <c r="F76" s="24">
        <f>SUMIF(OrderLines!$A$2:$A$925,A76,OrderLines!$L$2:$L$925)</f>
        <v>275.25</v>
      </c>
      <c r="G76" s="23">
        <f t="shared" si="2"/>
        <v>237.6422</v>
      </c>
      <c r="H76" s="23">
        <f t="shared" si="3"/>
        <v>0.46333752004807249</v>
      </c>
      <c r="I76" t="str">
        <f>_xlfn.TEXTJOIN(" + ",TRUE,IF(COUNTIFS(OrderLines!$A$2:$A$925,A76,OrderLines!$F$2:$F$925,"Beverage")&gt;0,"Beverage",""),IF(COUNTIFS(OrderLines!$A$2:$A$925,A76,OrderLines!$F$2:$F$925,"Dessert")&gt;0,"Dessert",""),IF(COUNTIFS(OrderLines!$A$2:$A$925,A76,OrderLines!$F$2:$F$925,"Hot Meal")&gt;0,"Hot Meal",""),IF(COUNTIFS(OrderLines!$A$2:$A$925,A76,OrderLines!$F$2:$F$925,"Snack")&gt;0,"Snack",""))</f>
        <v>Beverage + Hot Meal + Snack</v>
      </c>
    </row>
    <row r="77" spans="1:9">
      <c r="A77" t="str">
        <f>Orders!A77</f>
        <v>O00076</v>
      </c>
      <c r="B77" t="str">
        <f>Orders!C77</f>
        <v>Plant 1 Canteen</v>
      </c>
      <c r="C77" t="str">
        <f>Orders!F77</f>
        <v>Dinner</v>
      </c>
      <c r="D77" t="str">
        <f>Orders!J77</f>
        <v>Single</v>
      </c>
      <c r="E77" s="24">
        <f>Orders!I77</f>
        <v>393.21810000000005</v>
      </c>
      <c r="F77" s="24">
        <f>SUMIF(OrderLines!$A$2:$A$925,A77,OrderLines!$L$2:$L$925)</f>
        <v>206.4</v>
      </c>
      <c r="G77" s="23">
        <f t="shared" si="2"/>
        <v>186.81810000000004</v>
      </c>
      <c r="H77" s="23">
        <f t="shared" si="3"/>
        <v>0.47510045951597857</v>
      </c>
      <c r="I77" t="str">
        <f>_xlfn.TEXTJOIN(" + ",TRUE,IF(COUNTIFS(OrderLines!$A$2:$A$925,A77,OrderLines!$F$2:$F$925,"Beverage")&gt;0,"Beverage",""),IF(COUNTIFS(OrderLines!$A$2:$A$925,A77,OrderLines!$F$2:$F$925,"Dessert")&gt;0,"Dessert",""),IF(COUNTIFS(OrderLines!$A$2:$A$925,A77,OrderLines!$F$2:$F$925,"Hot Meal")&gt;0,"Hot Meal",""),IF(COUNTIFS(OrderLines!$A$2:$A$925,A77,OrderLines!$F$2:$F$925,"Snack")&gt;0,"Snack",""))</f>
        <v>Dessert + Hot Meal + Snack</v>
      </c>
    </row>
    <row r="78" spans="1:9">
      <c r="A78" t="str">
        <f>Orders!A78</f>
        <v>O00077</v>
      </c>
      <c r="B78" t="str">
        <f>Orders!C78</f>
        <v>Plant 2 Canteen</v>
      </c>
      <c r="C78" t="str">
        <f>Orders!F78</f>
        <v>Lunch</v>
      </c>
      <c r="D78" t="str">
        <f>Orders!J78</f>
        <v>Single</v>
      </c>
      <c r="E78" s="24">
        <f>Orders!I78</f>
        <v>92.132800000000003</v>
      </c>
      <c r="F78" s="24">
        <f>SUMIF(OrderLines!$A$2:$A$925,A78,OrderLines!$L$2:$L$925)</f>
        <v>47.650000000000006</v>
      </c>
      <c r="G78" s="23">
        <f t="shared" si="2"/>
        <v>44.482799999999997</v>
      </c>
      <c r="H78" s="23">
        <f t="shared" si="3"/>
        <v>0.48281176736189496</v>
      </c>
      <c r="I78" t="str">
        <f>_xlfn.TEXTJOIN(" + ",TRUE,IF(COUNTIFS(OrderLines!$A$2:$A$925,A78,OrderLines!$F$2:$F$925,"Beverage")&gt;0,"Beverage",""),IF(COUNTIFS(OrderLines!$A$2:$A$925,A78,OrderLines!$F$2:$F$925,"Dessert")&gt;0,"Dessert",""),IF(COUNTIFS(OrderLines!$A$2:$A$925,A78,OrderLines!$F$2:$F$925,"Hot Meal")&gt;0,"Hot Meal",""),IF(COUNTIFS(OrderLines!$A$2:$A$925,A78,OrderLines!$F$2:$F$925,"Snack")&gt;0,"Snack",""))</f>
        <v>Beverage + Snack</v>
      </c>
    </row>
    <row r="79" spans="1:9">
      <c r="A79" t="str">
        <f>Orders!A79</f>
        <v>O00078</v>
      </c>
      <c r="B79" t="str">
        <f>Orders!C79</f>
        <v>Plant 1 Canteen</v>
      </c>
      <c r="C79" t="str">
        <f>Orders!F79</f>
        <v>Dinner</v>
      </c>
      <c r="D79" t="str">
        <f>Orders!J79</f>
        <v>Single</v>
      </c>
      <c r="E79" s="24">
        <f>Orders!I79</f>
        <v>135.70830000000001</v>
      </c>
      <c r="F79" s="24">
        <f>SUMIF(OrderLines!$A$2:$A$925,A79,OrderLines!$L$2:$L$925)</f>
        <v>58.129999999999995</v>
      </c>
      <c r="G79" s="23">
        <f t="shared" si="2"/>
        <v>77.578300000000013</v>
      </c>
      <c r="H79" s="23">
        <f t="shared" si="3"/>
        <v>0.5716547919324021</v>
      </c>
      <c r="I79" t="str">
        <f>_xlfn.TEXTJOIN(" + ",TRUE,IF(COUNTIFS(OrderLines!$A$2:$A$925,A79,OrderLines!$F$2:$F$925,"Beverage")&gt;0,"Beverage",""),IF(COUNTIFS(OrderLines!$A$2:$A$925,A79,OrderLines!$F$2:$F$925,"Dessert")&gt;0,"Dessert",""),IF(COUNTIFS(OrderLines!$A$2:$A$925,A79,OrderLines!$F$2:$F$925,"Hot Meal")&gt;0,"Hot Meal",""),IF(COUNTIFS(OrderLines!$A$2:$A$925,A79,OrderLines!$F$2:$F$925,"Snack")&gt;0,"Snack",""))</f>
        <v>Beverage + Snack</v>
      </c>
    </row>
    <row r="80" spans="1:9">
      <c r="A80" t="str">
        <f>Orders!A80</f>
        <v>O00079</v>
      </c>
      <c r="B80" t="str">
        <f>Orders!C80</f>
        <v>Plant 1 Canteen</v>
      </c>
      <c r="C80" t="str">
        <f>Orders!F80</f>
        <v>Breakfast</v>
      </c>
      <c r="D80" t="str">
        <f>Orders!J80</f>
        <v>Single</v>
      </c>
      <c r="E80" s="24">
        <f>Orders!I80</f>
        <v>86.377200000000016</v>
      </c>
      <c r="F80" s="24">
        <f>SUMIF(OrderLines!$A$2:$A$925,A80,OrderLines!$L$2:$L$925)</f>
        <v>47.33</v>
      </c>
      <c r="G80" s="23">
        <f t="shared" ref="G80:G143" si="4">E80-F80</f>
        <v>39.047200000000018</v>
      </c>
      <c r="H80" s="23">
        <f t="shared" ref="H80:H143" si="5">IFERROR(G80/E80,0)</f>
        <v>0.45205447733892751</v>
      </c>
      <c r="I80" t="str">
        <f>_xlfn.TEXTJOIN(" + ",TRUE,IF(COUNTIFS(OrderLines!$A$2:$A$925,A80,OrderLines!$F$2:$F$925,"Beverage")&gt;0,"Beverage",""),IF(COUNTIFS(OrderLines!$A$2:$A$925,A80,OrderLines!$F$2:$F$925,"Dessert")&gt;0,"Dessert",""),IF(COUNTIFS(OrderLines!$A$2:$A$925,A80,OrderLines!$F$2:$F$925,"Hot Meal")&gt;0,"Hot Meal",""),IF(COUNTIFS(OrderLines!$A$2:$A$925,A80,OrderLines!$F$2:$F$925,"Snack")&gt;0,"Snack",""))</f>
        <v>Beverage + Snack</v>
      </c>
    </row>
    <row r="81" spans="1:9">
      <c r="A81" t="str">
        <f>Orders!A81</f>
        <v>O00080</v>
      </c>
      <c r="B81" t="str">
        <f>Orders!C81</f>
        <v>Plant 2 Canteen</v>
      </c>
      <c r="C81" t="str">
        <f>Orders!F81</f>
        <v>Dinner</v>
      </c>
      <c r="D81" t="str">
        <f>Orders!J81</f>
        <v>Combo</v>
      </c>
      <c r="E81" s="24">
        <f>Orders!I81</f>
        <v>419.39100000000002</v>
      </c>
      <c r="F81" s="24">
        <f>SUMIF(OrderLines!$A$2:$A$925,A81,OrderLines!$L$2:$L$925)</f>
        <v>192.04000000000002</v>
      </c>
      <c r="G81" s="23">
        <f t="shared" si="4"/>
        <v>227.351</v>
      </c>
      <c r="H81" s="23">
        <f t="shared" si="5"/>
        <v>0.54209794678474266</v>
      </c>
      <c r="I81" t="str">
        <f>_xlfn.TEXTJOIN(" + ",TRUE,IF(COUNTIFS(OrderLines!$A$2:$A$925,A81,OrderLines!$F$2:$F$925,"Beverage")&gt;0,"Beverage",""),IF(COUNTIFS(OrderLines!$A$2:$A$925,A81,OrderLines!$F$2:$F$925,"Dessert")&gt;0,"Dessert",""),IF(COUNTIFS(OrderLines!$A$2:$A$925,A81,OrderLines!$F$2:$F$925,"Hot Meal")&gt;0,"Hot Meal",""),IF(COUNTIFS(OrderLines!$A$2:$A$925,A81,OrderLines!$F$2:$F$925,"Snack")&gt;0,"Snack",""))</f>
        <v>Beverage + Hot Meal</v>
      </c>
    </row>
    <row r="82" spans="1:9">
      <c r="A82" t="str">
        <f>Orders!A82</f>
        <v>O00081</v>
      </c>
      <c r="B82" t="str">
        <f>Orders!C82</f>
        <v>Plant 2 Canteen</v>
      </c>
      <c r="C82" t="str">
        <f>Orders!F82</f>
        <v>Breakfast</v>
      </c>
      <c r="D82" t="str">
        <f>Orders!J82</f>
        <v>Single</v>
      </c>
      <c r="E82" s="24">
        <f>Orders!I82</f>
        <v>44.167200000000001</v>
      </c>
      <c r="F82" s="24">
        <f>SUMIF(OrderLines!$A$2:$A$925,A82,OrderLines!$L$2:$L$925)</f>
        <v>22.61</v>
      </c>
      <c r="G82" s="23">
        <f t="shared" si="4"/>
        <v>21.557200000000002</v>
      </c>
      <c r="H82" s="23">
        <f t="shared" si="5"/>
        <v>0.48808165335361992</v>
      </c>
      <c r="I82" t="str">
        <f>_xlfn.TEXTJOIN(" + ",TRUE,IF(COUNTIFS(OrderLines!$A$2:$A$925,A82,OrderLines!$F$2:$F$925,"Beverage")&gt;0,"Beverage",""),IF(COUNTIFS(OrderLines!$A$2:$A$925,A82,OrderLines!$F$2:$F$925,"Dessert")&gt;0,"Dessert",""),IF(COUNTIFS(OrderLines!$A$2:$A$925,A82,OrderLines!$F$2:$F$925,"Hot Meal")&gt;0,"Hot Meal",""),IF(COUNTIFS(OrderLines!$A$2:$A$925,A82,OrderLines!$F$2:$F$925,"Snack")&gt;0,"Snack",""))</f>
        <v>Snack</v>
      </c>
    </row>
    <row r="83" spans="1:9">
      <c r="A83" t="str">
        <f>Orders!A83</f>
        <v>O00082</v>
      </c>
      <c r="B83" t="str">
        <f>Orders!C83</f>
        <v>Plant 2 Canteen</v>
      </c>
      <c r="C83" t="str">
        <f>Orders!F83</f>
        <v>Breakfast</v>
      </c>
      <c r="D83" t="str">
        <f>Orders!J83</f>
        <v>Single</v>
      </c>
      <c r="E83" s="24">
        <f>Orders!I83</f>
        <v>119.85000000000001</v>
      </c>
      <c r="F83" s="24">
        <f>SUMIF(OrderLines!$A$2:$A$925,A83,OrderLines!$L$2:$L$925)</f>
        <v>46.53</v>
      </c>
      <c r="G83" s="23">
        <f t="shared" si="4"/>
        <v>73.320000000000007</v>
      </c>
      <c r="H83" s="23">
        <f t="shared" si="5"/>
        <v>0.61176470588235299</v>
      </c>
      <c r="I83" t="str">
        <f>_xlfn.TEXTJOIN(" + ",TRUE,IF(COUNTIFS(OrderLines!$A$2:$A$925,A83,OrderLines!$F$2:$F$925,"Beverage")&gt;0,"Beverage",""),IF(COUNTIFS(OrderLines!$A$2:$A$925,A83,OrderLines!$F$2:$F$925,"Dessert")&gt;0,"Dessert",""),IF(COUNTIFS(OrderLines!$A$2:$A$925,A83,OrderLines!$F$2:$F$925,"Hot Meal")&gt;0,"Hot Meal",""),IF(COUNTIFS(OrderLines!$A$2:$A$925,A83,OrderLines!$F$2:$F$925,"Snack")&gt;0,"Snack",""))</f>
        <v>Snack</v>
      </c>
    </row>
    <row r="84" spans="1:9">
      <c r="A84" t="str">
        <f>Orders!A84</f>
        <v>O00083</v>
      </c>
      <c r="B84" t="str">
        <f>Orders!C84</f>
        <v>Plant 2 Canteen</v>
      </c>
      <c r="C84" t="str">
        <f>Orders!F84</f>
        <v>Breakfast</v>
      </c>
      <c r="D84" t="str">
        <f>Orders!J84</f>
        <v>Combo</v>
      </c>
      <c r="E84" s="24">
        <f>Orders!I84</f>
        <v>297.28880000000004</v>
      </c>
      <c r="F84" s="24">
        <f>SUMIF(OrderLines!$A$2:$A$925,A84,OrderLines!$L$2:$L$925)</f>
        <v>176.02</v>
      </c>
      <c r="G84" s="23">
        <f t="shared" si="4"/>
        <v>121.26880000000003</v>
      </c>
      <c r="H84" s="23">
        <f t="shared" si="5"/>
        <v>0.40791580442990122</v>
      </c>
      <c r="I84" t="str">
        <f>_xlfn.TEXTJOIN(" + ",TRUE,IF(COUNTIFS(OrderLines!$A$2:$A$925,A84,OrderLines!$F$2:$F$925,"Beverage")&gt;0,"Beverage",""),IF(COUNTIFS(OrderLines!$A$2:$A$925,A84,OrderLines!$F$2:$F$925,"Dessert")&gt;0,"Dessert",""),IF(COUNTIFS(OrderLines!$A$2:$A$925,A84,OrderLines!$F$2:$F$925,"Hot Meal")&gt;0,"Hot Meal",""),IF(COUNTIFS(OrderLines!$A$2:$A$925,A84,OrderLines!$F$2:$F$925,"Snack")&gt;0,"Snack",""))</f>
        <v>Beverage + Hot Meal</v>
      </c>
    </row>
    <row r="85" spans="1:9">
      <c r="A85" t="str">
        <f>Orders!A85</f>
        <v>O00084</v>
      </c>
      <c r="B85" t="str">
        <f>Orders!C85</f>
        <v>Plant 1 Canteen</v>
      </c>
      <c r="C85" t="str">
        <f>Orders!F85</f>
        <v>Dinner</v>
      </c>
      <c r="D85" t="str">
        <f>Orders!J85</f>
        <v>Single</v>
      </c>
      <c r="E85" s="24">
        <f>Orders!I85</f>
        <v>200.50649999999999</v>
      </c>
      <c r="F85" s="24">
        <f>SUMIF(OrderLines!$A$2:$A$925,A85,OrderLines!$L$2:$L$925)</f>
        <v>116.43999999999998</v>
      </c>
      <c r="G85" s="23">
        <f t="shared" si="4"/>
        <v>84.066500000000005</v>
      </c>
      <c r="H85" s="23">
        <f t="shared" si="5"/>
        <v>0.41927069695994895</v>
      </c>
      <c r="I85" t="str">
        <f>_xlfn.TEXTJOIN(" + ",TRUE,IF(COUNTIFS(OrderLines!$A$2:$A$925,A85,OrderLines!$F$2:$F$925,"Beverage")&gt;0,"Beverage",""),IF(COUNTIFS(OrderLines!$A$2:$A$925,A85,OrderLines!$F$2:$F$925,"Dessert")&gt;0,"Dessert",""),IF(COUNTIFS(OrderLines!$A$2:$A$925,A85,OrderLines!$F$2:$F$925,"Hot Meal")&gt;0,"Hot Meal",""),IF(COUNTIFS(OrderLines!$A$2:$A$925,A85,OrderLines!$F$2:$F$925,"Snack")&gt;0,"Snack",""))</f>
        <v>Beverage + Dessert + Snack</v>
      </c>
    </row>
    <row r="86" spans="1:9">
      <c r="A86" t="str">
        <f>Orders!A86</f>
        <v>O00085</v>
      </c>
      <c r="B86" t="str">
        <f>Orders!C86</f>
        <v>Plant 2 Canteen</v>
      </c>
      <c r="C86" t="str">
        <f>Orders!F86</f>
        <v>Lunch</v>
      </c>
      <c r="D86" t="str">
        <f>Orders!J86</f>
        <v>Single</v>
      </c>
      <c r="E86" s="24">
        <f>Orders!I86</f>
        <v>151.48840000000001</v>
      </c>
      <c r="F86" s="24">
        <f>SUMIF(OrderLines!$A$2:$A$925,A86,OrderLines!$L$2:$L$925)</f>
        <v>67.17</v>
      </c>
      <c r="G86" s="23">
        <f t="shared" si="4"/>
        <v>84.318400000000011</v>
      </c>
      <c r="H86" s="23">
        <f t="shared" si="5"/>
        <v>0.55659971324537061</v>
      </c>
      <c r="I86" t="str">
        <f>_xlfn.TEXTJOIN(" + ",TRUE,IF(COUNTIFS(OrderLines!$A$2:$A$925,A86,OrderLines!$F$2:$F$925,"Beverage")&gt;0,"Beverage",""),IF(COUNTIFS(OrderLines!$A$2:$A$925,A86,OrderLines!$F$2:$F$925,"Dessert")&gt;0,"Dessert",""),IF(COUNTIFS(OrderLines!$A$2:$A$925,A86,OrderLines!$F$2:$F$925,"Hot Meal")&gt;0,"Hot Meal",""),IF(COUNTIFS(OrderLines!$A$2:$A$925,A86,OrderLines!$F$2:$F$925,"Snack")&gt;0,"Snack",""))</f>
        <v>Dessert + Snack</v>
      </c>
    </row>
    <row r="87" spans="1:9">
      <c r="A87" t="str">
        <f>Orders!A87</f>
        <v>O00086</v>
      </c>
      <c r="B87" t="str">
        <f>Orders!C87</f>
        <v>Head Office Café</v>
      </c>
      <c r="C87" t="str">
        <f>Orders!F87</f>
        <v>Lunch</v>
      </c>
      <c r="D87" t="str">
        <f>Orders!J87</f>
        <v>Single</v>
      </c>
      <c r="E87" s="24">
        <f>Orders!I87</f>
        <v>178.63679999999999</v>
      </c>
      <c r="F87" s="24">
        <f>SUMIF(OrderLines!$A$2:$A$925,A87,OrderLines!$L$2:$L$925)</f>
        <v>88.3</v>
      </c>
      <c r="G87" s="23">
        <f t="shared" si="4"/>
        <v>90.336799999999997</v>
      </c>
      <c r="H87" s="23">
        <f t="shared" si="5"/>
        <v>0.50570095299512752</v>
      </c>
      <c r="I87" t="str">
        <f>_xlfn.TEXTJOIN(" + ",TRUE,IF(COUNTIFS(OrderLines!$A$2:$A$925,A87,OrderLines!$F$2:$F$925,"Beverage")&gt;0,"Beverage",""),IF(COUNTIFS(OrderLines!$A$2:$A$925,A87,OrderLines!$F$2:$F$925,"Dessert")&gt;0,"Dessert",""),IF(COUNTIFS(OrderLines!$A$2:$A$925,A87,OrderLines!$F$2:$F$925,"Hot Meal")&gt;0,"Hot Meal",""),IF(COUNTIFS(OrderLines!$A$2:$A$925,A87,OrderLines!$F$2:$F$925,"Snack")&gt;0,"Snack",""))</f>
        <v>Beverage + Dessert</v>
      </c>
    </row>
    <row r="88" spans="1:9">
      <c r="A88" t="str">
        <f>Orders!A88</f>
        <v>O00087</v>
      </c>
      <c r="B88" t="str">
        <f>Orders!C88</f>
        <v>Plant 1 Canteen</v>
      </c>
      <c r="C88" t="str">
        <f>Orders!F88</f>
        <v>Breakfast</v>
      </c>
      <c r="D88" t="str">
        <f>Orders!J88</f>
        <v>Single</v>
      </c>
      <c r="E88" s="24">
        <f>Orders!I88</f>
        <v>252.08920000000001</v>
      </c>
      <c r="F88" s="24">
        <f>SUMIF(OrderLines!$A$2:$A$925,A88,OrderLines!$L$2:$L$925)</f>
        <v>132.60000000000002</v>
      </c>
      <c r="G88" s="23">
        <f t="shared" si="4"/>
        <v>119.48919999999998</v>
      </c>
      <c r="H88" s="23">
        <f t="shared" si="5"/>
        <v>0.47399571262870438</v>
      </c>
      <c r="I88" t="str">
        <f>_xlfn.TEXTJOIN(" + ",TRUE,IF(COUNTIFS(OrderLines!$A$2:$A$925,A88,OrderLines!$F$2:$F$925,"Beverage")&gt;0,"Beverage",""),IF(COUNTIFS(OrderLines!$A$2:$A$925,A88,OrderLines!$F$2:$F$925,"Dessert")&gt;0,"Dessert",""),IF(COUNTIFS(OrderLines!$A$2:$A$925,A88,OrderLines!$F$2:$F$925,"Hot Meal")&gt;0,"Hot Meal",""),IF(COUNTIFS(OrderLines!$A$2:$A$925,A88,OrderLines!$F$2:$F$925,"Snack")&gt;0,"Snack",""))</f>
        <v>Beverage + Snack</v>
      </c>
    </row>
    <row r="89" spans="1:9">
      <c r="A89" t="str">
        <f>Orders!A89</f>
        <v>O00088</v>
      </c>
      <c r="B89" t="str">
        <f>Orders!C89</f>
        <v>Head Office Café</v>
      </c>
      <c r="C89" t="str">
        <f>Orders!F89</f>
        <v>Breakfast</v>
      </c>
      <c r="D89" t="str">
        <f>Orders!J89</f>
        <v>Single</v>
      </c>
      <c r="E89" s="24">
        <f>Orders!I89</f>
        <v>291.99360000000001</v>
      </c>
      <c r="F89" s="24">
        <f>SUMIF(OrderLines!$A$2:$A$925,A89,OrderLines!$L$2:$L$925)</f>
        <v>134.44999999999999</v>
      </c>
      <c r="G89" s="23">
        <f t="shared" si="4"/>
        <v>157.54360000000003</v>
      </c>
      <c r="H89" s="23">
        <f t="shared" si="5"/>
        <v>0.53954470234964058</v>
      </c>
      <c r="I89" t="str">
        <f>_xlfn.TEXTJOIN(" + ",TRUE,IF(COUNTIFS(OrderLines!$A$2:$A$925,A89,OrderLines!$F$2:$F$925,"Beverage")&gt;0,"Beverage",""),IF(COUNTIFS(OrderLines!$A$2:$A$925,A89,OrderLines!$F$2:$F$925,"Dessert")&gt;0,"Dessert",""),IF(COUNTIFS(OrderLines!$A$2:$A$925,A89,OrderLines!$F$2:$F$925,"Hot Meal")&gt;0,"Hot Meal",""),IF(COUNTIFS(OrderLines!$A$2:$A$925,A89,OrderLines!$F$2:$F$925,"Snack")&gt;0,"Snack",""))</f>
        <v>Dessert + Hot Meal</v>
      </c>
    </row>
    <row r="90" spans="1:9">
      <c r="A90" t="str">
        <f>Orders!A90</f>
        <v>O00089</v>
      </c>
      <c r="B90" t="str">
        <f>Orders!C90</f>
        <v>Plant 1 Canteen</v>
      </c>
      <c r="C90" t="str">
        <f>Orders!F90</f>
        <v>Dinner</v>
      </c>
      <c r="D90" t="str">
        <f>Orders!J90</f>
        <v>Single</v>
      </c>
      <c r="E90" s="24">
        <f>Orders!I90</f>
        <v>658.67000000000007</v>
      </c>
      <c r="F90" s="24">
        <f>SUMIF(OrderLines!$A$2:$A$925,A90,OrderLines!$L$2:$L$925)</f>
        <v>309.59000000000003</v>
      </c>
      <c r="G90" s="23">
        <f t="shared" si="4"/>
        <v>349.08000000000004</v>
      </c>
      <c r="H90" s="23">
        <f t="shared" si="5"/>
        <v>0.52997707501480251</v>
      </c>
      <c r="I90" t="str">
        <f>_xlfn.TEXTJOIN(" + ",TRUE,IF(COUNTIFS(OrderLines!$A$2:$A$925,A90,OrderLines!$F$2:$F$925,"Beverage")&gt;0,"Beverage",""),IF(COUNTIFS(OrderLines!$A$2:$A$925,A90,OrderLines!$F$2:$F$925,"Dessert")&gt;0,"Dessert",""),IF(COUNTIFS(OrderLines!$A$2:$A$925,A90,OrderLines!$F$2:$F$925,"Hot Meal")&gt;0,"Hot Meal",""),IF(COUNTIFS(OrderLines!$A$2:$A$925,A90,OrderLines!$F$2:$F$925,"Snack")&gt;0,"Snack",""))</f>
        <v>Hot Meal + Snack</v>
      </c>
    </row>
    <row r="91" spans="1:9">
      <c r="A91" t="str">
        <f>Orders!A91</f>
        <v>O00090</v>
      </c>
      <c r="B91" t="str">
        <f>Orders!C91</f>
        <v>Plant 2 Canteen</v>
      </c>
      <c r="C91" t="str">
        <f>Orders!F91</f>
        <v>Dinner</v>
      </c>
      <c r="D91" t="str">
        <f>Orders!J91</f>
        <v>Combo</v>
      </c>
      <c r="E91" s="24">
        <f>Orders!I91</f>
        <v>714.59739999999999</v>
      </c>
      <c r="F91" s="24">
        <f>SUMIF(OrderLines!$A$2:$A$925,A91,OrderLines!$L$2:$L$925)</f>
        <v>319.25999999999993</v>
      </c>
      <c r="G91" s="23">
        <f t="shared" si="4"/>
        <v>395.33740000000006</v>
      </c>
      <c r="H91" s="23">
        <f t="shared" si="5"/>
        <v>0.55323095214172358</v>
      </c>
      <c r="I91" t="str">
        <f>_xlfn.TEXTJOIN(" + ",TRUE,IF(COUNTIFS(OrderLines!$A$2:$A$925,A91,OrderLines!$F$2:$F$925,"Beverage")&gt;0,"Beverage",""),IF(COUNTIFS(OrderLines!$A$2:$A$925,A91,OrderLines!$F$2:$F$925,"Dessert")&gt;0,"Dessert",""),IF(COUNTIFS(OrderLines!$A$2:$A$925,A91,OrderLines!$F$2:$F$925,"Hot Meal")&gt;0,"Hot Meal",""),IF(COUNTIFS(OrderLines!$A$2:$A$925,A91,OrderLines!$F$2:$F$925,"Snack")&gt;0,"Snack",""))</f>
        <v>Beverage + Hot Meal</v>
      </c>
    </row>
    <row r="92" spans="1:9">
      <c r="A92" t="str">
        <f>Orders!A92</f>
        <v>O00091</v>
      </c>
      <c r="B92" t="str">
        <f>Orders!C92</f>
        <v>Plant 2 Canteen</v>
      </c>
      <c r="C92" t="str">
        <f>Orders!F92</f>
        <v>Breakfast</v>
      </c>
      <c r="D92" t="str">
        <f>Orders!J92</f>
        <v>Single</v>
      </c>
      <c r="E92" s="24">
        <f>Orders!I92</f>
        <v>286.94400000000002</v>
      </c>
      <c r="F92" s="24">
        <f>SUMIF(OrderLines!$A$2:$A$925,A92,OrderLines!$L$2:$L$925)</f>
        <v>161.84</v>
      </c>
      <c r="G92" s="23">
        <f t="shared" si="4"/>
        <v>125.10400000000001</v>
      </c>
      <c r="H92" s="23">
        <f t="shared" si="5"/>
        <v>0.4359875097580016</v>
      </c>
      <c r="I92" t="str">
        <f>_xlfn.TEXTJOIN(" + ",TRUE,IF(COUNTIFS(OrderLines!$A$2:$A$925,A92,OrderLines!$F$2:$F$925,"Beverage")&gt;0,"Beverage",""),IF(COUNTIFS(OrderLines!$A$2:$A$925,A92,OrderLines!$F$2:$F$925,"Dessert")&gt;0,"Dessert",""),IF(COUNTIFS(OrderLines!$A$2:$A$925,A92,OrderLines!$F$2:$F$925,"Hot Meal")&gt;0,"Hot Meal",""),IF(COUNTIFS(OrderLines!$A$2:$A$925,A92,OrderLines!$F$2:$F$925,"Snack")&gt;0,"Snack",""))</f>
        <v>Hot Meal</v>
      </c>
    </row>
    <row r="93" spans="1:9">
      <c r="A93" t="str">
        <f>Orders!A93</f>
        <v>O00092</v>
      </c>
      <c r="B93" t="str">
        <f>Orders!C93</f>
        <v>Head Office Café</v>
      </c>
      <c r="C93" t="str">
        <f>Orders!F93</f>
        <v>Breakfast</v>
      </c>
      <c r="D93" t="str">
        <f>Orders!J93</f>
        <v>Combo</v>
      </c>
      <c r="E93" s="24">
        <f>Orders!I93</f>
        <v>686.02560000000005</v>
      </c>
      <c r="F93" s="24">
        <f>SUMIF(OrderLines!$A$2:$A$925,A93,OrderLines!$L$2:$L$925)</f>
        <v>318.15999999999997</v>
      </c>
      <c r="G93" s="23">
        <f t="shared" si="4"/>
        <v>367.86560000000009</v>
      </c>
      <c r="H93" s="23">
        <f t="shared" si="5"/>
        <v>0.53622721950900964</v>
      </c>
      <c r="I93" t="str">
        <f>_xlfn.TEXTJOIN(" + ",TRUE,IF(COUNTIFS(OrderLines!$A$2:$A$925,A93,OrderLines!$F$2:$F$925,"Beverage")&gt;0,"Beverage",""),IF(COUNTIFS(OrderLines!$A$2:$A$925,A93,OrderLines!$F$2:$F$925,"Dessert")&gt;0,"Dessert",""),IF(COUNTIFS(OrderLines!$A$2:$A$925,A93,OrderLines!$F$2:$F$925,"Hot Meal")&gt;0,"Hot Meal",""),IF(COUNTIFS(OrderLines!$A$2:$A$925,A93,OrderLines!$F$2:$F$925,"Snack")&gt;0,"Snack",""))</f>
        <v>Beverage + Dessert + Hot Meal</v>
      </c>
    </row>
    <row r="94" spans="1:9">
      <c r="A94" t="str">
        <f>Orders!A94</f>
        <v>O00093</v>
      </c>
      <c r="B94" t="str">
        <f>Orders!C94</f>
        <v>Head Office Café</v>
      </c>
      <c r="C94" t="str">
        <f>Orders!F94</f>
        <v>Breakfast</v>
      </c>
      <c r="D94" t="str">
        <f>Orders!J94</f>
        <v>Single</v>
      </c>
      <c r="E94" s="24">
        <f>Orders!I94</f>
        <v>398.80119999999999</v>
      </c>
      <c r="F94" s="24">
        <f>SUMIF(OrderLines!$A$2:$A$925,A94,OrderLines!$L$2:$L$925)</f>
        <v>220.12</v>
      </c>
      <c r="G94" s="23">
        <f t="shared" si="4"/>
        <v>178.68119999999999</v>
      </c>
      <c r="H94" s="23">
        <f t="shared" si="5"/>
        <v>0.44804579324234728</v>
      </c>
      <c r="I94" t="str">
        <f>_xlfn.TEXTJOIN(" + ",TRUE,IF(COUNTIFS(OrderLines!$A$2:$A$925,A94,OrderLines!$F$2:$F$925,"Beverage")&gt;0,"Beverage",""),IF(COUNTIFS(OrderLines!$A$2:$A$925,A94,OrderLines!$F$2:$F$925,"Dessert")&gt;0,"Dessert",""),IF(COUNTIFS(OrderLines!$A$2:$A$925,A94,OrderLines!$F$2:$F$925,"Hot Meal")&gt;0,"Hot Meal",""),IF(COUNTIFS(OrderLines!$A$2:$A$925,A94,OrderLines!$F$2:$F$925,"Snack")&gt;0,"Snack",""))</f>
        <v>Dessert + Hot Meal</v>
      </c>
    </row>
    <row r="95" spans="1:9">
      <c r="A95" t="str">
        <f>Orders!A95</f>
        <v>O00094</v>
      </c>
      <c r="B95" t="str">
        <f>Orders!C95</f>
        <v>Plant 1 Canteen</v>
      </c>
      <c r="C95" t="str">
        <f>Orders!F95</f>
        <v>Breakfast</v>
      </c>
      <c r="D95" t="str">
        <f>Orders!J95</f>
        <v>Single</v>
      </c>
      <c r="E95" s="24">
        <f>Orders!I95</f>
        <v>171.96960000000001</v>
      </c>
      <c r="F95" s="24">
        <f>SUMIF(OrderLines!$A$2:$A$925,A95,OrderLines!$L$2:$L$925)</f>
        <v>85.47</v>
      </c>
      <c r="G95" s="23">
        <f t="shared" si="4"/>
        <v>86.499600000000015</v>
      </c>
      <c r="H95" s="23">
        <f t="shared" si="5"/>
        <v>0.50299355234878729</v>
      </c>
      <c r="I95" t="str">
        <f>_xlfn.TEXTJOIN(" + ",TRUE,IF(COUNTIFS(OrderLines!$A$2:$A$925,A95,OrderLines!$F$2:$F$925,"Beverage")&gt;0,"Beverage",""),IF(COUNTIFS(OrderLines!$A$2:$A$925,A95,OrderLines!$F$2:$F$925,"Dessert")&gt;0,"Dessert",""),IF(COUNTIFS(OrderLines!$A$2:$A$925,A95,OrderLines!$F$2:$F$925,"Hot Meal")&gt;0,"Hot Meal",""),IF(COUNTIFS(OrderLines!$A$2:$A$925,A95,OrderLines!$F$2:$F$925,"Snack")&gt;0,"Snack",""))</f>
        <v>Beverage + Dessert + Snack</v>
      </c>
    </row>
    <row r="96" spans="1:9">
      <c r="A96" t="str">
        <f>Orders!A96</f>
        <v>O00095</v>
      </c>
      <c r="B96" t="str">
        <f>Orders!C96</f>
        <v>Plant 1 Canteen</v>
      </c>
      <c r="C96" t="str">
        <f>Orders!F96</f>
        <v>Breakfast</v>
      </c>
      <c r="D96" t="str">
        <f>Orders!J96</f>
        <v>Single</v>
      </c>
      <c r="E96" s="24">
        <f>Orders!I96</f>
        <v>739.84810000000004</v>
      </c>
      <c r="F96" s="24">
        <f>SUMIF(OrderLines!$A$2:$A$925,A96,OrderLines!$L$2:$L$925)</f>
        <v>319.67999999999995</v>
      </c>
      <c r="G96" s="23">
        <f t="shared" si="4"/>
        <v>420.16810000000009</v>
      </c>
      <c r="H96" s="23">
        <f t="shared" si="5"/>
        <v>0.56791130503680431</v>
      </c>
      <c r="I96" t="str">
        <f>_xlfn.TEXTJOIN(" + ",TRUE,IF(COUNTIFS(OrderLines!$A$2:$A$925,A96,OrderLines!$F$2:$F$925,"Beverage")&gt;0,"Beverage",""),IF(COUNTIFS(OrderLines!$A$2:$A$925,A96,OrderLines!$F$2:$F$925,"Dessert")&gt;0,"Dessert",""),IF(COUNTIFS(OrderLines!$A$2:$A$925,A96,OrderLines!$F$2:$F$925,"Hot Meal")&gt;0,"Hot Meal",""),IF(COUNTIFS(OrderLines!$A$2:$A$925,A96,OrderLines!$F$2:$F$925,"Snack")&gt;0,"Snack",""))</f>
        <v>Hot Meal + Snack</v>
      </c>
    </row>
    <row r="97" spans="1:9">
      <c r="A97" t="str">
        <f>Orders!A97</f>
        <v>O00096</v>
      </c>
      <c r="B97" t="str">
        <f>Orders!C97</f>
        <v>Plant 1 Canteen</v>
      </c>
      <c r="C97" t="str">
        <f>Orders!F97</f>
        <v>Breakfast</v>
      </c>
      <c r="D97" t="str">
        <f>Orders!J97</f>
        <v>Single</v>
      </c>
      <c r="E97" s="24">
        <f>Orders!I97</f>
        <v>825.56899999999996</v>
      </c>
      <c r="F97" s="24">
        <f>SUMIF(OrderLines!$A$2:$A$925,A97,OrderLines!$L$2:$L$925)</f>
        <v>396.42</v>
      </c>
      <c r="G97" s="23">
        <f t="shared" si="4"/>
        <v>429.14899999999994</v>
      </c>
      <c r="H97" s="23">
        <f t="shared" si="5"/>
        <v>0.51982208634287375</v>
      </c>
      <c r="I97" t="str">
        <f>_xlfn.TEXTJOIN(" + ",TRUE,IF(COUNTIFS(OrderLines!$A$2:$A$925,A97,OrderLines!$F$2:$F$925,"Beverage")&gt;0,"Beverage",""),IF(COUNTIFS(OrderLines!$A$2:$A$925,A97,OrderLines!$F$2:$F$925,"Dessert")&gt;0,"Dessert",""),IF(COUNTIFS(OrderLines!$A$2:$A$925,A97,OrderLines!$F$2:$F$925,"Hot Meal")&gt;0,"Hot Meal",""),IF(COUNTIFS(OrderLines!$A$2:$A$925,A97,OrderLines!$F$2:$F$925,"Snack")&gt;0,"Snack",""))</f>
        <v>Dessert + Hot Meal</v>
      </c>
    </row>
    <row r="98" spans="1:9">
      <c r="A98" t="str">
        <f>Orders!A98</f>
        <v>O00097</v>
      </c>
      <c r="B98" t="str">
        <f>Orders!C98</f>
        <v>Plant 1 Canteen</v>
      </c>
      <c r="C98" t="str">
        <f>Orders!F98</f>
        <v>Breakfast</v>
      </c>
      <c r="D98" t="str">
        <f>Orders!J98</f>
        <v>Single</v>
      </c>
      <c r="E98" s="24">
        <f>Orders!I98</f>
        <v>51.742600000000003</v>
      </c>
      <c r="F98" s="24">
        <f>SUMIF(OrderLines!$A$2:$A$925,A98,OrderLines!$L$2:$L$925)</f>
        <v>27.78</v>
      </c>
      <c r="G98" s="23">
        <f t="shared" si="4"/>
        <v>23.962600000000002</v>
      </c>
      <c r="H98" s="23">
        <f t="shared" si="5"/>
        <v>0.46311163335433475</v>
      </c>
      <c r="I98" t="str">
        <f>_xlfn.TEXTJOIN(" + ",TRUE,IF(COUNTIFS(OrderLines!$A$2:$A$925,A98,OrderLines!$F$2:$F$925,"Beverage")&gt;0,"Beverage",""),IF(COUNTIFS(OrderLines!$A$2:$A$925,A98,OrderLines!$F$2:$F$925,"Dessert")&gt;0,"Dessert",""),IF(COUNTIFS(OrderLines!$A$2:$A$925,A98,OrderLines!$F$2:$F$925,"Hot Meal")&gt;0,"Hot Meal",""),IF(COUNTIFS(OrderLines!$A$2:$A$925,A98,OrderLines!$F$2:$F$925,"Snack")&gt;0,"Snack",""))</f>
        <v>Beverage</v>
      </c>
    </row>
    <row r="99" spans="1:9">
      <c r="A99" t="str">
        <f>Orders!A99</f>
        <v>O00098</v>
      </c>
      <c r="B99" t="str">
        <f>Orders!C99</f>
        <v>Plant 2 Canteen</v>
      </c>
      <c r="C99" t="str">
        <f>Orders!F99</f>
        <v>Breakfast</v>
      </c>
      <c r="D99" t="str">
        <f>Orders!J99</f>
        <v>Single</v>
      </c>
      <c r="E99" s="24">
        <f>Orders!I99</f>
        <v>182.3877</v>
      </c>
      <c r="F99" s="24">
        <f>SUMIF(OrderLines!$A$2:$A$925,A99,OrderLines!$L$2:$L$925)</f>
        <v>77.19</v>
      </c>
      <c r="G99" s="23">
        <f t="shared" si="4"/>
        <v>105.1977</v>
      </c>
      <c r="H99" s="23">
        <f t="shared" si="5"/>
        <v>0.57678067106498954</v>
      </c>
      <c r="I99" t="str">
        <f>_xlfn.TEXTJOIN(" + ",TRUE,IF(COUNTIFS(OrderLines!$A$2:$A$925,A99,OrderLines!$F$2:$F$925,"Beverage")&gt;0,"Beverage",""),IF(COUNTIFS(OrderLines!$A$2:$A$925,A99,OrderLines!$F$2:$F$925,"Dessert")&gt;0,"Dessert",""),IF(COUNTIFS(OrderLines!$A$2:$A$925,A99,OrderLines!$F$2:$F$925,"Hot Meal")&gt;0,"Hot Meal",""),IF(COUNTIFS(OrderLines!$A$2:$A$925,A99,OrderLines!$F$2:$F$925,"Snack")&gt;0,"Snack",""))</f>
        <v>Beverage</v>
      </c>
    </row>
    <row r="100" spans="1:9">
      <c r="A100" t="str">
        <f>Orders!A100</f>
        <v>O00099</v>
      </c>
      <c r="B100" t="str">
        <f>Orders!C100</f>
        <v>Head Office Café</v>
      </c>
      <c r="C100" t="str">
        <f>Orders!F100</f>
        <v>Lunch</v>
      </c>
      <c r="D100" t="str">
        <f>Orders!J100</f>
        <v>Single</v>
      </c>
      <c r="E100" s="24">
        <f>Orders!I100</f>
        <v>242.30219999999997</v>
      </c>
      <c r="F100" s="24">
        <f>SUMIF(OrderLines!$A$2:$A$925,A100,OrderLines!$L$2:$L$925)</f>
        <v>139.19999999999999</v>
      </c>
      <c r="G100" s="23">
        <f t="shared" si="4"/>
        <v>103.10219999999998</v>
      </c>
      <c r="H100" s="23">
        <f t="shared" si="5"/>
        <v>0.42551078776833223</v>
      </c>
      <c r="I100" t="str">
        <f>_xlfn.TEXTJOIN(" + ",TRUE,IF(COUNTIFS(OrderLines!$A$2:$A$925,A100,OrderLines!$F$2:$F$925,"Beverage")&gt;0,"Beverage",""),IF(COUNTIFS(OrderLines!$A$2:$A$925,A100,OrderLines!$F$2:$F$925,"Dessert")&gt;0,"Dessert",""),IF(COUNTIFS(OrderLines!$A$2:$A$925,A100,OrderLines!$F$2:$F$925,"Hot Meal")&gt;0,"Hot Meal",""),IF(COUNTIFS(OrderLines!$A$2:$A$925,A100,OrderLines!$F$2:$F$925,"Snack")&gt;0,"Snack",""))</f>
        <v>Dessert + Hot Meal</v>
      </c>
    </row>
    <row r="101" spans="1:9">
      <c r="A101" t="str">
        <f>Orders!A101</f>
        <v>O00100</v>
      </c>
      <c r="B101" t="str">
        <f>Orders!C101</f>
        <v>Plant 1 Canteen</v>
      </c>
      <c r="C101" t="str">
        <f>Orders!F101</f>
        <v>Lunch</v>
      </c>
      <c r="D101" t="str">
        <f>Orders!J101</f>
        <v>Single</v>
      </c>
      <c r="E101" s="24">
        <f>Orders!I101</f>
        <v>317.98810000000003</v>
      </c>
      <c r="F101" s="24">
        <f>SUMIF(OrderLines!$A$2:$A$925,A101,OrderLines!$L$2:$L$925)</f>
        <v>166.45999999999998</v>
      </c>
      <c r="G101" s="23">
        <f t="shared" si="4"/>
        <v>151.52810000000005</v>
      </c>
      <c r="H101" s="23">
        <f t="shared" si="5"/>
        <v>0.47652129120555153</v>
      </c>
      <c r="I101" t="str">
        <f>_xlfn.TEXTJOIN(" + ",TRUE,IF(COUNTIFS(OrderLines!$A$2:$A$925,A101,OrderLines!$F$2:$F$925,"Beverage")&gt;0,"Beverage",""),IF(COUNTIFS(OrderLines!$A$2:$A$925,A101,OrderLines!$F$2:$F$925,"Dessert")&gt;0,"Dessert",""),IF(COUNTIFS(OrderLines!$A$2:$A$925,A101,OrderLines!$F$2:$F$925,"Hot Meal")&gt;0,"Hot Meal",""),IF(COUNTIFS(OrderLines!$A$2:$A$925,A101,OrderLines!$F$2:$F$925,"Snack")&gt;0,"Snack",""))</f>
        <v>Hot Meal + Snack</v>
      </c>
    </row>
    <row r="102" spans="1:9">
      <c r="A102" t="str">
        <f>Orders!A102</f>
        <v>O00101</v>
      </c>
      <c r="B102" t="str">
        <f>Orders!C102</f>
        <v>Head Office Café</v>
      </c>
      <c r="C102" t="str">
        <f>Orders!F102</f>
        <v>Breakfast</v>
      </c>
      <c r="D102" t="str">
        <f>Orders!J102</f>
        <v>Single</v>
      </c>
      <c r="E102" s="24">
        <f>Orders!I102</f>
        <v>140.83000000000001</v>
      </c>
      <c r="F102" s="24">
        <f>SUMIF(OrderLines!$A$2:$A$925,A102,OrderLines!$L$2:$L$925)</f>
        <v>65.5</v>
      </c>
      <c r="G102" s="23">
        <f t="shared" si="4"/>
        <v>75.330000000000013</v>
      </c>
      <c r="H102" s="23">
        <f t="shared" si="5"/>
        <v>0.53490023432507283</v>
      </c>
      <c r="I102" t="str">
        <f>_xlfn.TEXTJOIN(" + ",TRUE,IF(COUNTIFS(OrderLines!$A$2:$A$925,A102,OrderLines!$F$2:$F$925,"Beverage")&gt;0,"Beverage",""),IF(COUNTIFS(OrderLines!$A$2:$A$925,A102,OrderLines!$F$2:$F$925,"Dessert")&gt;0,"Dessert",""),IF(COUNTIFS(OrderLines!$A$2:$A$925,A102,OrderLines!$F$2:$F$925,"Hot Meal")&gt;0,"Hot Meal",""),IF(COUNTIFS(OrderLines!$A$2:$A$925,A102,OrderLines!$F$2:$F$925,"Snack")&gt;0,"Snack",""))</f>
        <v>Beverage + Snack</v>
      </c>
    </row>
    <row r="103" spans="1:9">
      <c r="A103" t="str">
        <f>Orders!A103</f>
        <v>O00102</v>
      </c>
      <c r="B103" t="str">
        <f>Orders!C103</f>
        <v>Plant 1 Canteen</v>
      </c>
      <c r="C103" t="str">
        <f>Orders!F103</f>
        <v>Breakfast</v>
      </c>
      <c r="D103" t="str">
        <f>Orders!J103</f>
        <v>Single</v>
      </c>
      <c r="E103" s="24">
        <f>Orders!I103</f>
        <v>70.791600000000003</v>
      </c>
      <c r="F103" s="24">
        <f>SUMIF(OrderLines!$A$2:$A$925,A103,OrderLines!$L$2:$L$925)</f>
        <v>39.1</v>
      </c>
      <c r="G103" s="23">
        <f t="shared" si="4"/>
        <v>31.691600000000001</v>
      </c>
      <c r="H103" s="23">
        <f t="shared" si="5"/>
        <v>0.44767458286011336</v>
      </c>
      <c r="I103" t="str">
        <f>_xlfn.TEXTJOIN(" + ",TRUE,IF(COUNTIFS(OrderLines!$A$2:$A$925,A103,OrderLines!$F$2:$F$925,"Beverage")&gt;0,"Beverage",""),IF(COUNTIFS(OrderLines!$A$2:$A$925,A103,OrderLines!$F$2:$F$925,"Dessert")&gt;0,"Dessert",""),IF(COUNTIFS(OrderLines!$A$2:$A$925,A103,OrderLines!$F$2:$F$925,"Hot Meal")&gt;0,"Hot Meal",""),IF(COUNTIFS(OrderLines!$A$2:$A$925,A103,OrderLines!$F$2:$F$925,"Snack")&gt;0,"Snack",""))</f>
        <v>Snack</v>
      </c>
    </row>
    <row r="104" spans="1:9">
      <c r="A104" t="str">
        <f>Orders!A104</f>
        <v>O00103</v>
      </c>
      <c r="B104" t="str">
        <f>Orders!C104</f>
        <v>Plant 1 Canteen</v>
      </c>
      <c r="C104" t="str">
        <f>Orders!F104</f>
        <v>Breakfast</v>
      </c>
      <c r="D104" t="str">
        <f>Orders!J104</f>
        <v>Single</v>
      </c>
      <c r="E104" s="24">
        <f>Orders!I104</f>
        <v>131.20439999999999</v>
      </c>
      <c r="F104" s="24">
        <f>SUMIF(OrderLines!$A$2:$A$925,A104,OrderLines!$L$2:$L$925)</f>
        <v>71.62</v>
      </c>
      <c r="G104" s="23">
        <f t="shared" si="4"/>
        <v>59.584399999999988</v>
      </c>
      <c r="H104" s="23">
        <f t="shared" si="5"/>
        <v>0.45413416013487345</v>
      </c>
      <c r="I104" t="str">
        <f>_xlfn.TEXTJOIN(" + ",TRUE,IF(COUNTIFS(OrderLines!$A$2:$A$925,A104,OrderLines!$F$2:$F$925,"Beverage")&gt;0,"Beverage",""),IF(COUNTIFS(OrderLines!$A$2:$A$925,A104,OrderLines!$F$2:$F$925,"Dessert")&gt;0,"Dessert",""),IF(COUNTIFS(OrderLines!$A$2:$A$925,A104,OrderLines!$F$2:$F$925,"Hot Meal")&gt;0,"Hot Meal",""),IF(COUNTIFS(OrderLines!$A$2:$A$925,A104,OrderLines!$F$2:$F$925,"Snack")&gt;0,"Snack",""))</f>
        <v>Snack</v>
      </c>
    </row>
    <row r="105" spans="1:9">
      <c r="A105" t="str">
        <f>Orders!A105</f>
        <v>O00104</v>
      </c>
      <c r="B105" t="str">
        <f>Orders!C105</f>
        <v>Plant 2 Canteen</v>
      </c>
      <c r="C105" t="str">
        <f>Orders!F105</f>
        <v>Lunch</v>
      </c>
      <c r="D105" t="str">
        <f>Orders!J105</f>
        <v>Single</v>
      </c>
      <c r="E105" s="24">
        <f>Orders!I105</f>
        <v>49.322000000000003</v>
      </c>
      <c r="F105" s="24">
        <f>SUMIF(OrderLines!$A$2:$A$925,A105,OrderLines!$L$2:$L$925)</f>
        <v>21.95</v>
      </c>
      <c r="G105" s="23">
        <f t="shared" si="4"/>
        <v>27.372000000000003</v>
      </c>
      <c r="H105" s="23">
        <f t="shared" si="5"/>
        <v>0.55496532987307901</v>
      </c>
      <c r="I105" t="str">
        <f>_xlfn.TEXTJOIN(" + ",TRUE,IF(COUNTIFS(OrderLines!$A$2:$A$925,A105,OrderLines!$F$2:$F$925,"Beverage")&gt;0,"Beverage",""),IF(COUNTIFS(OrderLines!$A$2:$A$925,A105,OrderLines!$F$2:$F$925,"Dessert")&gt;0,"Dessert",""),IF(COUNTIFS(OrderLines!$A$2:$A$925,A105,OrderLines!$F$2:$F$925,"Hot Meal")&gt;0,"Hot Meal",""),IF(COUNTIFS(OrderLines!$A$2:$A$925,A105,OrderLines!$F$2:$F$925,"Snack")&gt;0,"Snack",""))</f>
        <v>Dessert</v>
      </c>
    </row>
    <row r="106" spans="1:9">
      <c r="A106" t="str">
        <f>Orders!A106</f>
        <v>O00105</v>
      </c>
      <c r="B106" t="str">
        <f>Orders!C106</f>
        <v>Head Office Café</v>
      </c>
      <c r="C106" t="str">
        <f>Orders!F106</f>
        <v>Breakfast</v>
      </c>
      <c r="D106" t="str">
        <f>Orders!J106</f>
        <v>Single</v>
      </c>
      <c r="E106" s="24">
        <f>Orders!I106</f>
        <v>30.0366</v>
      </c>
      <c r="F106" s="24">
        <f>SUMIF(OrderLines!$A$2:$A$925,A106,OrderLines!$L$2:$L$925)</f>
        <v>14.18</v>
      </c>
      <c r="G106" s="23">
        <f t="shared" si="4"/>
        <v>15.8566</v>
      </c>
      <c r="H106" s="23">
        <f t="shared" si="5"/>
        <v>0.527909284006845</v>
      </c>
      <c r="I106" t="str">
        <f>_xlfn.TEXTJOIN(" + ",TRUE,IF(COUNTIFS(OrderLines!$A$2:$A$925,A106,OrderLines!$F$2:$F$925,"Beverage")&gt;0,"Beverage",""),IF(COUNTIFS(OrderLines!$A$2:$A$925,A106,OrderLines!$F$2:$F$925,"Dessert")&gt;0,"Dessert",""),IF(COUNTIFS(OrderLines!$A$2:$A$925,A106,OrderLines!$F$2:$F$925,"Hot Meal")&gt;0,"Hot Meal",""),IF(COUNTIFS(OrderLines!$A$2:$A$925,A106,OrderLines!$F$2:$F$925,"Snack")&gt;0,"Snack",""))</f>
        <v>Beverage</v>
      </c>
    </row>
    <row r="107" spans="1:9">
      <c r="A107" t="str">
        <f>Orders!A107</f>
        <v>O00106</v>
      </c>
      <c r="B107" t="str">
        <f>Orders!C107</f>
        <v>Plant 1 Canteen</v>
      </c>
      <c r="C107" t="str">
        <f>Orders!F107</f>
        <v>Lunch</v>
      </c>
      <c r="D107" t="str">
        <f>Orders!J107</f>
        <v>Combo</v>
      </c>
      <c r="E107" s="24">
        <f>Orders!I107</f>
        <v>423.67050000000006</v>
      </c>
      <c r="F107" s="24">
        <f>SUMIF(OrderLines!$A$2:$A$925,A107,OrderLines!$L$2:$L$925)</f>
        <v>207.67000000000002</v>
      </c>
      <c r="G107" s="23">
        <f t="shared" si="4"/>
        <v>216.00050000000005</v>
      </c>
      <c r="H107" s="23">
        <f t="shared" si="5"/>
        <v>0.50983134298942223</v>
      </c>
      <c r="I107" t="str">
        <f>_xlfn.TEXTJOIN(" + ",TRUE,IF(COUNTIFS(OrderLines!$A$2:$A$925,A107,OrderLines!$F$2:$F$925,"Beverage")&gt;0,"Beverage",""),IF(COUNTIFS(OrderLines!$A$2:$A$925,A107,OrderLines!$F$2:$F$925,"Dessert")&gt;0,"Dessert",""),IF(COUNTIFS(OrderLines!$A$2:$A$925,A107,OrderLines!$F$2:$F$925,"Hot Meal")&gt;0,"Hot Meal",""),IF(COUNTIFS(OrderLines!$A$2:$A$925,A107,OrderLines!$F$2:$F$925,"Snack")&gt;0,"Snack",""))</f>
        <v>Beverage + Hot Meal + Snack</v>
      </c>
    </row>
    <row r="108" spans="1:9">
      <c r="A108" t="str">
        <f>Orders!A108</f>
        <v>O00107</v>
      </c>
      <c r="B108" t="str">
        <f>Orders!C108</f>
        <v>Plant 2 Canteen</v>
      </c>
      <c r="C108" t="str">
        <f>Orders!F108</f>
        <v>Lunch</v>
      </c>
      <c r="D108" t="str">
        <f>Orders!J108</f>
        <v>Single</v>
      </c>
      <c r="E108" s="24">
        <f>Orders!I108</f>
        <v>57.426400000000001</v>
      </c>
      <c r="F108" s="24">
        <f>SUMIF(OrderLines!$A$2:$A$925,A108,OrderLines!$L$2:$L$925)</f>
        <v>25.380000000000003</v>
      </c>
      <c r="G108" s="23">
        <f t="shared" si="4"/>
        <v>32.046399999999998</v>
      </c>
      <c r="H108" s="23">
        <f t="shared" si="5"/>
        <v>0.55804299068024454</v>
      </c>
      <c r="I108" t="str">
        <f>_xlfn.TEXTJOIN(" + ",TRUE,IF(COUNTIFS(OrderLines!$A$2:$A$925,A108,OrderLines!$F$2:$F$925,"Beverage")&gt;0,"Beverage",""),IF(COUNTIFS(OrderLines!$A$2:$A$925,A108,OrderLines!$F$2:$F$925,"Dessert")&gt;0,"Dessert",""),IF(COUNTIFS(OrderLines!$A$2:$A$925,A108,OrderLines!$F$2:$F$925,"Hot Meal")&gt;0,"Hot Meal",""),IF(COUNTIFS(OrderLines!$A$2:$A$925,A108,OrderLines!$F$2:$F$925,"Snack")&gt;0,"Snack",""))</f>
        <v>Beverage</v>
      </c>
    </row>
    <row r="109" spans="1:9">
      <c r="A109" t="str">
        <f>Orders!A109</f>
        <v>O00108</v>
      </c>
      <c r="B109" t="str">
        <f>Orders!C109</f>
        <v>Plant 1 Canteen</v>
      </c>
      <c r="C109" t="str">
        <f>Orders!F109</f>
        <v>Lunch</v>
      </c>
      <c r="D109" t="str">
        <f>Orders!J109</f>
        <v>Single</v>
      </c>
      <c r="E109" s="24">
        <f>Orders!I109</f>
        <v>200.38709999999998</v>
      </c>
      <c r="F109" s="24">
        <f>SUMIF(OrderLines!$A$2:$A$925,A109,OrderLines!$L$2:$L$925)</f>
        <v>103.44000000000001</v>
      </c>
      <c r="G109" s="23">
        <f t="shared" si="4"/>
        <v>96.947099999999963</v>
      </c>
      <c r="H109" s="23">
        <f t="shared" si="5"/>
        <v>0.48379910682873284</v>
      </c>
      <c r="I109" t="str">
        <f>_xlfn.TEXTJOIN(" + ",TRUE,IF(COUNTIFS(OrderLines!$A$2:$A$925,A109,OrderLines!$F$2:$F$925,"Beverage")&gt;0,"Beverage",""),IF(COUNTIFS(OrderLines!$A$2:$A$925,A109,OrderLines!$F$2:$F$925,"Dessert")&gt;0,"Dessert",""),IF(COUNTIFS(OrderLines!$A$2:$A$925,A109,OrderLines!$F$2:$F$925,"Hot Meal")&gt;0,"Hot Meal",""),IF(COUNTIFS(OrderLines!$A$2:$A$925,A109,OrderLines!$F$2:$F$925,"Snack")&gt;0,"Snack",""))</f>
        <v>Beverage + Dessert + Snack</v>
      </c>
    </row>
    <row r="110" spans="1:9">
      <c r="A110" t="str">
        <f>Orders!A110</f>
        <v>O00109</v>
      </c>
      <c r="B110" t="str">
        <f>Orders!C110</f>
        <v>Plant 2 Canteen</v>
      </c>
      <c r="C110" t="str">
        <f>Orders!F110</f>
        <v>Dinner</v>
      </c>
      <c r="D110" t="str">
        <f>Orders!J110</f>
        <v>Single</v>
      </c>
      <c r="E110" s="24">
        <f>Orders!I110</f>
        <v>56.432399999999994</v>
      </c>
      <c r="F110" s="24">
        <f>SUMIF(OrderLines!$A$2:$A$925,A110,OrderLines!$L$2:$L$925)</f>
        <v>28.36</v>
      </c>
      <c r="G110" s="23">
        <f t="shared" si="4"/>
        <v>28.072399999999995</v>
      </c>
      <c r="H110" s="23">
        <f t="shared" si="5"/>
        <v>0.49745181845889946</v>
      </c>
      <c r="I110" t="str">
        <f>_xlfn.TEXTJOIN(" + ",TRUE,IF(COUNTIFS(OrderLines!$A$2:$A$925,A110,OrderLines!$F$2:$F$925,"Beverage")&gt;0,"Beverage",""),IF(COUNTIFS(OrderLines!$A$2:$A$925,A110,OrderLines!$F$2:$F$925,"Dessert")&gt;0,"Dessert",""),IF(COUNTIFS(OrderLines!$A$2:$A$925,A110,OrderLines!$F$2:$F$925,"Hot Meal")&gt;0,"Hot Meal",""),IF(COUNTIFS(OrderLines!$A$2:$A$925,A110,OrderLines!$F$2:$F$925,"Snack")&gt;0,"Snack",""))</f>
        <v>Beverage</v>
      </c>
    </row>
    <row r="111" spans="1:9">
      <c r="A111" t="str">
        <f>Orders!A111</f>
        <v>O00110</v>
      </c>
      <c r="B111" t="str">
        <f>Orders!C111</f>
        <v>Plant 1 Canteen</v>
      </c>
      <c r="C111" t="str">
        <f>Orders!F111</f>
        <v>Dinner</v>
      </c>
      <c r="D111" t="str">
        <f>Orders!J111</f>
        <v>Combo</v>
      </c>
      <c r="E111" s="24">
        <f>Orders!I111</f>
        <v>761.72579999999994</v>
      </c>
      <c r="F111" s="24">
        <f>SUMIF(OrderLines!$A$2:$A$925,A111,OrderLines!$L$2:$L$925)</f>
        <v>362.02</v>
      </c>
      <c r="G111" s="23">
        <f t="shared" si="4"/>
        <v>399.70579999999995</v>
      </c>
      <c r="H111" s="23">
        <f t="shared" si="5"/>
        <v>0.52473711668949641</v>
      </c>
      <c r="I111" t="str">
        <f>_xlfn.TEXTJOIN(" + ",TRUE,IF(COUNTIFS(OrderLines!$A$2:$A$925,A111,OrderLines!$F$2:$F$925,"Beverage")&gt;0,"Beverage",""),IF(COUNTIFS(OrderLines!$A$2:$A$925,A111,OrderLines!$F$2:$F$925,"Dessert")&gt;0,"Dessert",""),IF(COUNTIFS(OrderLines!$A$2:$A$925,A111,OrderLines!$F$2:$F$925,"Hot Meal")&gt;0,"Hot Meal",""),IF(COUNTIFS(OrderLines!$A$2:$A$925,A111,OrderLines!$F$2:$F$925,"Snack")&gt;0,"Snack",""))</f>
        <v>Beverage + Dessert + Hot Meal</v>
      </c>
    </row>
    <row r="112" spans="1:9">
      <c r="A112" t="str">
        <f>Orders!A112</f>
        <v>O00111</v>
      </c>
      <c r="B112" t="str">
        <f>Orders!C112</f>
        <v>Plant 1 Canteen</v>
      </c>
      <c r="C112" t="str">
        <f>Orders!F112</f>
        <v>Lunch</v>
      </c>
      <c r="D112" t="str">
        <f>Orders!J112</f>
        <v>Combo</v>
      </c>
      <c r="E112" s="24">
        <f>Orders!I112</f>
        <v>335.51330000000002</v>
      </c>
      <c r="F112" s="24">
        <f>SUMIF(OrderLines!$A$2:$A$925,A112,OrderLines!$L$2:$L$925)</f>
        <v>181.68</v>
      </c>
      <c r="G112" s="23">
        <f t="shared" si="4"/>
        <v>153.83330000000001</v>
      </c>
      <c r="H112" s="23">
        <f t="shared" si="5"/>
        <v>0.45850134704048989</v>
      </c>
      <c r="I112" t="str">
        <f>_xlfn.TEXTJOIN(" + ",TRUE,IF(COUNTIFS(OrderLines!$A$2:$A$925,A112,OrderLines!$F$2:$F$925,"Beverage")&gt;0,"Beverage",""),IF(COUNTIFS(OrderLines!$A$2:$A$925,A112,OrderLines!$F$2:$F$925,"Dessert")&gt;0,"Dessert",""),IF(COUNTIFS(OrderLines!$A$2:$A$925,A112,OrderLines!$F$2:$F$925,"Hot Meal")&gt;0,"Hot Meal",""),IF(COUNTIFS(OrderLines!$A$2:$A$925,A112,OrderLines!$F$2:$F$925,"Snack")&gt;0,"Snack",""))</f>
        <v>Beverage + Hot Meal</v>
      </c>
    </row>
    <row r="113" spans="1:9">
      <c r="A113" t="str">
        <f>Orders!A113</f>
        <v>O00112</v>
      </c>
      <c r="B113" t="str">
        <f>Orders!C113</f>
        <v>Head Office Café</v>
      </c>
      <c r="C113" t="str">
        <f>Orders!F113</f>
        <v>Breakfast</v>
      </c>
      <c r="D113" t="str">
        <f>Orders!J113</f>
        <v>Combo</v>
      </c>
      <c r="E113" s="24">
        <f>Orders!I113</f>
        <v>409.14420000000001</v>
      </c>
      <c r="F113" s="24">
        <f>SUMIF(OrderLines!$A$2:$A$925,A113,OrderLines!$L$2:$L$925)</f>
        <v>224.99</v>
      </c>
      <c r="G113" s="23">
        <f t="shared" si="4"/>
        <v>184.1542</v>
      </c>
      <c r="H113" s="23">
        <f t="shared" si="5"/>
        <v>0.45009607859527279</v>
      </c>
      <c r="I113" t="str">
        <f>_xlfn.TEXTJOIN(" + ",TRUE,IF(COUNTIFS(OrderLines!$A$2:$A$925,A113,OrderLines!$F$2:$F$925,"Beverage")&gt;0,"Beverage",""),IF(COUNTIFS(OrderLines!$A$2:$A$925,A113,OrderLines!$F$2:$F$925,"Dessert")&gt;0,"Dessert",""),IF(COUNTIFS(OrderLines!$A$2:$A$925,A113,OrderLines!$F$2:$F$925,"Hot Meal")&gt;0,"Hot Meal",""),IF(COUNTIFS(OrderLines!$A$2:$A$925,A113,OrderLines!$F$2:$F$925,"Snack")&gt;0,"Snack",""))</f>
        <v>Beverage + Dessert + Hot Meal</v>
      </c>
    </row>
    <row r="114" spans="1:9">
      <c r="A114" t="str">
        <f>Orders!A114</f>
        <v>O00113</v>
      </c>
      <c r="B114" t="str">
        <f>Orders!C114</f>
        <v>Head Office Café</v>
      </c>
      <c r="C114" t="str">
        <f>Orders!F114</f>
        <v>Breakfast</v>
      </c>
      <c r="D114" t="str">
        <f>Orders!J114</f>
        <v>Single</v>
      </c>
      <c r="E114" s="24">
        <f>Orders!I114</f>
        <v>509.79810000000003</v>
      </c>
      <c r="F114" s="24">
        <f>SUMIF(OrderLines!$A$2:$A$925,A114,OrderLines!$L$2:$L$925)</f>
        <v>262.24</v>
      </c>
      <c r="G114" s="23">
        <f t="shared" si="4"/>
        <v>247.55810000000002</v>
      </c>
      <c r="H114" s="23">
        <f t="shared" si="5"/>
        <v>0.48560027979704123</v>
      </c>
      <c r="I114" t="str">
        <f>_xlfn.TEXTJOIN(" + ",TRUE,IF(COUNTIFS(OrderLines!$A$2:$A$925,A114,OrderLines!$F$2:$F$925,"Beverage")&gt;0,"Beverage",""),IF(COUNTIFS(OrderLines!$A$2:$A$925,A114,OrderLines!$F$2:$F$925,"Dessert")&gt;0,"Dessert",""),IF(COUNTIFS(OrderLines!$A$2:$A$925,A114,OrderLines!$F$2:$F$925,"Hot Meal")&gt;0,"Hot Meal",""),IF(COUNTIFS(OrderLines!$A$2:$A$925,A114,OrderLines!$F$2:$F$925,"Snack")&gt;0,"Snack",""))</f>
        <v>Dessert + Hot Meal</v>
      </c>
    </row>
    <row r="115" spans="1:9">
      <c r="A115" t="str">
        <f>Orders!A115</f>
        <v>O00114</v>
      </c>
      <c r="B115" t="str">
        <f>Orders!C115</f>
        <v>Plant 2 Canteen</v>
      </c>
      <c r="C115" t="str">
        <f>Orders!F115</f>
        <v>Dinner</v>
      </c>
      <c r="D115" t="str">
        <f>Orders!J115</f>
        <v>Single</v>
      </c>
      <c r="E115" s="24">
        <f>Orders!I115</f>
        <v>251.20089999999999</v>
      </c>
      <c r="F115" s="24">
        <f>SUMIF(OrderLines!$A$2:$A$925,A115,OrderLines!$L$2:$L$925)</f>
        <v>111.72999999999999</v>
      </c>
      <c r="G115" s="23">
        <f t="shared" si="4"/>
        <v>139.4709</v>
      </c>
      <c r="H115" s="23">
        <f t="shared" si="5"/>
        <v>0.55521656172410216</v>
      </c>
      <c r="I115" t="str">
        <f>_xlfn.TEXTJOIN(" + ",TRUE,IF(COUNTIFS(OrderLines!$A$2:$A$925,A115,OrderLines!$F$2:$F$925,"Beverage")&gt;0,"Beverage",""),IF(COUNTIFS(OrderLines!$A$2:$A$925,A115,OrderLines!$F$2:$F$925,"Dessert")&gt;0,"Dessert",""),IF(COUNTIFS(OrderLines!$A$2:$A$925,A115,OrderLines!$F$2:$F$925,"Hot Meal")&gt;0,"Hot Meal",""),IF(COUNTIFS(OrderLines!$A$2:$A$925,A115,OrderLines!$F$2:$F$925,"Snack")&gt;0,"Snack",""))</f>
        <v>Dessert + Snack</v>
      </c>
    </row>
    <row r="116" spans="1:9">
      <c r="A116" t="str">
        <f>Orders!A116</f>
        <v>O00115</v>
      </c>
      <c r="B116" t="str">
        <f>Orders!C116</f>
        <v>Plant 2 Canteen</v>
      </c>
      <c r="C116" t="str">
        <f>Orders!F116</f>
        <v>Dinner</v>
      </c>
      <c r="D116" t="str">
        <f>Orders!J116</f>
        <v>Combo</v>
      </c>
      <c r="E116" s="24">
        <f>Orders!I116</f>
        <v>750.9926999999999</v>
      </c>
      <c r="F116" s="24">
        <f>SUMIF(OrderLines!$A$2:$A$925,A116,OrderLines!$L$2:$L$925)</f>
        <v>394.59</v>
      </c>
      <c r="G116" s="23">
        <f t="shared" si="4"/>
        <v>356.40269999999992</v>
      </c>
      <c r="H116" s="23">
        <f t="shared" si="5"/>
        <v>0.47457545193182299</v>
      </c>
      <c r="I116" t="str">
        <f>_xlfn.TEXTJOIN(" + ",TRUE,IF(COUNTIFS(OrderLines!$A$2:$A$925,A116,OrderLines!$F$2:$F$925,"Beverage")&gt;0,"Beverage",""),IF(COUNTIFS(OrderLines!$A$2:$A$925,A116,OrderLines!$F$2:$F$925,"Dessert")&gt;0,"Dessert",""),IF(COUNTIFS(OrderLines!$A$2:$A$925,A116,OrderLines!$F$2:$F$925,"Hot Meal")&gt;0,"Hot Meal",""),IF(COUNTIFS(OrderLines!$A$2:$A$925,A116,OrderLines!$F$2:$F$925,"Snack")&gt;0,"Snack",""))</f>
        <v>Beverage + Dessert + Hot Meal</v>
      </c>
    </row>
    <row r="117" spans="1:9">
      <c r="A117" t="str">
        <f>Orders!A117</f>
        <v>O00116</v>
      </c>
      <c r="B117" t="str">
        <f>Orders!C117</f>
        <v>Plant 2 Canteen</v>
      </c>
      <c r="C117" t="str">
        <f>Orders!F117</f>
        <v>Dinner</v>
      </c>
      <c r="D117" t="str">
        <f>Orders!J117</f>
        <v>Combo</v>
      </c>
      <c r="E117" s="24">
        <f>Orders!I117</f>
        <v>376.96080000000006</v>
      </c>
      <c r="F117" s="24">
        <f>SUMIF(OrderLines!$A$2:$A$925,A117,OrderLines!$L$2:$L$925)</f>
        <v>179.60999999999999</v>
      </c>
      <c r="G117" s="23">
        <f t="shared" si="4"/>
        <v>197.35080000000008</v>
      </c>
      <c r="H117" s="23">
        <f t="shared" si="5"/>
        <v>0.52353135922886418</v>
      </c>
      <c r="I117" t="str">
        <f>_xlfn.TEXTJOIN(" + ",TRUE,IF(COUNTIFS(OrderLines!$A$2:$A$925,A117,OrderLines!$F$2:$F$925,"Beverage")&gt;0,"Beverage",""),IF(COUNTIFS(OrderLines!$A$2:$A$925,A117,OrderLines!$F$2:$F$925,"Dessert")&gt;0,"Dessert",""),IF(COUNTIFS(OrderLines!$A$2:$A$925,A117,OrderLines!$F$2:$F$925,"Hot Meal")&gt;0,"Hot Meal",""),IF(COUNTIFS(OrderLines!$A$2:$A$925,A117,OrderLines!$F$2:$F$925,"Snack")&gt;0,"Snack",""))</f>
        <v>Beverage + Hot Meal + Snack</v>
      </c>
    </row>
    <row r="118" spans="1:9">
      <c r="A118" t="str">
        <f>Orders!A118</f>
        <v>O00117</v>
      </c>
      <c r="B118" t="str">
        <f>Orders!C118</f>
        <v>Plant 2 Canteen</v>
      </c>
      <c r="C118" t="str">
        <f>Orders!F118</f>
        <v>Dinner</v>
      </c>
      <c r="D118" t="str">
        <f>Orders!J118</f>
        <v>Single</v>
      </c>
      <c r="E118" s="24">
        <f>Orders!I118</f>
        <v>667.4085</v>
      </c>
      <c r="F118" s="24">
        <f>SUMIF(OrderLines!$A$2:$A$925,A118,OrderLines!$L$2:$L$925)</f>
        <v>304.45999999999998</v>
      </c>
      <c r="G118" s="23">
        <f t="shared" si="4"/>
        <v>362.94850000000002</v>
      </c>
      <c r="H118" s="23">
        <f t="shared" si="5"/>
        <v>0.54381761694674258</v>
      </c>
      <c r="I118" t="str">
        <f>_xlfn.TEXTJOIN(" + ",TRUE,IF(COUNTIFS(OrderLines!$A$2:$A$925,A118,OrderLines!$F$2:$F$925,"Beverage")&gt;0,"Beverage",""),IF(COUNTIFS(OrderLines!$A$2:$A$925,A118,OrderLines!$F$2:$F$925,"Dessert")&gt;0,"Dessert",""),IF(COUNTIFS(OrderLines!$A$2:$A$925,A118,OrderLines!$F$2:$F$925,"Hot Meal")&gt;0,"Hot Meal",""),IF(COUNTIFS(OrderLines!$A$2:$A$925,A118,OrderLines!$F$2:$F$925,"Snack")&gt;0,"Snack",""))</f>
        <v>Beverage + Dessert + Snack</v>
      </c>
    </row>
    <row r="119" spans="1:9">
      <c r="A119" t="str">
        <f>Orders!A119</f>
        <v>O00118</v>
      </c>
      <c r="B119" t="str">
        <f>Orders!C119</f>
        <v>Plant 2 Canteen</v>
      </c>
      <c r="C119" t="str">
        <f>Orders!F119</f>
        <v>Lunch</v>
      </c>
      <c r="D119" t="str">
        <f>Orders!J119</f>
        <v>Single</v>
      </c>
      <c r="E119" s="24">
        <f>Orders!I119</f>
        <v>47.729500000000002</v>
      </c>
      <c r="F119" s="24">
        <f>SUMIF(OrderLines!$A$2:$A$925,A119,OrderLines!$L$2:$L$925)</f>
        <v>25.8</v>
      </c>
      <c r="G119" s="23">
        <f t="shared" si="4"/>
        <v>21.929500000000001</v>
      </c>
      <c r="H119" s="23">
        <f t="shared" si="5"/>
        <v>0.45945379691804861</v>
      </c>
      <c r="I119" t="str">
        <f>_xlfn.TEXTJOIN(" + ",TRUE,IF(COUNTIFS(OrderLines!$A$2:$A$925,A119,OrderLines!$F$2:$F$925,"Beverage")&gt;0,"Beverage",""),IF(COUNTIFS(OrderLines!$A$2:$A$925,A119,OrderLines!$F$2:$F$925,"Dessert")&gt;0,"Dessert",""),IF(COUNTIFS(OrderLines!$A$2:$A$925,A119,OrderLines!$F$2:$F$925,"Hot Meal")&gt;0,"Hot Meal",""),IF(COUNTIFS(OrderLines!$A$2:$A$925,A119,OrderLines!$F$2:$F$925,"Snack")&gt;0,"Snack",""))</f>
        <v>Snack</v>
      </c>
    </row>
    <row r="120" spans="1:9">
      <c r="A120" t="str">
        <f>Orders!A120</f>
        <v>O00119</v>
      </c>
      <c r="B120" t="str">
        <f>Orders!C120</f>
        <v>Head Office Café</v>
      </c>
      <c r="C120" t="str">
        <f>Orders!F120</f>
        <v>Breakfast</v>
      </c>
      <c r="D120" t="str">
        <f>Orders!J120</f>
        <v>Single</v>
      </c>
      <c r="E120" s="24">
        <f>Orders!I120</f>
        <v>69.129200000000012</v>
      </c>
      <c r="F120" s="24">
        <f>SUMIF(OrderLines!$A$2:$A$925,A120,OrderLines!$L$2:$L$925)</f>
        <v>35.81</v>
      </c>
      <c r="G120" s="23">
        <f t="shared" si="4"/>
        <v>33.319200000000009</v>
      </c>
      <c r="H120" s="23">
        <f t="shared" si="5"/>
        <v>0.48198445808717594</v>
      </c>
      <c r="I120" t="str">
        <f>_xlfn.TEXTJOIN(" + ",TRUE,IF(COUNTIFS(OrderLines!$A$2:$A$925,A120,OrderLines!$F$2:$F$925,"Beverage")&gt;0,"Beverage",""),IF(COUNTIFS(OrderLines!$A$2:$A$925,A120,OrderLines!$F$2:$F$925,"Dessert")&gt;0,"Dessert",""),IF(COUNTIFS(OrderLines!$A$2:$A$925,A120,OrderLines!$F$2:$F$925,"Hot Meal")&gt;0,"Hot Meal",""),IF(COUNTIFS(OrderLines!$A$2:$A$925,A120,OrderLines!$F$2:$F$925,"Snack")&gt;0,"Snack",""))</f>
        <v>Snack</v>
      </c>
    </row>
    <row r="121" spans="1:9">
      <c r="A121" t="str">
        <f>Orders!A121</f>
        <v>O00120</v>
      </c>
      <c r="B121" t="str">
        <f>Orders!C121</f>
        <v>Plant 1 Canteen</v>
      </c>
      <c r="C121" t="str">
        <f>Orders!F121</f>
        <v>Lunch</v>
      </c>
      <c r="D121" t="str">
        <f>Orders!J121</f>
        <v>Single</v>
      </c>
      <c r="E121" s="24">
        <f>Orders!I121</f>
        <v>82.491500000000002</v>
      </c>
      <c r="F121" s="24">
        <f>SUMIF(OrderLines!$A$2:$A$925,A121,OrderLines!$L$2:$L$925)</f>
        <v>43.81</v>
      </c>
      <c r="G121" s="23">
        <f t="shared" si="4"/>
        <v>38.6815</v>
      </c>
      <c r="H121" s="23">
        <f t="shared" si="5"/>
        <v>0.46891497911906072</v>
      </c>
      <c r="I121" t="str">
        <f>_xlfn.TEXTJOIN(" + ",TRUE,IF(COUNTIFS(OrderLines!$A$2:$A$925,A121,OrderLines!$F$2:$F$925,"Beverage")&gt;0,"Beverage",""),IF(COUNTIFS(OrderLines!$A$2:$A$925,A121,OrderLines!$F$2:$F$925,"Dessert")&gt;0,"Dessert",""),IF(COUNTIFS(OrderLines!$A$2:$A$925,A121,OrderLines!$F$2:$F$925,"Hot Meal")&gt;0,"Hot Meal",""),IF(COUNTIFS(OrderLines!$A$2:$A$925,A121,OrderLines!$F$2:$F$925,"Snack")&gt;0,"Snack",""))</f>
        <v>Beverage + Snack</v>
      </c>
    </row>
    <row r="122" spans="1:9">
      <c r="A122" t="str">
        <f>Orders!A122</f>
        <v>O00121</v>
      </c>
      <c r="B122" t="str">
        <f>Orders!C122</f>
        <v>Plant 1 Canteen</v>
      </c>
      <c r="C122" t="str">
        <f>Orders!F122</f>
        <v>Dinner</v>
      </c>
      <c r="D122" t="str">
        <f>Orders!J122</f>
        <v>Single</v>
      </c>
      <c r="E122" s="24">
        <f>Orders!I122</f>
        <v>541.0933</v>
      </c>
      <c r="F122" s="24">
        <f>SUMIF(OrderLines!$A$2:$A$925,A122,OrderLines!$L$2:$L$925)</f>
        <v>275.83999999999997</v>
      </c>
      <c r="G122" s="23">
        <f t="shared" si="4"/>
        <v>265.25330000000002</v>
      </c>
      <c r="H122" s="23">
        <f t="shared" si="5"/>
        <v>0.49021730633145899</v>
      </c>
      <c r="I122" t="str">
        <f>_xlfn.TEXTJOIN(" + ",TRUE,IF(COUNTIFS(OrderLines!$A$2:$A$925,A122,OrderLines!$F$2:$F$925,"Beverage")&gt;0,"Beverage",""),IF(COUNTIFS(OrderLines!$A$2:$A$925,A122,OrderLines!$F$2:$F$925,"Dessert")&gt;0,"Dessert",""),IF(COUNTIFS(OrderLines!$A$2:$A$925,A122,OrderLines!$F$2:$F$925,"Hot Meal")&gt;0,"Hot Meal",""),IF(COUNTIFS(OrderLines!$A$2:$A$925,A122,OrderLines!$F$2:$F$925,"Snack")&gt;0,"Snack",""))</f>
        <v>Dessert + Snack</v>
      </c>
    </row>
    <row r="123" spans="1:9">
      <c r="A123" t="str">
        <f>Orders!A123</f>
        <v>O00122</v>
      </c>
      <c r="B123" t="str">
        <f>Orders!C123</f>
        <v>Plant 1 Canteen</v>
      </c>
      <c r="C123" t="str">
        <f>Orders!F123</f>
        <v>Dinner</v>
      </c>
      <c r="D123" t="str">
        <f>Orders!J123</f>
        <v>Combo</v>
      </c>
      <c r="E123" s="24">
        <f>Orders!I123</f>
        <v>615.94029999999998</v>
      </c>
      <c r="F123" s="24">
        <f>SUMIF(OrderLines!$A$2:$A$925,A123,OrderLines!$L$2:$L$925)</f>
        <v>291.64</v>
      </c>
      <c r="G123" s="23">
        <f t="shared" si="4"/>
        <v>324.30029999999999</v>
      </c>
      <c r="H123" s="23">
        <f t="shared" si="5"/>
        <v>0.52651255324582591</v>
      </c>
      <c r="I123" t="str">
        <f>_xlfn.TEXTJOIN(" + ",TRUE,IF(COUNTIFS(OrderLines!$A$2:$A$925,A123,OrderLines!$F$2:$F$925,"Beverage")&gt;0,"Beverage",""),IF(COUNTIFS(OrderLines!$A$2:$A$925,A123,OrderLines!$F$2:$F$925,"Dessert")&gt;0,"Dessert",""),IF(COUNTIFS(OrderLines!$A$2:$A$925,A123,OrderLines!$F$2:$F$925,"Hot Meal")&gt;0,"Hot Meal",""),IF(COUNTIFS(OrderLines!$A$2:$A$925,A123,OrderLines!$F$2:$F$925,"Snack")&gt;0,"Snack",""))</f>
        <v>Beverage + Dessert + Hot Meal</v>
      </c>
    </row>
    <row r="124" spans="1:9">
      <c r="A124" t="str">
        <f>Orders!A124</f>
        <v>O00123</v>
      </c>
      <c r="B124" t="str">
        <f>Orders!C124</f>
        <v>Head Office Café</v>
      </c>
      <c r="C124" t="str">
        <f>Orders!F124</f>
        <v>Lunch</v>
      </c>
      <c r="D124" t="str">
        <f>Orders!J124</f>
        <v>Single</v>
      </c>
      <c r="E124" s="24">
        <f>Orders!I124</f>
        <v>986.59799999999996</v>
      </c>
      <c r="F124" s="24">
        <f>SUMIF(OrderLines!$A$2:$A$925,A124,OrderLines!$L$2:$L$925)</f>
        <v>516.5100000000001</v>
      </c>
      <c r="G124" s="23">
        <f t="shared" si="4"/>
        <v>470.08799999999985</v>
      </c>
      <c r="H124" s="23">
        <f t="shared" si="5"/>
        <v>0.47647370053456412</v>
      </c>
      <c r="I124" t="str">
        <f>_xlfn.TEXTJOIN(" + ",TRUE,IF(COUNTIFS(OrderLines!$A$2:$A$925,A124,OrderLines!$F$2:$F$925,"Beverage")&gt;0,"Beverage",""),IF(COUNTIFS(OrderLines!$A$2:$A$925,A124,OrderLines!$F$2:$F$925,"Dessert")&gt;0,"Dessert",""),IF(COUNTIFS(OrderLines!$A$2:$A$925,A124,OrderLines!$F$2:$F$925,"Hot Meal")&gt;0,"Hot Meal",""),IF(COUNTIFS(OrderLines!$A$2:$A$925,A124,OrderLines!$F$2:$F$925,"Snack")&gt;0,"Snack",""))</f>
        <v>Dessert + Hot Meal + Snack</v>
      </c>
    </row>
    <row r="125" spans="1:9">
      <c r="A125" t="str">
        <f>Orders!A125</f>
        <v>O00124</v>
      </c>
      <c r="B125" t="str">
        <f>Orders!C125</f>
        <v>Plant 2 Canteen</v>
      </c>
      <c r="C125" t="str">
        <f>Orders!F125</f>
        <v>Breakfast</v>
      </c>
      <c r="D125" t="str">
        <f>Orders!J125</f>
        <v>Combo</v>
      </c>
      <c r="E125" s="24">
        <f>Orders!I125</f>
        <v>858.01959999999997</v>
      </c>
      <c r="F125" s="24">
        <f>SUMIF(OrderLines!$A$2:$A$925,A125,OrderLines!$L$2:$L$925)</f>
        <v>412.05</v>
      </c>
      <c r="G125" s="23">
        <f t="shared" si="4"/>
        <v>445.96959999999996</v>
      </c>
      <c r="H125" s="23">
        <f t="shared" si="5"/>
        <v>0.51976621513074994</v>
      </c>
      <c r="I125" t="str">
        <f>_xlfn.TEXTJOIN(" + ",TRUE,IF(COUNTIFS(OrderLines!$A$2:$A$925,A125,OrderLines!$F$2:$F$925,"Beverage")&gt;0,"Beverage",""),IF(COUNTIFS(OrderLines!$A$2:$A$925,A125,OrderLines!$F$2:$F$925,"Dessert")&gt;0,"Dessert",""),IF(COUNTIFS(OrderLines!$A$2:$A$925,A125,OrderLines!$F$2:$F$925,"Hot Meal")&gt;0,"Hot Meal",""),IF(COUNTIFS(OrderLines!$A$2:$A$925,A125,OrderLines!$F$2:$F$925,"Snack")&gt;0,"Snack",""))</f>
        <v>Beverage + Dessert + Hot Meal</v>
      </c>
    </row>
    <row r="126" spans="1:9">
      <c r="A126" t="str">
        <f>Orders!A126</f>
        <v>O00125</v>
      </c>
      <c r="B126" t="str">
        <f>Orders!C126</f>
        <v>Plant 1 Canteen</v>
      </c>
      <c r="C126" t="str">
        <f>Orders!F126</f>
        <v>Lunch</v>
      </c>
      <c r="D126" t="str">
        <f>Orders!J126</f>
        <v>Single</v>
      </c>
      <c r="E126" s="24">
        <f>Orders!I126</f>
        <v>155.61000000000001</v>
      </c>
      <c r="F126" s="24">
        <f>SUMIF(OrderLines!$A$2:$A$925,A126,OrderLines!$L$2:$L$925)</f>
        <v>70.92</v>
      </c>
      <c r="G126" s="23">
        <f t="shared" si="4"/>
        <v>84.690000000000012</v>
      </c>
      <c r="H126" s="23">
        <f t="shared" si="5"/>
        <v>0.54424522845575485</v>
      </c>
      <c r="I126" t="str">
        <f>_xlfn.TEXTJOIN(" + ",TRUE,IF(COUNTIFS(OrderLines!$A$2:$A$925,A126,OrderLines!$F$2:$F$925,"Beverage")&gt;0,"Beverage",""),IF(COUNTIFS(OrderLines!$A$2:$A$925,A126,OrderLines!$F$2:$F$925,"Dessert")&gt;0,"Dessert",""),IF(COUNTIFS(OrderLines!$A$2:$A$925,A126,OrderLines!$F$2:$F$925,"Hot Meal")&gt;0,"Hot Meal",""),IF(COUNTIFS(OrderLines!$A$2:$A$925,A126,OrderLines!$F$2:$F$925,"Snack")&gt;0,"Snack",""))</f>
        <v>Dessert</v>
      </c>
    </row>
    <row r="127" spans="1:9">
      <c r="A127" t="str">
        <f>Orders!A127</f>
        <v>O00126</v>
      </c>
      <c r="B127" t="str">
        <f>Orders!C127</f>
        <v>Plant 1 Canteen</v>
      </c>
      <c r="C127" t="str">
        <f>Orders!F127</f>
        <v>Dinner</v>
      </c>
      <c r="D127" t="str">
        <f>Orders!J127</f>
        <v>Single</v>
      </c>
      <c r="E127" s="24">
        <f>Orders!I127</f>
        <v>318.2516</v>
      </c>
      <c r="F127" s="24">
        <f>SUMIF(OrderLines!$A$2:$A$925,A127,OrderLines!$L$2:$L$925)</f>
        <v>194.14</v>
      </c>
      <c r="G127" s="23">
        <f t="shared" si="4"/>
        <v>124.11160000000001</v>
      </c>
      <c r="H127" s="23">
        <f t="shared" si="5"/>
        <v>0.38997950049583413</v>
      </c>
      <c r="I127" t="str">
        <f>_xlfn.TEXTJOIN(" + ",TRUE,IF(COUNTIFS(OrderLines!$A$2:$A$925,A127,OrderLines!$F$2:$F$925,"Beverage")&gt;0,"Beverage",""),IF(COUNTIFS(OrderLines!$A$2:$A$925,A127,OrderLines!$F$2:$F$925,"Dessert")&gt;0,"Dessert",""),IF(COUNTIFS(OrderLines!$A$2:$A$925,A127,OrderLines!$F$2:$F$925,"Hot Meal")&gt;0,"Hot Meal",""),IF(COUNTIFS(OrderLines!$A$2:$A$925,A127,OrderLines!$F$2:$F$925,"Snack")&gt;0,"Snack",""))</f>
        <v>Dessert + Hot Meal + Snack</v>
      </c>
    </row>
    <row r="128" spans="1:9">
      <c r="A128" t="str">
        <f>Orders!A128</f>
        <v>O00127</v>
      </c>
      <c r="B128" t="str">
        <f>Orders!C128</f>
        <v>Head Office Café</v>
      </c>
      <c r="C128" t="str">
        <f>Orders!F128</f>
        <v>Lunch</v>
      </c>
      <c r="D128" t="str">
        <f>Orders!J128</f>
        <v>Single</v>
      </c>
      <c r="E128" s="24">
        <f>Orders!I128</f>
        <v>191.672</v>
      </c>
      <c r="F128" s="24">
        <f>SUMIF(OrderLines!$A$2:$A$925,A128,OrderLines!$L$2:$L$925)</f>
        <v>99.98</v>
      </c>
      <c r="G128" s="23">
        <f t="shared" si="4"/>
        <v>91.691999999999993</v>
      </c>
      <c r="H128" s="23">
        <f t="shared" si="5"/>
        <v>0.47837973204223877</v>
      </c>
      <c r="I128" t="str">
        <f>_xlfn.TEXTJOIN(" + ",TRUE,IF(COUNTIFS(OrderLines!$A$2:$A$925,A128,OrderLines!$F$2:$F$925,"Beverage")&gt;0,"Beverage",""),IF(COUNTIFS(OrderLines!$A$2:$A$925,A128,OrderLines!$F$2:$F$925,"Dessert")&gt;0,"Dessert",""),IF(COUNTIFS(OrderLines!$A$2:$A$925,A128,OrderLines!$F$2:$F$925,"Hot Meal")&gt;0,"Hot Meal",""),IF(COUNTIFS(OrderLines!$A$2:$A$925,A128,OrderLines!$F$2:$F$925,"Snack")&gt;0,"Snack",""))</f>
        <v>Beverage + Snack</v>
      </c>
    </row>
    <row r="129" spans="1:9">
      <c r="A129" t="str">
        <f>Orders!A129</f>
        <v>O00128</v>
      </c>
      <c r="B129" t="str">
        <f>Orders!C129</f>
        <v>Plant 2 Canteen</v>
      </c>
      <c r="C129" t="str">
        <f>Orders!F129</f>
        <v>Dinner</v>
      </c>
      <c r="D129" t="str">
        <f>Orders!J129</f>
        <v>Combo</v>
      </c>
      <c r="E129" s="24">
        <f>Orders!I129</f>
        <v>699.23419999999999</v>
      </c>
      <c r="F129" s="24">
        <f>SUMIF(OrderLines!$A$2:$A$925,A129,OrderLines!$L$2:$L$925)</f>
        <v>337.78000000000003</v>
      </c>
      <c r="G129" s="23">
        <f t="shared" si="4"/>
        <v>361.45419999999996</v>
      </c>
      <c r="H129" s="23">
        <f t="shared" si="5"/>
        <v>0.51692866281426164</v>
      </c>
      <c r="I129" t="str">
        <f>_xlfn.TEXTJOIN(" + ",TRUE,IF(COUNTIFS(OrderLines!$A$2:$A$925,A129,OrderLines!$F$2:$F$925,"Beverage")&gt;0,"Beverage",""),IF(COUNTIFS(OrderLines!$A$2:$A$925,A129,OrderLines!$F$2:$F$925,"Dessert")&gt;0,"Dessert",""),IF(COUNTIFS(OrderLines!$A$2:$A$925,A129,OrderLines!$F$2:$F$925,"Hot Meal")&gt;0,"Hot Meal",""),IF(COUNTIFS(OrderLines!$A$2:$A$925,A129,OrderLines!$F$2:$F$925,"Snack")&gt;0,"Snack",""))</f>
        <v>Beverage + Hot Meal + Snack</v>
      </c>
    </row>
    <row r="130" spans="1:9">
      <c r="A130" t="str">
        <f>Orders!A130</f>
        <v>O00129</v>
      </c>
      <c r="B130" t="str">
        <f>Orders!C130</f>
        <v>Plant 1 Canteen</v>
      </c>
      <c r="C130" t="str">
        <f>Orders!F130</f>
        <v>Breakfast</v>
      </c>
      <c r="D130" t="str">
        <f>Orders!J130</f>
        <v>Single</v>
      </c>
      <c r="E130" s="24">
        <f>Orders!I130</f>
        <v>735.34300000000007</v>
      </c>
      <c r="F130" s="24">
        <f>SUMIF(OrderLines!$A$2:$A$925,A130,OrderLines!$L$2:$L$925)</f>
        <v>326.07</v>
      </c>
      <c r="G130" s="23">
        <f t="shared" si="4"/>
        <v>409.27300000000008</v>
      </c>
      <c r="H130" s="23">
        <f t="shared" si="5"/>
        <v>0.55657427894193601</v>
      </c>
      <c r="I130" t="str">
        <f>_xlfn.TEXTJOIN(" + ",TRUE,IF(COUNTIFS(OrderLines!$A$2:$A$925,A130,OrderLines!$F$2:$F$925,"Beverage")&gt;0,"Beverage",""),IF(COUNTIFS(OrderLines!$A$2:$A$925,A130,OrderLines!$F$2:$F$925,"Dessert")&gt;0,"Dessert",""),IF(COUNTIFS(OrderLines!$A$2:$A$925,A130,OrderLines!$F$2:$F$925,"Hot Meal")&gt;0,"Hot Meal",""),IF(COUNTIFS(OrderLines!$A$2:$A$925,A130,OrderLines!$F$2:$F$925,"Snack")&gt;0,"Snack",""))</f>
        <v>Dessert + Hot Meal</v>
      </c>
    </row>
    <row r="131" spans="1:9">
      <c r="A131" t="str">
        <f>Orders!A131</f>
        <v>O00130</v>
      </c>
      <c r="B131" t="str">
        <f>Orders!C131</f>
        <v>Plant 1 Canteen</v>
      </c>
      <c r="C131" t="str">
        <f>Orders!F131</f>
        <v>Breakfast</v>
      </c>
      <c r="D131" t="str">
        <f>Orders!J131</f>
        <v>Single</v>
      </c>
      <c r="E131" s="24">
        <f>Orders!I131</f>
        <v>404.48029999999994</v>
      </c>
      <c r="F131" s="24">
        <f>SUMIF(OrderLines!$A$2:$A$925,A131,OrderLines!$L$2:$L$925)</f>
        <v>199.47</v>
      </c>
      <c r="G131" s="23">
        <f t="shared" si="4"/>
        <v>205.01029999999994</v>
      </c>
      <c r="H131" s="23">
        <f t="shared" si="5"/>
        <v>0.50684866481754487</v>
      </c>
      <c r="I131" t="str">
        <f>_xlfn.TEXTJOIN(" + ",TRUE,IF(COUNTIFS(OrderLines!$A$2:$A$925,A131,OrderLines!$F$2:$F$925,"Beverage")&gt;0,"Beverage",""),IF(COUNTIFS(OrderLines!$A$2:$A$925,A131,OrderLines!$F$2:$F$925,"Dessert")&gt;0,"Dessert",""),IF(COUNTIFS(OrderLines!$A$2:$A$925,A131,OrderLines!$F$2:$F$925,"Hot Meal")&gt;0,"Hot Meal",""),IF(COUNTIFS(OrderLines!$A$2:$A$925,A131,OrderLines!$F$2:$F$925,"Snack")&gt;0,"Snack",""))</f>
        <v>Dessert + Snack</v>
      </c>
    </row>
    <row r="132" spans="1:9">
      <c r="A132" t="str">
        <f>Orders!A132</f>
        <v>O00131</v>
      </c>
      <c r="B132" t="str">
        <f>Orders!C132</f>
        <v>Head Office Café</v>
      </c>
      <c r="C132" t="str">
        <f>Orders!F132</f>
        <v>Breakfast</v>
      </c>
      <c r="D132" t="str">
        <f>Orders!J132</f>
        <v>Combo</v>
      </c>
      <c r="E132" s="24">
        <f>Orders!I132</f>
        <v>593.14</v>
      </c>
      <c r="F132" s="24">
        <f>SUMIF(OrderLines!$A$2:$A$925,A132,OrderLines!$L$2:$L$925)</f>
        <v>304.01</v>
      </c>
      <c r="G132" s="23">
        <f t="shared" si="4"/>
        <v>289.13</v>
      </c>
      <c r="H132" s="23">
        <f t="shared" si="5"/>
        <v>0.48745658697777927</v>
      </c>
      <c r="I132" t="str">
        <f>_xlfn.TEXTJOIN(" + ",TRUE,IF(COUNTIFS(OrderLines!$A$2:$A$925,A132,OrderLines!$F$2:$F$925,"Beverage")&gt;0,"Beverage",""),IF(COUNTIFS(OrderLines!$A$2:$A$925,A132,OrderLines!$F$2:$F$925,"Dessert")&gt;0,"Dessert",""),IF(COUNTIFS(OrderLines!$A$2:$A$925,A132,OrderLines!$F$2:$F$925,"Hot Meal")&gt;0,"Hot Meal",""),IF(COUNTIFS(OrderLines!$A$2:$A$925,A132,OrderLines!$F$2:$F$925,"Snack")&gt;0,"Snack",""))</f>
        <v>Beverage + Hot Meal</v>
      </c>
    </row>
    <row r="133" spans="1:9">
      <c r="A133" t="str">
        <f>Orders!A133</f>
        <v>O00132</v>
      </c>
      <c r="B133" t="str">
        <f>Orders!C133</f>
        <v>Head Office Café</v>
      </c>
      <c r="C133" t="str">
        <f>Orders!F133</f>
        <v>Dinner</v>
      </c>
      <c r="D133" t="str">
        <f>Orders!J133</f>
        <v>Single</v>
      </c>
      <c r="E133" s="24">
        <f>Orders!I133</f>
        <v>456.17430000000002</v>
      </c>
      <c r="F133" s="24">
        <f>SUMIF(OrderLines!$A$2:$A$925,A133,OrderLines!$L$2:$L$925)</f>
        <v>219.18</v>
      </c>
      <c r="G133" s="23">
        <f t="shared" si="4"/>
        <v>236.99430000000001</v>
      </c>
      <c r="H133" s="23">
        <f t="shared" si="5"/>
        <v>0.51952576021928465</v>
      </c>
      <c r="I133" t="str">
        <f>_xlfn.TEXTJOIN(" + ",TRUE,IF(COUNTIFS(OrderLines!$A$2:$A$925,A133,OrderLines!$F$2:$F$925,"Beverage")&gt;0,"Beverage",""),IF(COUNTIFS(OrderLines!$A$2:$A$925,A133,OrderLines!$F$2:$F$925,"Dessert")&gt;0,"Dessert",""),IF(COUNTIFS(OrderLines!$A$2:$A$925,A133,OrderLines!$F$2:$F$925,"Hot Meal")&gt;0,"Hot Meal",""),IF(COUNTIFS(OrderLines!$A$2:$A$925,A133,OrderLines!$F$2:$F$925,"Snack")&gt;0,"Snack",""))</f>
        <v>Dessert + Hot Meal</v>
      </c>
    </row>
    <row r="134" spans="1:9">
      <c r="A134" t="str">
        <f>Orders!A134</f>
        <v>O00133</v>
      </c>
      <c r="B134" t="str">
        <f>Orders!C134</f>
        <v>Head Office Café</v>
      </c>
      <c r="C134" t="str">
        <f>Orders!F134</f>
        <v>Dinner</v>
      </c>
      <c r="D134" t="str">
        <f>Orders!J134</f>
        <v>Single</v>
      </c>
      <c r="E134" s="24">
        <f>Orders!I134</f>
        <v>349.8381</v>
      </c>
      <c r="F134" s="24">
        <f>SUMIF(OrderLines!$A$2:$A$925,A134,OrderLines!$L$2:$L$925)</f>
        <v>170.11</v>
      </c>
      <c r="G134" s="23">
        <f t="shared" si="4"/>
        <v>179.72809999999998</v>
      </c>
      <c r="H134" s="23">
        <f t="shared" si="5"/>
        <v>0.51374650159602397</v>
      </c>
      <c r="I134" t="str">
        <f>_xlfn.TEXTJOIN(" + ",TRUE,IF(COUNTIFS(OrderLines!$A$2:$A$925,A134,OrderLines!$F$2:$F$925,"Beverage")&gt;0,"Beverage",""),IF(COUNTIFS(OrderLines!$A$2:$A$925,A134,OrderLines!$F$2:$F$925,"Dessert")&gt;0,"Dessert",""),IF(COUNTIFS(OrderLines!$A$2:$A$925,A134,OrderLines!$F$2:$F$925,"Hot Meal")&gt;0,"Hot Meal",""),IF(COUNTIFS(OrderLines!$A$2:$A$925,A134,OrderLines!$F$2:$F$925,"Snack")&gt;0,"Snack",""))</f>
        <v>Beverage + Dessert</v>
      </c>
    </row>
    <row r="135" spans="1:9">
      <c r="A135" t="str">
        <f>Orders!A135</f>
        <v>O00134</v>
      </c>
      <c r="B135" t="str">
        <f>Orders!C135</f>
        <v>Plant 2 Canteen</v>
      </c>
      <c r="C135" t="str">
        <f>Orders!F135</f>
        <v>Dinner</v>
      </c>
      <c r="D135" t="str">
        <f>Orders!J135</f>
        <v>Single</v>
      </c>
      <c r="E135" s="24">
        <f>Orders!I135</f>
        <v>90.035399999999996</v>
      </c>
      <c r="F135" s="24">
        <f>SUMIF(OrderLines!$A$2:$A$925,A135,OrderLines!$L$2:$L$925)</f>
        <v>35.519999999999996</v>
      </c>
      <c r="G135" s="23">
        <f t="shared" si="4"/>
        <v>54.5154</v>
      </c>
      <c r="H135" s="23">
        <f t="shared" si="5"/>
        <v>0.60548850785357766</v>
      </c>
      <c r="I135" t="str">
        <f>_xlfn.TEXTJOIN(" + ",TRUE,IF(COUNTIFS(OrderLines!$A$2:$A$925,A135,OrderLines!$F$2:$F$925,"Beverage")&gt;0,"Beverage",""),IF(COUNTIFS(OrderLines!$A$2:$A$925,A135,OrderLines!$F$2:$F$925,"Dessert")&gt;0,"Dessert",""),IF(COUNTIFS(OrderLines!$A$2:$A$925,A135,OrderLines!$F$2:$F$925,"Hot Meal")&gt;0,"Hot Meal",""),IF(COUNTIFS(OrderLines!$A$2:$A$925,A135,OrderLines!$F$2:$F$925,"Snack")&gt;0,"Snack",""))</f>
        <v>Beverage</v>
      </c>
    </row>
    <row r="136" spans="1:9">
      <c r="A136" t="str">
        <f>Orders!A136</f>
        <v>O00135</v>
      </c>
      <c r="B136" t="str">
        <f>Orders!C136</f>
        <v>Plant 2 Canteen</v>
      </c>
      <c r="C136" t="str">
        <f>Orders!F136</f>
        <v>Breakfast</v>
      </c>
      <c r="D136" t="str">
        <f>Orders!J136</f>
        <v>Single</v>
      </c>
      <c r="E136" s="24">
        <f>Orders!I136</f>
        <v>188.19739999999999</v>
      </c>
      <c r="F136" s="24">
        <f>SUMIF(OrderLines!$A$2:$A$925,A136,OrderLines!$L$2:$L$925)</f>
        <v>89.960000000000008</v>
      </c>
      <c r="G136" s="23">
        <f t="shared" si="4"/>
        <v>98.23739999999998</v>
      </c>
      <c r="H136" s="23">
        <f t="shared" si="5"/>
        <v>0.52199127086771646</v>
      </c>
      <c r="I136" t="str">
        <f>_xlfn.TEXTJOIN(" + ",TRUE,IF(COUNTIFS(OrderLines!$A$2:$A$925,A136,OrderLines!$F$2:$F$925,"Beverage")&gt;0,"Beverage",""),IF(COUNTIFS(OrderLines!$A$2:$A$925,A136,OrderLines!$F$2:$F$925,"Dessert")&gt;0,"Dessert",""),IF(COUNTIFS(OrderLines!$A$2:$A$925,A136,OrderLines!$F$2:$F$925,"Hot Meal")&gt;0,"Hot Meal",""),IF(COUNTIFS(OrderLines!$A$2:$A$925,A136,OrderLines!$F$2:$F$925,"Snack")&gt;0,"Snack",""))</f>
        <v>Beverage + Dessert</v>
      </c>
    </row>
    <row r="137" spans="1:9">
      <c r="A137" t="str">
        <f>Orders!A137</f>
        <v>O00136</v>
      </c>
      <c r="B137" t="str">
        <f>Orders!C137</f>
        <v>Head Office Café</v>
      </c>
      <c r="C137" t="str">
        <f>Orders!F137</f>
        <v>Breakfast</v>
      </c>
      <c r="D137" t="str">
        <f>Orders!J137</f>
        <v>Single</v>
      </c>
      <c r="E137" s="24">
        <f>Orders!I137</f>
        <v>492.90560000000005</v>
      </c>
      <c r="F137" s="24">
        <f>SUMIF(OrderLines!$A$2:$A$925,A137,OrderLines!$L$2:$L$925)</f>
        <v>244.04</v>
      </c>
      <c r="G137" s="23">
        <f t="shared" si="4"/>
        <v>248.86560000000006</v>
      </c>
      <c r="H137" s="23">
        <f t="shared" si="5"/>
        <v>0.50489505495575626</v>
      </c>
      <c r="I137" t="str">
        <f>_xlfn.TEXTJOIN(" + ",TRUE,IF(COUNTIFS(OrderLines!$A$2:$A$925,A137,OrderLines!$F$2:$F$925,"Beverage")&gt;0,"Beverage",""),IF(COUNTIFS(OrderLines!$A$2:$A$925,A137,OrderLines!$F$2:$F$925,"Dessert")&gt;0,"Dessert",""),IF(COUNTIFS(OrderLines!$A$2:$A$925,A137,OrderLines!$F$2:$F$925,"Hot Meal")&gt;0,"Hot Meal",""),IF(COUNTIFS(OrderLines!$A$2:$A$925,A137,OrderLines!$F$2:$F$925,"Snack")&gt;0,"Snack",""))</f>
        <v>Hot Meal + Snack</v>
      </c>
    </row>
    <row r="138" spans="1:9">
      <c r="A138" t="str">
        <f>Orders!A138</f>
        <v>O00137</v>
      </c>
      <c r="B138" t="str">
        <f>Orders!C138</f>
        <v>Head Office Café</v>
      </c>
      <c r="C138" t="str">
        <f>Orders!F138</f>
        <v>Dinner</v>
      </c>
      <c r="D138" t="str">
        <f>Orders!J138</f>
        <v>Combo</v>
      </c>
      <c r="E138" s="24">
        <f>Orders!I138</f>
        <v>299.93399999999997</v>
      </c>
      <c r="F138" s="24">
        <f>SUMIF(OrderLines!$A$2:$A$925,A138,OrderLines!$L$2:$L$925)</f>
        <v>160.42000000000002</v>
      </c>
      <c r="G138" s="23">
        <f t="shared" si="4"/>
        <v>139.51399999999995</v>
      </c>
      <c r="H138" s="23">
        <f t="shared" si="5"/>
        <v>0.46514899944654481</v>
      </c>
      <c r="I138" t="str">
        <f>_xlfn.TEXTJOIN(" + ",TRUE,IF(COUNTIFS(OrderLines!$A$2:$A$925,A138,OrderLines!$F$2:$F$925,"Beverage")&gt;0,"Beverage",""),IF(COUNTIFS(OrderLines!$A$2:$A$925,A138,OrderLines!$F$2:$F$925,"Dessert")&gt;0,"Dessert",""),IF(COUNTIFS(OrderLines!$A$2:$A$925,A138,OrderLines!$F$2:$F$925,"Hot Meal")&gt;0,"Hot Meal",""),IF(COUNTIFS(OrderLines!$A$2:$A$925,A138,OrderLines!$F$2:$F$925,"Snack")&gt;0,"Snack",""))</f>
        <v>Beverage + Dessert + Hot Meal</v>
      </c>
    </row>
    <row r="139" spans="1:9">
      <c r="A139" t="str">
        <f>Orders!A139</f>
        <v>O00138</v>
      </c>
      <c r="B139" t="str">
        <f>Orders!C139</f>
        <v>Head Office Café</v>
      </c>
      <c r="C139" t="str">
        <f>Orders!F139</f>
        <v>Breakfast</v>
      </c>
      <c r="D139" t="str">
        <f>Orders!J139</f>
        <v>Single</v>
      </c>
      <c r="E139" s="24">
        <f>Orders!I139</f>
        <v>83.315399999999997</v>
      </c>
      <c r="F139" s="24">
        <f>SUMIF(OrderLines!$A$2:$A$925,A139,OrderLines!$L$2:$L$925)</f>
        <v>45.22</v>
      </c>
      <c r="G139" s="23">
        <f t="shared" si="4"/>
        <v>38.095399999999998</v>
      </c>
      <c r="H139" s="23">
        <f t="shared" si="5"/>
        <v>0.45724319873636804</v>
      </c>
      <c r="I139" t="str">
        <f>_xlfn.TEXTJOIN(" + ",TRUE,IF(COUNTIFS(OrderLines!$A$2:$A$925,A139,OrderLines!$F$2:$F$925,"Beverage")&gt;0,"Beverage",""),IF(COUNTIFS(OrderLines!$A$2:$A$925,A139,OrderLines!$F$2:$F$925,"Dessert")&gt;0,"Dessert",""),IF(COUNTIFS(OrderLines!$A$2:$A$925,A139,OrderLines!$F$2:$F$925,"Hot Meal")&gt;0,"Hot Meal",""),IF(COUNTIFS(OrderLines!$A$2:$A$925,A139,OrderLines!$F$2:$F$925,"Snack")&gt;0,"Snack",""))</f>
        <v>Snack</v>
      </c>
    </row>
    <row r="140" spans="1:9">
      <c r="A140" t="str">
        <f>Orders!A140</f>
        <v>O00139</v>
      </c>
      <c r="B140" t="str">
        <f>Orders!C140</f>
        <v>Plant 2 Canteen</v>
      </c>
      <c r="C140" t="str">
        <f>Orders!F140</f>
        <v>Dinner</v>
      </c>
      <c r="D140" t="str">
        <f>Orders!J140</f>
        <v>Single</v>
      </c>
      <c r="E140" s="24">
        <f>Orders!I140</f>
        <v>661.30610000000001</v>
      </c>
      <c r="F140" s="24">
        <f>SUMIF(OrderLines!$A$2:$A$925,A140,OrderLines!$L$2:$L$925)</f>
        <v>328.12</v>
      </c>
      <c r="G140" s="23">
        <f t="shared" si="4"/>
        <v>333.18610000000001</v>
      </c>
      <c r="H140" s="23">
        <f t="shared" si="5"/>
        <v>0.50383037446652923</v>
      </c>
      <c r="I140" t="str">
        <f>_xlfn.TEXTJOIN(" + ",TRUE,IF(COUNTIFS(OrderLines!$A$2:$A$925,A140,OrderLines!$F$2:$F$925,"Beverage")&gt;0,"Beverage",""),IF(COUNTIFS(OrderLines!$A$2:$A$925,A140,OrderLines!$F$2:$F$925,"Dessert")&gt;0,"Dessert",""),IF(COUNTIFS(OrderLines!$A$2:$A$925,A140,OrderLines!$F$2:$F$925,"Hot Meal")&gt;0,"Hot Meal",""),IF(COUNTIFS(OrderLines!$A$2:$A$925,A140,OrderLines!$F$2:$F$925,"Snack")&gt;0,"Snack",""))</f>
        <v>Dessert + Hot Meal + Snack</v>
      </c>
    </row>
    <row r="141" spans="1:9">
      <c r="A141" t="str">
        <f>Orders!A141</f>
        <v>O00140</v>
      </c>
      <c r="B141" t="str">
        <f>Orders!C141</f>
        <v>Plant 1 Canteen</v>
      </c>
      <c r="C141" t="str">
        <f>Orders!F141</f>
        <v>Lunch</v>
      </c>
      <c r="D141" t="str">
        <f>Orders!J141</f>
        <v>Single</v>
      </c>
      <c r="E141" s="24">
        <f>Orders!I141</f>
        <v>310.73950000000002</v>
      </c>
      <c r="F141" s="24">
        <f>SUMIF(OrderLines!$A$2:$A$925,A141,OrderLines!$L$2:$L$925)</f>
        <v>147.13</v>
      </c>
      <c r="G141" s="23">
        <f t="shared" si="4"/>
        <v>163.60950000000003</v>
      </c>
      <c r="H141" s="23">
        <f t="shared" si="5"/>
        <v>0.52651658382664579</v>
      </c>
      <c r="I141" t="str">
        <f>_xlfn.TEXTJOIN(" + ",TRUE,IF(COUNTIFS(OrderLines!$A$2:$A$925,A141,OrderLines!$F$2:$F$925,"Beverage")&gt;0,"Beverage",""),IF(COUNTIFS(OrderLines!$A$2:$A$925,A141,OrderLines!$F$2:$F$925,"Dessert")&gt;0,"Dessert",""),IF(COUNTIFS(OrderLines!$A$2:$A$925,A141,OrderLines!$F$2:$F$925,"Hot Meal")&gt;0,"Hot Meal",""),IF(COUNTIFS(OrderLines!$A$2:$A$925,A141,OrderLines!$F$2:$F$925,"Snack")&gt;0,"Snack",""))</f>
        <v>Beverage + Snack</v>
      </c>
    </row>
    <row r="142" spans="1:9">
      <c r="A142" t="str">
        <f>Orders!A142</f>
        <v>O00141</v>
      </c>
      <c r="B142" t="str">
        <f>Orders!C142</f>
        <v>Plant 1 Canteen</v>
      </c>
      <c r="C142" t="str">
        <f>Orders!F142</f>
        <v>Breakfast</v>
      </c>
      <c r="D142" t="str">
        <f>Orders!J142</f>
        <v>Single</v>
      </c>
      <c r="E142" s="24">
        <f>Orders!I142</f>
        <v>79.2624</v>
      </c>
      <c r="F142" s="24">
        <f>SUMIF(OrderLines!$A$2:$A$925,A142,OrderLines!$L$2:$L$925)</f>
        <v>39.69</v>
      </c>
      <c r="G142" s="23">
        <f t="shared" si="4"/>
        <v>39.572400000000002</v>
      </c>
      <c r="H142" s="23">
        <f t="shared" si="5"/>
        <v>0.49925816023738873</v>
      </c>
      <c r="I142" t="str">
        <f>_xlfn.TEXTJOIN(" + ",TRUE,IF(COUNTIFS(OrderLines!$A$2:$A$925,A142,OrderLines!$F$2:$F$925,"Beverage")&gt;0,"Beverage",""),IF(COUNTIFS(OrderLines!$A$2:$A$925,A142,OrderLines!$F$2:$F$925,"Dessert")&gt;0,"Dessert",""),IF(COUNTIFS(OrderLines!$A$2:$A$925,A142,OrderLines!$F$2:$F$925,"Hot Meal")&gt;0,"Hot Meal",""),IF(COUNTIFS(OrderLines!$A$2:$A$925,A142,OrderLines!$F$2:$F$925,"Snack")&gt;0,"Snack",""))</f>
        <v>Beverage + Snack</v>
      </c>
    </row>
    <row r="143" spans="1:9">
      <c r="A143" t="str">
        <f>Orders!A143</f>
        <v>O00142</v>
      </c>
      <c r="B143" t="str">
        <f>Orders!C143</f>
        <v>Head Office Café</v>
      </c>
      <c r="C143" t="str">
        <f>Orders!F143</f>
        <v>Lunch</v>
      </c>
      <c r="D143" t="str">
        <f>Orders!J143</f>
        <v>Single</v>
      </c>
      <c r="E143" s="24">
        <f>Orders!I143</f>
        <v>164.67999999999998</v>
      </c>
      <c r="F143" s="24">
        <f>SUMIF(OrderLines!$A$2:$A$925,A143,OrderLines!$L$2:$L$925)</f>
        <v>81.72</v>
      </c>
      <c r="G143" s="23">
        <f t="shared" si="4"/>
        <v>82.95999999999998</v>
      </c>
      <c r="H143" s="23">
        <f t="shared" si="5"/>
        <v>0.50376487733786735</v>
      </c>
      <c r="I143" t="str">
        <f>_xlfn.TEXTJOIN(" + ",TRUE,IF(COUNTIFS(OrderLines!$A$2:$A$925,A143,OrderLines!$F$2:$F$925,"Beverage")&gt;0,"Beverage",""),IF(COUNTIFS(OrderLines!$A$2:$A$925,A143,OrderLines!$F$2:$F$925,"Dessert")&gt;0,"Dessert",""),IF(COUNTIFS(OrderLines!$A$2:$A$925,A143,OrderLines!$F$2:$F$925,"Hot Meal")&gt;0,"Hot Meal",""),IF(COUNTIFS(OrderLines!$A$2:$A$925,A143,OrderLines!$F$2:$F$925,"Snack")&gt;0,"Snack",""))</f>
        <v>Beverage + Snack</v>
      </c>
    </row>
    <row r="144" spans="1:9">
      <c r="A144" t="str">
        <f>Orders!A144</f>
        <v>O00143</v>
      </c>
      <c r="B144" t="str">
        <f>Orders!C144</f>
        <v>Plant 1 Canteen</v>
      </c>
      <c r="C144" t="str">
        <f>Orders!F144</f>
        <v>Breakfast</v>
      </c>
      <c r="D144" t="str">
        <f>Orders!J144</f>
        <v>Single</v>
      </c>
      <c r="E144" s="24">
        <f>Orders!I144</f>
        <v>38.208999999999996</v>
      </c>
      <c r="F144" s="24">
        <f>SUMIF(OrderLines!$A$2:$A$925,A144,OrderLines!$L$2:$L$925)</f>
        <v>16</v>
      </c>
      <c r="G144" s="23">
        <f t="shared" ref="G144:G207" si="6">E144-F144</f>
        <v>22.208999999999996</v>
      </c>
      <c r="H144" s="23">
        <f t="shared" ref="H144:H207" si="7">IFERROR(G144/E144,0)</f>
        <v>0.58125049072208113</v>
      </c>
      <c r="I144" t="str">
        <f>_xlfn.TEXTJOIN(" + ",TRUE,IF(COUNTIFS(OrderLines!$A$2:$A$925,A144,OrderLines!$F$2:$F$925,"Beverage")&gt;0,"Beverage",""),IF(COUNTIFS(OrderLines!$A$2:$A$925,A144,OrderLines!$F$2:$F$925,"Dessert")&gt;0,"Dessert",""),IF(COUNTIFS(OrderLines!$A$2:$A$925,A144,OrderLines!$F$2:$F$925,"Hot Meal")&gt;0,"Hot Meal",""),IF(COUNTIFS(OrderLines!$A$2:$A$925,A144,OrderLines!$F$2:$F$925,"Snack")&gt;0,"Snack",""))</f>
        <v>Beverage</v>
      </c>
    </row>
    <row r="145" spans="1:9">
      <c r="A145" t="str">
        <f>Orders!A145</f>
        <v>O00144</v>
      </c>
      <c r="B145" t="str">
        <f>Orders!C145</f>
        <v>Plant 1 Canteen</v>
      </c>
      <c r="C145" t="str">
        <f>Orders!F145</f>
        <v>Breakfast</v>
      </c>
      <c r="D145" t="str">
        <f>Orders!J145</f>
        <v>Single</v>
      </c>
      <c r="E145" s="24">
        <f>Orders!I145</f>
        <v>47.729500000000002</v>
      </c>
      <c r="F145" s="24">
        <f>SUMIF(OrderLines!$A$2:$A$925,A145,OrderLines!$L$2:$L$925)</f>
        <v>25.8</v>
      </c>
      <c r="G145" s="23">
        <f t="shared" si="6"/>
        <v>21.929500000000001</v>
      </c>
      <c r="H145" s="23">
        <f t="shared" si="7"/>
        <v>0.45945379691804861</v>
      </c>
      <c r="I145" t="str">
        <f>_xlfn.TEXTJOIN(" + ",TRUE,IF(COUNTIFS(OrderLines!$A$2:$A$925,A145,OrderLines!$F$2:$F$925,"Beverage")&gt;0,"Beverage",""),IF(COUNTIFS(OrderLines!$A$2:$A$925,A145,OrderLines!$F$2:$F$925,"Dessert")&gt;0,"Dessert",""),IF(COUNTIFS(OrderLines!$A$2:$A$925,A145,OrderLines!$F$2:$F$925,"Hot Meal")&gt;0,"Hot Meal",""),IF(COUNTIFS(OrderLines!$A$2:$A$925,A145,OrderLines!$F$2:$F$925,"Snack")&gt;0,"Snack",""))</f>
        <v>Snack</v>
      </c>
    </row>
    <row r="146" spans="1:9">
      <c r="A146" t="str">
        <f>Orders!A146</f>
        <v>O00145</v>
      </c>
      <c r="B146" t="str">
        <f>Orders!C146</f>
        <v>Head Office Café</v>
      </c>
      <c r="C146" t="str">
        <f>Orders!F146</f>
        <v>Breakfast</v>
      </c>
      <c r="D146" t="str">
        <f>Orders!J146</f>
        <v>Single</v>
      </c>
      <c r="E146" s="24">
        <f>Orders!I146</f>
        <v>328.09960000000001</v>
      </c>
      <c r="F146" s="24">
        <f>SUMIF(OrderLines!$A$2:$A$925,A146,OrderLines!$L$2:$L$925)</f>
        <v>150.76</v>
      </c>
      <c r="G146" s="23">
        <f t="shared" si="6"/>
        <v>177.33960000000002</v>
      </c>
      <c r="H146" s="23">
        <f t="shared" si="7"/>
        <v>0.54050538312146679</v>
      </c>
      <c r="I146" t="str">
        <f>_xlfn.TEXTJOIN(" + ",TRUE,IF(COUNTIFS(OrderLines!$A$2:$A$925,A146,OrderLines!$F$2:$F$925,"Beverage")&gt;0,"Beverage",""),IF(COUNTIFS(OrderLines!$A$2:$A$925,A146,OrderLines!$F$2:$F$925,"Dessert")&gt;0,"Dessert",""),IF(COUNTIFS(OrderLines!$A$2:$A$925,A146,OrderLines!$F$2:$F$925,"Hot Meal")&gt;0,"Hot Meal",""),IF(COUNTIFS(OrderLines!$A$2:$A$925,A146,OrderLines!$F$2:$F$925,"Snack")&gt;0,"Snack",""))</f>
        <v>Beverage + Dessert</v>
      </c>
    </row>
    <row r="147" spans="1:9">
      <c r="A147" t="str">
        <f>Orders!A147</f>
        <v>O00146</v>
      </c>
      <c r="B147" t="str">
        <f>Orders!C147</f>
        <v>Plant 2 Canteen</v>
      </c>
      <c r="C147" t="str">
        <f>Orders!F147</f>
        <v>Breakfast</v>
      </c>
      <c r="D147" t="str">
        <f>Orders!J147</f>
        <v>Combo</v>
      </c>
      <c r="E147" s="24">
        <f>Orders!I147</f>
        <v>1569.9879999999998</v>
      </c>
      <c r="F147" s="24">
        <f>SUMIF(OrderLines!$A$2:$A$925,A147,OrderLines!$L$2:$L$925)</f>
        <v>767.68999999999994</v>
      </c>
      <c r="G147" s="23">
        <f t="shared" si="6"/>
        <v>802.29799999999989</v>
      </c>
      <c r="H147" s="23">
        <f t="shared" si="7"/>
        <v>0.5110217402935564</v>
      </c>
      <c r="I147" t="str">
        <f>_xlfn.TEXTJOIN(" + ",TRUE,IF(COUNTIFS(OrderLines!$A$2:$A$925,A147,OrderLines!$F$2:$F$925,"Beverage")&gt;0,"Beverage",""),IF(COUNTIFS(OrderLines!$A$2:$A$925,A147,OrderLines!$F$2:$F$925,"Dessert")&gt;0,"Dessert",""),IF(COUNTIFS(OrderLines!$A$2:$A$925,A147,OrderLines!$F$2:$F$925,"Hot Meal")&gt;0,"Hot Meal",""),IF(COUNTIFS(OrderLines!$A$2:$A$925,A147,OrderLines!$F$2:$F$925,"Snack")&gt;0,"Snack",""))</f>
        <v>Beverage + Dessert + Hot Meal</v>
      </c>
    </row>
    <row r="148" spans="1:9">
      <c r="A148" t="str">
        <f>Orders!A148</f>
        <v>O00147</v>
      </c>
      <c r="B148" t="str">
        <f>Orders!C148</f>
        <v>Head Office Café</v>
      </c>
      <c r="C148" t="str">
        <f>Orders!F148</f>
        <v>Dinner</v>
      </c>
      <c r="D148" t="str">
        <f>Orders!J148</f>
        <v>Combo</v>
      </c>
      <c r="E148" s="24">
        <f>Orders!I148</f>
        <v>357.67779999999999</v>
      </c>
      <c r="F148" s="24">
        <f>SUMIF(OrderLines!$A$2:$A$925,A148,OrderLines!$L$2:$L$925)</f>
        <v>159.28999999999996</v>
      </c>
      <c r="G148" s="23">
        <f t="shared" si="6"/>
        <v>198.38780000000003</v>
      </c>
      <c r="H148" s="23">
        <f t="shared" si="7"/>
        <v>0.55465505547171234</v>
      </c>
      <c r="I148" t="str">
        <f>_xlfn.TEXTJOIN(" + ",TRUE,IF(COUNTIFS(OrderLines!$A$2:$A$925,A148,OrderLines!$F$2:$F$925,"Beverage")&gt;0,"Beverage",""),IF(COUNTIFS(OrderLines!$A$2:$A$925,A148,OrderLines!$F$2:$F$925,"Dessert")&gt;0,"Dessert",""),IF(COUNTIFS(OrderLines!$A$2:$A$925,A148,OrderLines!$F$2:$F$925,"Hot Meal")&gt;0,"Hot Meal",""),IF(COUNTIFS(OrderLines!$A$2:$A$925,A148,OrderLines!$F$2:$F$925,"Snack")&gt;0,"Snack",""))</f>
        <v>Beverage + Hot Meal + Snack</v>
      </c>
    </row>
    <row r="149" spans="1:9">
      <c r="A149" t="str">
        <f>Orders!A149</f>
        <v>O00148</v>
      </c>
      <c r="B149" t="str">
        <f>Orders!C149</f>
        <v>Head Office Café</v>
      </c>
      <c r="C149" t="str">
        <f>Orders!F149</f>
        <v>Breakfast</v>
      </c>
      <c r="D149" t="str">
        <f>Orders!J149</f>
        <v>Single</v>
      </c>
      <c r="E149" s="24">
        <f>Orders!I149</f>
        <v>70.290000000000006</v>
      </c>
      <c r="F149" s="24">
        <f>SUMIF(OrderLines!$A$2:$A$925,A149,OrderLines!$L$2:$L$925)</f>
        <v>29.689999999999998</v>
      </c>
      <c r="G149" s="23">
        <f t="shared" si="6"/>
        <v>40.600000000000009</v>
      </c>
      <c r="H149" s="23">
        <f t="shared" si="7"/>
        <v>0.57760705648029598</v>
      </c>
      <c r="I149" t="str">
        <f>_xlfn.TEXTJOIN(" + ",TRUE,IF(COUNTIFS(OrderLines!$A$2:$A$925,A149,OrderLines!$F$2:$F$925,"Beverage")&gt;0,"Beverage",""),IF(COUNTIFS(OrderLines!$A$2:$A$925,A149,OrderLines!$F$2:$F$925,"Dessert")&gt;0,"Dessert",""),IF(COUNTIFS(OrderLines!$A$2:$A$925,A149,OrderLines!$F$2:$F$925,"Hot Meal")&gt;0,"Hot Meal",""),IF(COUNTIFS(OrderLines!$A$2:$A$925,A149,OrderLines!$F$2:$F$925,"Snack")&gt;0,"Snack",""))</f>
        <v>Beverage + Snack</v>
      </c>
    </row>
    <row r="150" spans="1:9">
      <c r="A150" t="str">
        <f>Orders!A150</f>
        <v>O00149</v>
      </c>
      <c r="B150" t="str">
        <f>Orders!C150</f>
        <v>Plant 2 Canteen</v>
      </c>
      <c r="C150" t="str">
        <f>Orders!F150</f>
        <v>Dinner</v>
      </c>
      <c r="D150" t="str">
        <f>Orders!J150</f>
        <v>Single</v>
      </c>
      <c r="E150" s="24">
        <f>Orders!I150</f>
        <v>286.22400000000005</v>
      </c>
      <c r="F150" s="24">
        <f>SUMIF(OrderLines!$A$2:$A$925,A150,OrderLines!$L$2:$L$925)</f>
        <v>132.03</v>
      </c>
      <c r="G150" s="23">
        <f t="shared" si="6"/>
        <v>154.19400000000005</v>
      </c>
      <c r="H150" s="23">
        <f t="shared" si="7"/>
        <v>0.5387179272178434</v>
      </c>
      <c r="I150" t="str">
        <f>_xlfn.TEXTJOIN(" + ",TRUE,IF(COUNTIFS(OrderLines!$A$2:$A$925,A150,OrderLines!$F$2:$F$925,"Beverage")&gt;0,"Beverage",""),IF(COUNTIFS(OrderLines!$A$2:$A$925,A150,OrderLines!$F$2:$F$925,"Dessert")&gt;0,"Dessert",""),IF(COUNTIFS(OrderLines!$A$2:$A$925,A150,OrderLines!$F$2:$F$925,"Hot Meal")&gt;0,"Hot Meal",""),IF(COUNTIFS(OrderLines!$A$2:$A$925,A150,OrderLines!$F$2:$F$925,"Snack")&gt;0,"Snack",""))</f>
        <v>Hot Meal + Snack</v>
      </c>
    </row>
    <row r="151" spans="1:9">
      <c r="A151" t="str">
        <f>Orders!A151</f>
        <v>O00150</v>
      </c>
      <c r="B151" t="str">
        <f>Orders!C151</f>
        <v>Head Office Café</v>
      </c>
      <c r="C151" t="str">
        <f>Orders!F151</f>
        <v>Breakfast</v>
      </c>
      <c r="D151" t="str">
        <f>Orders!J151</f>
        <v>Single</v>
      </c>
      <c r="E151" s="24">
        <f>Orders!I151</f>
        <v>741.97760000000017</v>
      </c>
      <c r="F151" s="24">
        <f>SUMIF(OrderLines!$A$2:$A$925,A151,OrderLines!$L$2:$L$925)</f>
        <v>356.43999999999994</v>
      </c>
      <c r="G151" s="23">
        <f t="shared" si="6"/>
        <v>385.53760000000023</v>
      </c>
      <c r="H151" s="23">
        <f t="shared" si="7"/>
        <v>0.51960813911363379</v>
      </c>
      <c r="I151" t="str">
        <f>_xlfn.TEXTJOIN(" + ",TRUE,IF(COUNTIFS(OrderLines!$A$2:$A$925,A151,OrderLines!$F$2:$F$925,"Beverage")&gt;0,"Beverage",""),IF(COUNTIFS(OrderLines!$A$2:$A$925,A151,OrderLines!$F$2:$F$925,"Dessert")&gt;0,"Dessert",""),IF(COUNTIFS(OrderLines!$A$2:$A$925,A151,OrderLines!$F$2:$F$925,"Hot Meal")&gt;0,"Hot Meal",""),IF(COUNTIFS(OrderLines!$A$2:$A$925,A151,OrderLines!$F$2:$F$925,"Snack")&gt;0,"Snack",""))</f>
        <v>Hot Meal</v>
      </c>
    </row>
    <row r="152" spans="1:9">
      <c r="A152" t="str">
        <f>Orders!A152</f>
        <v>O00151</v>
      </c>
      <c r="B152" t="str">
        <f>Orders!C152</f>
        <v>Plant 1 Canteen</v>
      </c>
      <c r="C152" t="str">
        <f>Orders!F152</f>
        <v>Breakfast</v>
      </c>
      <c r="D152" t="str">
        <f>Orders!J152</f>
        <v>Single</v>
      </c>
      <c r="E152" s="24">
        <f>Orders!I152</f>
        <v>1518.4016999999999</v>
      </c>
      <c r="F152" s="24">
        <f>SUMIF(OrderLines!$A$2:$A$925,A152,OrderLines!$L$2:$L$925)</f>
        <v>771.44</v>
      </c>
      <c r="G152" s="23">
        <f t="shared" si="6"/>
        <v>746.96169999999984</v>
      </c>
      <c r="H152" s="23">
        <f t="shared" si="7"/>
        <v>0.49193945185914895</v>
      </c>
      <c r="I152" t="str">
        <f>_xlfn.TEXTJOIN(" + ",TRUE,IF(COUNTIFS(OrderLines!$A$2:$A$925,A152,OrderLines!$F$2:$F$925,"Beverage")&gt;0,"Beverage",""),IF(COUNTIFS(OrderLines!$A$2:$A$925,A152,OrderLines!$F$2:$F$925,"Dessert")&gt;0,"Dessert",""),IF(COUNTIFS(OrderLines!$A$2:$A$925,A152,OrderLines!$F$2:$F$925,"Hot Meal")&gt;0,"Hot Meal",""),IF(COUNTIFS(OrderLines!$A$2:$A$925,A152,OrderLines!$F$2:$F$925,"Snack")&gt;0,"Snack",""))</f>
        <v>Hot Meal</v>
      </c>
    </row>
    <row r="153" spans="1:9">
      <c r="A153" t="str">
        <f>Orders!A153</f>
        <v>O00152</v>
      </c>
      <c r="B153" t="str">
        <f>Orders!C153</f>
        <v>Plant 2 Canteen</v>
      </c>
      <c r="C153" t="str">
        <f>Orders!F153</f>
        <v>Breakfast</v>
      </c>
      <c r="D153" t="str">
        <f>Orders!J153</f>
        <v>Combo</v>
      </c>
      <c r="E153" s="24">
        <f>Orders!I153</f>
        <v>235.04579999999999</v>
      </c>
      <c r="F153" s="24">
        <f>SUMIF(OrderLines!$A$2:$A$925,A153,OrderLines!$L$2:$L$925)</f>
        <v>123.46000000000001</v>
      </c>
      <c r="G153" s="23">
        <f t="shared" si="6"/>
        <v>111.58579999999998</v>
      </c>
      <c r="H153" s="23">
        <f t="shared" si="7"/>
        <v>0.47474066756351307</v>
      </c>
      <c r="I153" t="str">
        <f>_xlfn.TEXTJOIN(" + ",TRUE,IF(COUNTIFS(OrderLines!$A$2:$A$925,A153,OrderLines!$F$2:$F$925,"Beverage")&gt;0,"Beverage",""),IF(COUNTIFS(OrderLines!$A$2:$A$925,A153,OrderLines!$F$2:$F$925,"Dessert")&gt;0,"Dessert",""),IF(COUNTIFS(OrderLines!$A$2:$A$925,A153,OrderLines!$F$2:$F$925,"Hot Meal")&gt;0,"Hot Meal",""),IF(COUNTIFS(OrderLines!$A$2:$A$925,A153,OrderLines!$F$2:$F$925,"Snack")&gt;0,"Snack",""))</f>
        <v>Beverage + Hot Meal</v>
      </c>
    </row>
    <row r="154" spans="1:9">
      <c r="A154" t="str">
        <f>Orders!A154</f>
        <v>O00153</v>
      </c>
      <c r="B154" t="str">
        <f>Orders!C154</f>
        <v>Plant 1 Canteen</v>
      </c>
      <c r="C154" t="str">
        <f>Orders!F154</f>
        <v>Dinner</v>
      </c>
      <c r="D154" t="str">
        <f>Orders!J154</f>
        <v>Single</v>
      </c>
      <c r="E154" s="24">
        <f>Orders!I154</f>
        <v>71.582099999999997</v>
      </c>
      <c r="F154" s="24">
        <f>SUMIF(OrderLines!$A$2:$A$925,A154,OrderLines!$L$2:$L$925)</f>
        <v>35.78</v>
      </c>
      <c r="G154" s="23">
        <f t="shared" si="6"/>
        <v>35.802099999999996</v>
      </c>
      <c r="H154" s="23">
        <f t="shared" si="7"/>
        <v>0.5001543682009888</v>
      </c>
      <c r="I154" t="str">
        <f>_xlfn.TEXTJOIN(" + ",TRUE,IF(COUNTIFS(OrderLines!$A$2:$A$925,A154,OrderLines!$F$2:$F$925,"Beverage")&gt;0,"Beverage",""),IF(COUNTIFS(OrderLines!$A$2:$A$925,A154,OrderLines!$F$2:$F$925,"Dessert")&gt;0,"Dessert",""),IF(COUNTIFS(OrderLines!$A$2:$A$925,A154,OrderLines!$F$2:$F$925,"Hot Meal")&gt;0,"Hot Meal",""),IF(COUNTIFS(OrderLines!$A$2:$A$925,A154,OrderLines!$F$2:$F$925,"Snack")&gt;0,"Snack",""))</f>
        <v>Beverage</v>
      </c>
    </row>
    <row r="155" spans="1:9">
      <c r="A155" t="str">
        <f>Orders!A155</f>
        <v>O00154</v>
      </c>
      <c r="B155" t="str">
        <f>Orders!C155</f>
        <v>Plant 2 Canteen</v>
      </c>
      <c r="C155" t="str">
        <f>Orders!F155</f>
        <v>Lunch</v>
      </c>
      <c r="D155" t="str">
        <f>Orders!J155</f>
        <v>Single</v>
      </c>
      <c r="E155" s="24">
        <f>Orders!I155</f>
        <v>343.7396</v>
      </c>
      <c r="F155" s="24">
        <f>SUMIF(OrderLines!$A$2:$A$925,A155,OrderLines!$L$2:$L$925)</f>
        <v>160.16999999999999</v>
      </c>
      <c r="G155" s="23">
        <f t="shared" si="6"/>
        <v>183.56960000000001</v>
      </c>
      <c r="H155" s="23">
        <f t="shared" si="7"/>
        <v>0.53403681158644511</v>
      </c>
      <c r="I155" t="str">
        <f>_xlfn.TEXTJOIN(" + ",TRUE,IF(COUNTIFS(OrderLines!$A$2:$A$925,A155,OrderLines!$F$2:$F$925,"Beverage")&gt;0,"Beverage",""),IF(COUNTIFS(OrderLines!$A$2:$A$925,A155,OrderLines!$F$2:$F$925,"Dessert")&gt;0,"Dessert",""),IF(COUNTIFS(OrderLines!$A$2:$A$925,A155,OrderLines!$F$2:$F$925,"Hot Meal")&gt;0,"Hot Meal",""),IF(COUNTIFS(OrderLines!$A$2:$A$925,A155,OrderLines!$F$2:$F$925,"Snack")&gt;0,"Snack",""))</f>
        <v>Beverage + Dessert + Snack</v>
      </c>
    </row>
    <row r="156" spans="1:9">
      <c r="A156" t="str">
        <f>Orders!A156</f>
        <v>O00155</v>
      </c>
      <c r="B156" t="str">
        <f>Orders!C156</f>
        <v>Plant 2 Canteen</v>
      </c>
      <c r="C156" t="str">
        <f>Orders!F156</f>
        <v>Breakfast</v>
      </c>
      <c r="D156" t="str">
        <f>Orders!J156</f>
        <v>Single</v>
      </c>
      <c r="E156" s="24">
        <f>Orders!I156</f>
        <v>791.97720000000004</v>
      </c>
      <c r="F156" s="24">
        <f>SUMIF(OrderLines!$A$2:$A$925,A156,OrderLines!$L$2:$L$925)</f>
        <v>380.03999999999996</v>
      </c>
      <c r="G156" s="23">
        <f t="shared" si="6"/>
        <v>411.93720000000008</v>
      </c>
      <c r="H156" s="23">
        <f t="shared" si="7"/>
        <v>0.52013770093381484</v>
      </c>
      <c r="I156" t="str">
        <f>_xlfn.TEXTJOIN(" + ",TRUE,IF(COUNTIFS(OrderLines!$A$2:$A$925,A156,OrderLines!$F$2:$F$925,"Beverage")&gt;0,"Beverage",""),IF(COUNTIFS(OrderLines!$A$2:$A$925,A156,OrderLines!$F$2:$F$925,"Dessert")&gt;0,"Dessert",""),IF(COUNTIFS(OrderLines!$A$2:$A$925,A156,OrderLines!$F$2:$F$925,"Hot Meal")&gt;0,"Hot Meal",""),IF(COUNTIFS(OrderLines!$A$2:$A$925,A156,OrderLines!$F$2:$F$925,"Snack")&gt;0,"Snack",""))</f>
        <v>Dessert + Hot Meal + Snack</v>
      </c>
    </row>
    <row r="157" spans="1:9">
      <c r="A157" t="str">
        <f>Orders!A157</f>
        <v>O00156</v>
      </c>
      <c r="B157" t="str">
        <f>Orders!C157</f>
        <v>Head Office Café</v>
      </c>
      <c r="C157" t="str">
        <f>Orders!F157</f>
        <v>Breakfast</v>
      </c>
      <c r="D157" t="str">
        <f>Orders!J157</f>
        <v>Combo</v>
      </c>
      <c r="E157" s="24">
        <f>Orders!I157</f>
        <v>939.76499999999999</v>
      </c>
      <c r="F157" s="24">
        <f>SUMIF(OrderLines!$A$2:$A$925,A157,OrderLines!$L$2:$L$925)</f>
        <v>426.69999999999993</v>
      </c>
      <c r="G157" s="23">
        <f t="shared" si="6"/>
        <v>513.06500000000005</v>
      </c>
      <c r="H157" s="23">
        <f t="shared" si="7"/>
        <v>0.54595031736657573</v>
      </c>
      <c r="I157" t="str">
        <f>_xlfn.TEXTJOIN(" + ",TRUE,IF(COUNTIFS(OrderLines!$A$2:$A$925,A157,OrderLines!$F$2:$F$925,"Beverage")&gt;0,"Beverage",""),IF(COUNTIFS(OrderLines!$A$2:$A$925,A157,OrderLines!$F$2:$F$925,"Dessert")&gt;0,"Dessert",""),IF(COUNTIFS(OrderLines!$A$2:$A$925,A157,OrderLines!$F$2:$F$925,"Hot Meal")&gt;0,"Hot Meal",""),IF(COUNTIFS(OrderLines!$A$2:$A$925,A157,OrderLines!$F$2:$F$925,"Snack")&gt;0,"Snack",""))</f>
        <v>Beverage + Dessert + Hot Meal + Snack</v>
      </c>
    </row>
    <row r="158" spans="1:9">
      <c r="A158" t="str">
        <f>Orders!A158</f>
        <v>O00157</v>
      </c>
      <c r="B158" t="str">
        <f>Orders!C158</f>
        <v>Plant 2 Canteen</v>
      </c>
      <c r="C158" t="str">
        <f>Orders!F158</f>
        <v>Dinner</v>
      </c>
      <c r="D158" t="str">
        <f>Orders!J158</f>
        <v>Single</v>
      </c>
      <c r="E158" s="24">
        <f>Orders!I158</f>
        <v>860.27859999999998</v>
      </c>
      <c r="F158" s="24">
        <f>SUMIF(OrderLines!$A$2:$A$925,A158,OrderLines!$L$2:$L$925)</f>
        <v>411.90999999999997</v>
      </c>
      <c r="G158" s="23">
        <f t="shared" si="6"/>
        <v>448.36860000000001</v>
      </c>
      <c r="H158" s="23">
        <f t="shared" si="7"/>
        <v>0.52118999589202852</v>
      </c>
      <c r="I158" t="str">
        <f>_xlfn.TEXTJOIN(" + ",TRUE,IF(COUNTIFS(OrderLines!$A$2:$A$925,A158,OrderLines!$F$2:$F$925,"Beverage")&gt;0,"Beverage",""),IF(COUNTIFS(OrderLines!$A$2:$A$925,A158,OrderLines!$F$2:$F$925,"Dessert")&gt;0,"Dessert",""),IF(COUNTIFS(OrderLines!$A$2:$A$925,A158,OrderLines!$F$2:$F$925,"Hot Meal")&gt;0,"Hot Meal",""),IF(COUNTIFS(OrderLines!$A$2:$A$925,A158,OrderLines!$F$2:$F$925,"Snack")&gt;0,"Snack",""))</f>
        <v>Dessert + Hot Meal + Snack</v>
      </c>
    </row>
    <row r="159" spans="1:9">
      <c r="A159" t="str">
        <f>Orders!A159</f>
        <v>O00158</v>
      </c>
      <c r="B159" t="str">
        <f>Orders!C159</f>
        <v>Plant 1 Canteen</v>
      </c>
      <c r="C159" t="str">
        <f>Orders!F159</f>
        <v>Breakfast</v>
      </c>
      <c r="D159" t="str">
        <f>Orders!J159</f>
        <v>Single</v>
      </c>
      <c r="E159" s="24">
        <f>Orders!I159</f>
        <v>334.40219999999999</v>
      </c>
      <c r="F159" s="24">
        <f>SUMIF(OrderLines!$A$2:$A$925,A159,OrderLines!$L$2:$L$925)</f>
        <v>158.87</v>
      </c>
      <c r="G159" s="23">
        <f t="shared" si="6"/>
        <v>175.53219999999999</v>
      </c>
      <c r="H159" s="23">
        <f t="shared" si="7"/>
        <v>0.52491341265099334</v>
      </c>
      <c r="I159" t="str">
        <f>_xlfn.TEXTJOIN(" + ",TRUE,IF(COUNTIFS(OrderLines!$A$2:$A$925,A159,OrderLines!$F$2:$F$925,"Beverage")&gt;0,"Beverage",""),IF(COUNTIFS(OrderLines!$A$2:$A$925,A159,OrderLines!$F$2:$F$925,"Dessert")&gt;0,"Dessert",""),IF(COUNTIFS(OrderLines!$A$2:$A$925,A159,OrderLines!$F$2:$F$925,"Hot Meal")&gt;0,"Hot Meal",""),IF(COUNTIFS(OrderLines!$A$2:$A$925,A159,OrderLines!$F$2:$F$925,"Snack")&gt;0,"Snack",""))</f>
        <v>Beverage + Dessert + Snack</v>
      </c>
    </row>
    <row r="160" spans="1:9">
      <c r="A160" t="str">
        <f>Orders!A160</f>
        <v>O00159</v>
      </c>
      <c r="B160" t="str">
        <f>Orders!C160</f>
        <v>Plant 1 Canteen</v>
      </c>
      <c r="C160" t="str">
        <f>Orders!F160</f>
        <v>Breakfast</v>
      </c>
      <c r="D160" t="str">
        <f>Orders!J160</f>
        <v>Single</v>
      </c>
      <c r="E160" s="24">
        <f>Orders!I160</f>
        <v>228.86369999999999</v>
      </c>
      <c r="F160" s="24">
        <f>SUMIF(OrderLines!$A$2:$A$925,A160,OrderLines!$L$2:$L$925)</f>
        <v>112.08</v>
      </c>
      <c r="G160" s="23">
        <f t="shared" si="6"/>
        <v>116.7837</v>
      </c>
      <c r="H160" s="23">
        <f t="shared" si="7"/>
        <v>0.5102762036967855</v>
      </c>
      <c r="I160" t="str">
        <f>_xlfn.TEXTJOIN(" + ",TRUE,IF(COUNTIFS(OrderLines!$A$2:$A$925,A160,OrderLines!$F$2:$F$925,"Beverage")&gt;0,"Beverage",""),IF(COUNTIFS(OrderLines!$A$2:$A$925,A160,OrderLines!$F$2:$F$925,"Dessert")&gt;0,"Dessert",""),IF(COUNTIFS(OrderLines!$A$2:$A$925,A160,OrderLines!$F$2:$F$925,"Hot Meal")&gt;0,"Hot Meal",""),IF(COUNTIFS(OrderLines!$A$2:$A$925,A160,OrderLines!$F$2:$F$925,"Snack")&gt;0,"Snack",""))</f>
        <v>Hot Meal</v>
      </c>
    </row>
    <row r="161" spans="1:9">
      <c r="A161" t="str">
        <f>Orders!A161</f>
        <v>O00160</v>
      </c>
      <c r="B161" t="str">
        <f>Orders!C161</f>
        <v>Head Office Café</v>
      </c>
      <c r="C161" t="str">
        <f>Orders!F161</f>
        <v>Lunch</v>
      </c>
      <c r="D161" t="str">
        <f>Orders!J161</f>
        <v>Single</v>
      </c>
      <c r="E161" s="24">
        <f>Orders!I161</f>
        <v>314.32720000000006</v>
      </c>
      <c r="F161" s="24">
        <f>SUMIF(OrderLines!$A$2:$A$925,A161,OrderLines!$L$2:$L$925)</f>
        <v>148.13999999999999</v>
      </c>
      <c r="G161" s="23">
        <f t="shared" si="6"/>
        <v>166.18720000000008</v>
      </c>
      <c r="H161" s="23">
        <f t="shared" si="7"/>
        <v>0.52870766513365708</v>
      </c>
      <c r="I161" t="str">
        <f>_xlfn.TEXTJOIN(" + ",TRUE,IF(COUNTIFS(OrderLines!$A$2:$A$925,A161,OrderLines!$F$2:$F$925,"Beverage")&gt;0,"Beverage",""),IF(COUNTIFS(OrderLines!$A$2:$A$925,A161,OrderLines!$F$2:$F$925,"Dessert")&gt;0,"Dessert",""),IF(COUNTIFS(OrderLines!$A$2:$A$925,A161,OrderLines!$F$2:$F$925,"Hot Meal")&gt;0,"Hot Meal",""),IF(COUNTIFS(OrderLines!$A$2:$A$925,A161,OrderLines!$F$2:$F$925,"Snack")&gt;0,"Snack",""))</f>
        <v>Hot Meal</v>
      </c>
    </row>
    <row r="162" spans="1:9">
      <c r="A162" t="str">
        <f>Orders!A162</f>
        <v>O00161</v>
      </c>
      <c r="B162" t="str">
        <f>Orders!C162</f>
        <v>Head Office Café</v>
      </c>
      <c r="C162" t="str">
        <f>Orders!F162</f>
        <v>Breakfast</v>
      </c>
      <c r="D162" t="str">
        <f>Orders!J162</f>
        <v>Combo</v>
      </c>
      <c r="E162" s="24">
        <f>Orders!I162</f>
        <v>636.94800000000009</v>
      </c>
      <c r="F162" s="24">
        <f>SUMIF(OrderLines!$A$2:$A$925,A162,OrderLines!$L$2:$L$925)</f>
        <v>329.40999999999997</v>
      </c>
      <c r="G162" s="23">
        <f t="shared" si="6"/>
        <v>307.53800000000012</v>
      </c>
      <c r="H162" s="23">
        <f t="shared" si="7"/>
        <v>0.48283062353598738</v>
      </c>
      <c r="I162" t="str">
        <f>_xlfn.TEXTJOIN(" + ",TRUE,IF(COUNTIFS(OrderLines!$A$2:$A$925,A162,OrderLines!$F$2:$F$925,"Beverage")&gt;0,"Beverage",""),IF(COUNTIFS(OrderLines!$A$2:$A$925,A162,OrderLines!$F$2:$F$925,"Dessert")&gt;0,"Dessert",""),IF(COUNTIFS(OrderLines!$A$2:$A$925,A162,OrderLines!$F$2:$F$925,"Hot Meal")&gt;0,"Hot Meal",""),IF(COUNTIFS(OrderLines!$A$2:$A$925,A162,OrderLines!$F$2:$F$925,"Snack")&gt;0,"Snack",""))</f>
        <v>Beverage + Dessert + Hot Meal</v>
      </c>
    </row>
    <row r="163" spans="1:9">
      <c r="A163" t="str">
        <f>Orders!A163</f>
        <v>O00162</v>
      </c>
      <c r="B163" t="str">
        <f>Orders!C163</f>
        <v>Plant 1 Canteen</v>
      </c>
      <c r="C163" t="str">
        <f>Orders!F163</f>
        <v>Breakfast</v>
      </c>
      <c r="D163" t="str">
        <f>Orders!J163</f>
        <v>Single</v>
      </c>
      <c r="E163" s="24">
        <f>Orders!I163</f>
        <v>406.53899999999999</v>
      </c>
      <c r="F163" s="24">
        <f>SUMIF(OrderLines!$A$2:$A$925,A163,OrderLines!$L$2:$L$925)</f>
        <v>221.31</v>
      </c>
      <c r="G163" s="23">
        <f t="shared" si="6"/>
        <v>185.22899999999998</v>
      </c>
      <c r="H163" s="23">
        <f t="shared" si="7"/>
        <v>0.45562418365765645</v>
      </c>
      <c r="I163" t="str">
        <f>_xlfn.TEXTJOIN(" + ",TRUE,IF(COUNTIFS(OrderLines!$A$2:$A$925,A163,OrderLines!$F$2:$F$925,"Beverage")&gt;0,"Beverage",""),IF(COUNTIFS(OrderLines!$A$2:$A$925,A163,OrderLines!$F$2:$F$925,"Dessert")&gt;0,"Dessert",""),IF(COUNTIFS(OrderLines!$A$2:$A$925,A163,OrderLines!$F$2:$F$925,"Hot Meal")&gt;0,"Hot Meal",""),IF(COUNTIFS(OrderLines!$A$2:$A$925,A163,OrderLines!$F$2:$F$925,"Snack")&gt;0,"Snack",""))</f>
        <v>Dessert + Hot Meal + Snack</v>
      </c>
    </row>
    <row r="164" spans="1:9">
      <c r="A164" t="str">
        <f>Orders!A164</f>
        <v>O00163</v>
      </c>
      <c r="B164" t="str">
        <f>Orders!C164</f>
        <v>Plant 2 Canteen</v>
      </c>
      <c r="C164" t="str">
        <f>Orders!F164</f>
        <v>Lunch</v>
      </c>
      <c r="D164" t="str">
        <f>Orders!J164</f>
        <v>Single</v>
      </c>
      <c r="E164" s="24">
        <f>Orders!I164</f>
        <v>633.67000000000007</v>
      </c>
      <c r="F164" s="24">
        <f>SUMIF(OrderLines!$A$2:$A$925,A164,OrderLines!$L$2:$L$925)</f>
        <v>289.01</v>
      </c>
      <c r="G164" s="23">
        <f t="shared" si="6"/>
        <v>344.66000000000008</v>
      </c>
      <c r="H164" s="23">
        <f t="shared" si="7"/>
        <v>0.54391086843309611</v>
      </c>
      <c r="I164" t="str">
        <f>_xlfn.TEXTJOIN(" + ",TRUE,IF(COUNTIFS(OrderLines!$A$2:$A$925,A164,OrderLines!$F$2:$F$925,"Beverage")&gt;0,"Beverage",""),IF(COUNTIFS(OrderLines!$A$2:$A$925,A164,OrderLines!$F$2:$F$925,"Dessert")&gt;0,"Dessert",""),IF(COUNTIFS(OrderLines!$A$2:$A$925,A164,OrderLines!$F$2:$F$925,"Hot Meal")&gt;0,"Hot Meal",""),IF(COUNTIFS(OrderLines!$A$2:$A$925,A164,OrderLines!$F$2:$F$925,"Snack")&gt;0,"Snack",""))</f>
        <v>Hot Meal + Snack</v>
      </c>
    </row>
    <row r="165" spans="1:9">
      <c r="A165" t="str">
        <f>Orders!A165</f>
        <v>O00164</v>
      </c>
      <c r="B165" t="str">
        <f>Orders!C165</f>
        <v>Plant 1 Canteen</v>
      </c>
      <c r="C165" t="str">
        <f>Orders!F165</f>
        <v>Dinner</v>
      </c>
      <c r="D165" t="str">
        <f>Orders!J165</f>
        <v>Single</v>
      </c>
      <c r="E165" s="24">
        <f>Orders!I165</f>
        <v>194.18700000000001</v>
      </c>
      <c r="F165" s="24">
        <f>SUMIF(OrderLines!$A$2:$A$925,A165,OrderLines!$L$2:$L$925)</f>
        <v>100.76</v>
      </c>
      <c r="G165" s="23">
        <f t="shared" si="6"/>
        <v>93.427000000000007</v>
      </c>
      <c r="H165" s="23">
        <f t="shared" si="7"/>
        <v>0.48111871546498991</v>
      </c>
      <c r="I165" t="str">
        <f>_xlfn.TEXTJOIN(" + ",TRUE,IF(COUNTIFS(OrderLines!$A$2:$A$925,A165,OrderLines!$F$2:$F$925,"Beverage")&gt;0,"Beverage",""),IF(COUNTIFS(OrderLines!$A$2:$A$925,A165,OrderLines!$F$2:$F$925,"Dessert")&gt;0,"Dessert",""),IF(COUNTIFS(OrderLines!$A$2:$A$925,A165,OrderLines!$F$2:$F$925,"Hot Meal")&gt;0,"Hot Meal",""),IF(COUNTIFS(OrderLines!$A$2:$A$925,A165,OrderLines!$F$2:$F$925,"Snack")&gt;0,"Snack",""))</f>
        <v>Dessert + Snack</v>
      </c>
    </row>
    <row r="166" spans="1:9">
      <c r="A166" t="str">
        <f>Orders!A166</f>
        <v>O00165</v>
      </c>
      <c r="B166" t="str">
        <f>Orders!C166</f>
        <v>Head Office Café</v>
      </c>
      <c r="C166" t="str">
        <f>Orders!F166</f>
        <v>Lunch</v>
      </c>
      <c r="D166" t="str">
        <f>Orders!J166</f>
        <v>Single</v>
      </c>
      <c r="E166" s="24">
        <f>Orders!I166</f>
        <v>146.00400000000002</v>
      </c>
      <c r="F166" s="24">
        <f>SUMIF(OrderLines!$A$2:$A$925,A166,OrderLines!$L$2:$L$925)</f>
        <v>68.87</v>
      </c>
      <c r="G166" s="23">
        <f t="shared" si="6"/>
        <v>77.134000000000015</v>
      </c>
      <c r="H166" s="23">
        <f t="shared" si="7"/>
        <v>0.52830059450426015</v>
      </c>
      <c r="I166" t="str">
        <f>_xlfn.TEXTJOIN(" + ",TRUE,IF(COUNTIFS(OrderLines!$A$2:$A$925,A166,OrderLines!$F$2:$F$925,"Beverage")&gt;0,"Beverage",""),IF(COUNTIFS(OrderLines!$A$2:$A$925,A166,OrderLines!$F$2:$F$925,"Dessert")&gt;0,"Dessert",""),IF(COUNTIFS(OrderLines!$A$2:$A$925,A166,OrderLines!$F$2:$F$925,"Hot Meal")&gt;0,"Hot Meal",""),IF(COUNTIFS(OrderLines!$A$2:$A$925,A166,OrderLines!$F$2:$F$925,"Snack")&gt;0,"Snack",""))</f>
        <v>Beverage + Snack</v>
      </c>
    </row>
    <row r="167" spans="1:9">
      <c r="A167" t="str">
        <f>Orders!A167</f>
        <v>O00166</v>
      </c>
      <c r="B167" t="str">
        <f>Orders!C167</f>
        <v>Head Office Café</v>
      </c>
      <c r="C167" t="str">
        <f>Orders!F167</f>
        <v>Lunch</v>
      </c>
      <c r="D167" t="str">
        <f>Orders!J167</f>
        <v>Single</v>
      </c>
      <c r="E167" s="24">
        <f>Orders!I167</f>
        <v>91.024799999999999</v>
      </c>
      <c r="F167" s="24">
        <f>SUMIF(OrderLines!$A$2:$A$925,A167,OrderLines!$L$2:$L$925)</f>
        <v>35.519999999999996</v>
      </c>
      <c r="G167" s="23">
        <f t="shared" si="6"/>
        <v>55.504800000000003</v>
      </c>
      <c r="H167" s="23">
        <f t="shared" si="7"/>
        <v>0.60977667624647358</v>
      </c>
      <c r="I167" t="str">
        <f>_xlfn.TEXTJOIN(" + ",TRUE,IF(COUNTIFS(OrderLines!$A$2:$A$925,A167,OrderLines!$F$2:$F$925,"Beverage")&gt;0,"Beverage",""),IF(COUNTIFS(OrderLines!$A$2:$A$925,A167,OrderLines!$F$2:$F$925,"Dessert")&gt;0,"Dessert",""),IF(COUNTIFS(OrderLines!$A$2:$A$925,A167,OrderLines!$F$2:$F$925,"Hot Meal")&gt;0,"Hot Meal",""),IF(COUNTIFS(OrderLines!$A$2:$A$925,A167,OrderLines!$F$2:$F$925,"Snack")&gt;0,"Snack",""))</f>
        <v>Beverage</v>
      </c>
    </row>
    <row r="168" spans="1:9">
      <c r="A168" t="str">
        <f>Orders!A168</f>
        <v>O00167</v>
      </c>
      <c r="B168" t="str">
        <f>Orders!C168</f>
        <v>Plant 1 Canteen</v>
      </c>
      <c r="C168" t="str">
        <f>Orders!F168</f>
        <v>Breakfast</v>
      </c>
      <c r="D168" t="str">
        <f>Orders!J168</f>
        <v>Single</v>
      </c>
      <c r="E168" s="24">
        <f>Orders!I168</f>
        <v>37.002400000000002</v>
      </c>
      <c r="F168" s="24">
        <f>SUMIF(OrderLines!$A$2:$A$925,A168,OrderLines!$L$2:$L$925)</f>
        <v>16</v>
      </c>
      <c r="G168" s="23">
        <f t="shared" si="6"/>
        <v>21.002400000000002</v>
      </c>
      <c r="H168" s="23">
        <f t="shared" si="7"/>
        <v>0.5675956154195404</v>
      </c>
      <c r="I168" t="str">
        <f>_xlfn.TEXTJOIN(" + ",TRUE,IF(COUNTIFS(OrderLines!$A$2:$A$925,A168,OrderLines!$F$2:$F$925,"Beverage")&gt;0,"Beverage",""),IF(COUNTIFS(OrderLines!$A$2:$A$925,A168,OrderLines!$F$2:$F$925,"Dessert")&gt;0,"Dessert",""),IF(COUNTIFS(OrderLines!$A$2:$A$925,A168,OrderLines!$F$2:$F$925,"Hot Meal")&gt;0,"Hot Meal",""),IF(COUNTIFS(OrderLines!$A$2:$A$925,A168,OrderLines!$F$2:$F$925,"Snack")&gt;0,"Snack",""))</f>
        <v>Beverage</v>
      </c>
    </row>
    <row r="169" spans="1:9">
      <c r="A169" t="str">
        <f>Orders!A169</f>
        <v>O00168</v>
      </c>
      <c r="B169" t="str">
        <f>Orders!C169</f>
        <v>Plant 1 Canteen</v>
      </c>
      <c r="C169" t="str">
        <f>Orders!F169</f>
        <v>Lunch</v>
      </c>
      <c r="D169" t="str">
        <f>Orders!J169</f>
        <v>Single</v>
      </c>
      <c r="E169" s="24">
        <f>Orders!I169</f>
        <v>331.4366</v>
      </c>
      <c r="F169" s="24">
        <f>SUMIF(OrderLines!$A$2:$A$925,A169,OrderLines!$L$2:$L$925)</f>
        <v>222.67999999999998</v>
      </c>
      <c r="G169" s="23">
        <f t="shared" si="6"/>
        <v>108.75660000000002</v>
      </c>
      <c r="H169" s="23">
        <f t="shared" si="7"/>
        <v>0.3281369649580041</v>
      </c>
      <c r="I169" t="str">
        <f>_xlfn.TEXTJOIN(" + ",TRUE,IF(COUNTIFS(OrderLines!$A$2:$A$925,A169,OrderLines!$F$2:$F$925,"Beverage")&gt;0,"Beverage",""),IF(COUNTIFS(OrderLines!$A$2:$A$925,A169,OrderLines!$F$2:$F$925,"Dessert")&gt;0,"Dessert",""),IF(COUNTIFS(OrderLines!$A$2:$A$925,A169,OrderLines!$F$2:$F$925,"Hot Meal")&gt;0,"Hot Meal",""),IF(COUNTIFS(OrderLines!$A$2:$A$925,A169,OrderLines!$F$2:$F$925,"Snack")&gt;0,"Snack",""))</f>
        <v>Dessert + Hot Meal + Snack</v>
      </c>
    </row>
    <row r="170" spans="1:9">
      <c r="A170" t="str">
        <f>Orders!A170</f>
        <v>O00169</v>
      </c>
      <c r="B170" t="str">
        <f>Orders!C170</f>
        <v>Plant 2 Canteen</v>
      </c>
      <c r="C170" t="str">
        <f>Orders!F170</f>
        <v>Breakfast</v>
      </c>
      <c r="D170" t="str">
        <f>Orders!J170</f>
        <v>Combo</v>
      </c>
      <c r="E170" s="24">
        <f>Orders!I170</f>
        <v>318.40280000000001</v>
      </c>
      <c r="F170" s="24">
        <f>SUMIF(OrderLines!$A$2:$A$925,A170,OrderLines!$L$2:$L$925)</f>
        <v>151.08999999999997</v>
      </c>
      <c r="G170" s="23">
        <f t="shared" si="6"/>
        <v>167.31280000000004</v>
      </c>
      <c r="H170" s="23">
        <f t="shared" si="7"/>
        <v>0.52547527848373199</v>
      </c>
      <c r="I170" t="str">
        <f>_xlfn.TEXTJOIN(" + ",TRUE,IF(COUNTIFS(OrderLines!$A$2:$A$925,A170,OrderLines!$F$2:$F$925,"Beverage")&gt;0,"Beverage",""),IF(COUNTIFS(OrderLines!$A$2:$A$925,A170,OrderLines!$F$2:$F$925,"Dessert")&gt;0,"Dessert",""),IF(COUNTIFS(OrderLines!$A$2:$A$925,A170,OrderLines!$F$2:$F$925,"Hot Meal")&gt;0,"Hot Meal",""),IF(COUNTIFS(OrderLines!$A$2:$A$925,A170,OrderLines!$F$2:$F$925,"Snack")&gt;0,"Snack",""))</f>
        <v>Beverage + Dessert + Hot Meal</v>
      </c>
    </row>
    <row r="171" spans="1:9">
      <c r="A171" t="str">
        <f>Orders!A171</f>
        <v>O00170</v>
      </c>
      <c r="B171" t="str">
        <f>Orders!C171</f>
        <v>Plant 1 Canteen</v>
      </c>
      <c r="C171" t="str">
        <f>Orders!F171</f>
        <v>Breakfast</v>
      </c>
      <c r="D171" t="str">
        <f>Orders!J171</f>
        <v>Single</v>
      </c>
      <c r="E171" s="24">
        <f>Orders!I171</f>
        <v>153.614</v>
      </c>
      <c r="F171" s="24">
        <f>SUMIF(OrderLines!$A$2:$A$925,A171,OrderLines!$L$2:$L$925)</f>
        <v>76.430000000000007</v>
      </c>
      <c r="G171" s="23">
        <f t="shared" si="6"/>
        <v>77.183999999999997</v>
      </c>
      <c r="H171" s="23">
        <f t="shared" si="7"/>
        <v>0.50245420339291991</v>
      </c>
      <c r="I171" t="str">
        <f>_xlfn.TEXTJOIN(" + ",TRUE,IF(COUNTIFS(OrderLines!$A$2:$A$925,A171,OrderLines!$F$2:$F$925,"Beverage")&gt;0,"Beverage",""),IF(COUNTIFS(OrderLines!$A$2:$A$925,A171,OrderLines!$F$2:$F$925,"Dessert")&gt;0,"Dessert",""),IF(COUNTIFS(OrderLines!$A$2:$A$925,A171,OrderLines!$F$2:$F$925,"Hot Meal")&gt;0,"Hot Meal",""),IF(COUNTIFS(OrderLines!$A$2:$A$925,A171,OrderLines!$F$2:$F$925,"Snack")&gt;0,"Snack",""))</f>
        <v>Beverage + Snack</v>
      </c>
    </row>
    <row r="172" spans="1:9">
      <c r="A172" t="str">
        <f>Orders!A172</f>
        <v>O00171</v>
      </c>
      <c r="B172" t="str">
        <f>Orders!C172</f>
        <v>Head Office Café</v>
      </c>
      <c r="C172" t="str">
        <f>Orders!F172</f>
        <v>Breakfast</v>
      </c>
      <c r="D172" t="str">
        <f>Orders!J172</f>
        <v>Single</v>
      </c>
      <c r="E172" s="24">
        <f>Orders!I172</f>
        <v>502.74000000000007</v>
      </c>
      <c r="F172" s="24">
        <f>SUMIF(OrderLines!$A$2:$A$925,A172,OrderLines!$L$2:$L$925)</f>
        <v>264.87</v>
      </c>
      <c r="G172" s="23">
        <f t="shared" si="6"/>
        <v>237.87000000000006</v>
      </c>
      <c r="H172" s="23">
        <f t="shared" si="7"/>
        <v>0.47314715359828147</v>
      </c>
      <c r="I172" t="str">
        <f>_xlfn.TEXTJOIN(" + ",TRUE,IF(COUNTIFS(OrderLines!$A$2:$A$925,A172,OrderLines!$F$2:$F$925,"Beverage")&gt;0,"Beverage",""),IF(COUNTIFS(OrderLines!$A$2:$A$925,A172,OrderLines!$F$2:$F$925,"Dessert")&gt;0,"Dessert",""),IF(COUNTIFS(OrderLines!$A$2:$A$925,A172,OrderLines!$F$2:$F$925,"Hot Meal")&gt;0,"Hot Meal",""),IF(COUNTIFS(OrderLines!$A$2:$A$925,A172,OrderLines!$F$2:$F$925,"Snack")&gt;0,"Snack",""))</f>
        <v>Hot Meal + Snack</v>
      </c>
    </row>
    <row r="173" spans="1:9">
      <c r="A173" t="str">
        <f>Orders!A173</f>
        <v>O00172</v>
      </c>
      <c r="B173" t="str">
        <f>Orders!C173</f>
        <v>Head Office Café</v>
      </c>
      <c r="C173" t="str">
        <f>Orders!F173</f>
        <v>Lunch</v>
      </c>
      <c r="D173" t="str">
        <f>Orders!J173</f>
        <v>Single</v>
      </c>
      <c r="E173" s="24">
        <f>Orders!I173</f>
        <v>414.25020000000006</v>
      </c>
      <c r="F173" s="24">
        <f>SUMIF(OrderLines!$A$2:$A$925,A173,OrderLines!$L$2:$L$925)</f>
        <v>192.44</v>
      </c>
      <c r="G173" s="23">
        <f t="shared" si="6"/>
        <v>221.81020000000007</v>
      </c>
      <c r="H173" s="23">
        <f t="shared" si="7"/>
        <v>0.53544983200973717</v>
      </c>
      <c r="I173" t="str">
        <f>_xlfn.TEXTJOIN(" + ",TRUE,IF(COUNTIFS(OrderLines!$A$2:$A$925,A173,OrderLines!$F$2:$F$925,"Beverage")&gt;0,"Beverage",""),IF(COUNTIFS(OrderLines!$A$2:$A$925,A173,OrderLines!$F$2:$F$925,"Dessert")&gt;0,"Dessert",""),IF(COUNTIFS(OrderLines!$A$2:$A$925,A173,OrderLines!$F$2:$F$925,"Hot Meal")&gt;0,"Hot Meal",""),IF(COUNTIFS(OrderLines!$A$2:$A$925,A173,OrderLines!$F$2:$F$925,"Snack")&gt;0,"Snack",""))</f>
        <v>Hot Meal</v>
      </c>
    </row>
    <row r="174" spans="1:9">
      <c r="A174" t="str">
        <f>Orders!A174</f>
        <v>O00173</v>
      </c>
      <c r="B174" t="str">
        <f>Orders!C174</f>
        <v>Head Office Café</v>
      </c>
      <c r="C174" t="str">
        <f>Orders!F174</f>
        <v>Dinner</v>
      </c>
      <c r="D174" t="str">
        <f>Orders!J174</f>
        <v>Single</v>
      </c>
      <c r="E174" s="24">
        <f>Orders!I174</f>
        <v>488.12900000000002</v>
      </c>
      <c r="F174" s="24">
        <f>SUMIF(OrderLines!$A$2:$A$925,A174,OrderLines!$L$2:$L$925)</f>
        <v>242.48</v>
      </c>
      <c r="G174" s="23">
        <f t="shared" si="6"/>
        <v>245.64900000000003</v>
      </c>
      <c r="H174" s="23">
        <f t="shared" si="7"/>
        <v>0.50324606815001771</v>
      </c>
      <c r="I174" t="str">
        <f>_xlfn.TEXTJOIN(" + ",TRUE,IF(COUNTIFS(OrderLines!$A$2:$A$925,A174,OrderLines!$F$2:$F$925,"Beverage")&gt;0,"Beverage",""),IF(COUNTIFS(OrderLines!$A$2:$A$925,A174,OrderLines!$F$2:$F$925,"Dessert")&gt;0,"Dessert",""),IF(COUNTIFS(OrderLines!$A$2:$A$925,A174,OrderLines!$F$2:$F$925,"Hot Meal")&gt;0,"Hot Meal",""),IF(COUNTIFS(OrderLines!$A$2:$A$925,A174,OrderLines!$F$2:$F$925,"Snack")&gt;0,"Snack",""))</f>
        <v>Hot Meal</v>
      </c>
    </row>
    <row r="175" spans="1:9">
      <c r="A175" t="str">
        <f>Orders!A175</f>
        <v>O00174</v>
      </c>
      <c r="B175" t="str">
        <f>Orders!C175</f>
        <v>Head Office Café</v>
      </c>
      <c r="C175" t="str">
        <f>Orders!F175</f>
        <v>Lunch</v>
      </c>
      <c r="D175" t="str">
        <f>Orders!J175</f>
        <v>Single</v>
      </c>
      <c r="E175" s="24">
        <f>Orders!I175</f>
        <v>243.8982</v>
      </c>
      <c r="F175" s="24">
        <f>SUMIF(OrderLines!$A$2:$A$925,A175,OrderLines!$L$2:$L$925)</f>
        <v>119.58</v>
      </c>
      <c r="G175" s="23">
        <f t="shared" si="6"/>
        <v>124.3182</v>
      </c>
      <c r="H175" s="23">
        <f t="shared" si="7"/>
        <v>0.50971347882026186</v>
      </c>
      <c r="I175" t="str">
        <f>_xlfn.TEXTJOIN(" + ",TRUE,IF(COUNTIFS(OrderLines!$A$2:$A$925,A175,OrderLines!$F$2:$F$925,"Beverage")&gt;0,"Beverage",""),IF(COUNTIFS(OrderLines!$A$2:$A$925,A175,OrderLines!$F$2:$F$925,"Dessert")&gt;0,"Dessert",""),IF(COUNTIFS(OrderLines!$A$2:$A$925,A175,OrderLines!$F$2:$F$925,"Hot Meal")&gt;0,"Hot Meal",""),IF(COUNTIFS(OrderLines!$A$2:$A$925,A175,OrderLines!$F$2:$F$925,"Snack")&gt;0,"Snack",""))</f>
        <v>Beverage + Dessert</v>
      </c>
    </row>
    <row r="176" spans="1:9">
      <c r="A176" t="str">
        <f>Orders!A176</f>
        <v>O00175</v>
      </c>
      <c r="B176" t="str">
        <f>Orders!C176</f>
        <v>Plant 2 Canteen</v>
      </c>
      <c r="C176" t="str">
        <f>Orders!F176</f>
        <v>Dinner</v>
      </c>
      <c r="D176" t="str">
        <f>Orders!J176</f>
        <v>Single</v>
      </c>
      <c r="E176" s="24">
        <f>Orders!I176</f>
        <v>318.15030000000002</v>
      </c>
      <c r="F176" s="24">
        <f>SUMIF(OrderLines!$A$2:$A$925,A176,OrderLines!$L$2:$L$925)</f>
        <v>141.44</v>
      </c>
      <c r="G176" s="23">
        <f t="shared" si="6"/>
        <v>176.71030000000002</v>
      </c>
      <c r="H176" s="23">
        <f t="shared" si="7"/>
        <v>0.55543024790484252</v>
      </c>
      <c r="I176" t="str">
        <f>_xlfn.TEXTJOIN(" + ",TRUE,IF(COUNTIFS(OrderLines!$A$2:$A$925,A176,OrderLines!$F$2:$F$925,"Beverage")&gt;0,"Beverage",""),IF(COUNTIFS(OrderLines!$A$2:$A$925,A176,OrderLines!$F$2:$F$925,"Dessert")&gt;0,"Dessert",""),IF(COUNTIFS(OrderLines!$A$2:$A$925,A176,OrderLines!$F$2:$F$925,"Hot Meal")&gt;0,"Hot Meal",""),IF(COUNTIFS(OrderLines!$A$2:$A$925,A176,OrderLines!$F$2:$F$925,"Snack")&gt;0,"Snack",""))</f>
        <v>Hot Meal + Snack</v>
      </c>
    </row>
    <row r="177" spans="1:9">
      <c r="A177" t="str">
        <f>Orders!A177</f>
        <v>O00176</v>
      </c>
      <c r="B177" t="str">
        <f>Orders!C177</f>
        <v>Plant 2 Canteen</v>
      </c>
      <c r="C177" t="str">
        <f>Orders!F177</f>
        <v>Breakfast</v>
      </c>
      <c r="D177" t="str">
        <f>Orders!J177</f>
        <v>Combo</v>
      </c>
      <c r="E177" s="24">
        <f>Orders!I177</f>
        <v>479.39850000000001</v>
      </c>
      <c r="F177" s="24">
        <f>SUMIF(OrderLines!$A$2:$A$925,A177,OrderLines!$L$2:$L$925)</f>
        <v>225.46</v>
      </c>
      <c r="G177" s="23">
        <f t="shared" si="6"/>
        <v>253.9385</v>
      </c>
      <c r="H177" s="23">
        <f t="shared" si="7"/>
        <v>0.52970232489254765</v>
      </c>
      <c r="I177" t="str">
        <f>_xlfn.TEXTJOIN(" + ",TRUE,IF(COUNTIFS(OrderLines!$A$2:$A$925,A177,OrderLines!$F$2:$F$925,"Beverage")&gt;0,"Beverage",""),IF(COUNTIFS(OrderLines!$A$2:$A$925,A177,OrderLines!$F$2:$F$925,"Dessert")&gt;0,"Dessert",""),IF(COUNTIFS(OrderLines!$A$2:$A$925,A177,OrderLines!$F$2:$F$925,"Hot Meal")&gt;0,"Hot Meal",""),IF(COUNTIFS(OrderLines!$A$2:$A$925,A177,OrderLines!$F$2:$F$925,"Snack")&gt;0,"Snack",""))</f>
        <v>Beverage + Hot Meal</v>
      </c>
    </row>
    <row r="178" spans="1:9">
      <c r="A178" t="str">
        <f>Orders!A178</f>
        <v>O00177</v>
      </c>
      <c r="B178" t="str">
        <f>Orders!C178</f>
        <v>Plant 1 Canteen</v>
      </c>
      <c r="C178" t="str">
        <f>Orders!F178</f>
        <v>Breakfast</v>
      </c>
      <c r="D178" t="str">
        <f>Orders!J178</f>
        <v>Single</v>
      </c>
      <c r="E178" s="24">
        <f>Orders!I178</f>
        <v>145.91039999999998</v>
      </c>
      <c r="F178" s="24">
        <f>SUMIF(OrderLines!$A$2:$A$925,A178,OrderLines!$L$2:$L$925)</f>
        <v>76.47</v>
      </c>
      <c r="G178" s="23">
        <f t="shared" si="6"/>
        <v>69.440399999999983</v>
      </c>
      <c r="H178" s="23">
        <f t="shared" si="7"/>
        <v>0.4759112441608</v>
      </c>
      <c r="I178" t="str">
        <f>_xlfn.TEXTJOIN(" + ",TRUE,IF(COUNTIFS(OrderLines!$A$2:$A$925,A178,OrderLines!$F$2:$F$925,"Beverage")&gt;0,"Beverage",""),IF(COUNTIFS(OrderLines!$A$2:$A$925,A178,OrderLines!$F$2:$F$925,"Dessert")&gt;0,"Dessert",""),IF(COUNTIFS(OrderLines!$A$2:$A$925,A178,OrderLines!$F$2:$F$925,"Hot Meal")&gt;0,"Hot Meal",""),IF(COUNTIFS(OrderLines!$A$2:$A$925,A178,OrderLines!$F$2:$F$925,"Snack")&gt;0,"Snack",""))</f>
        <v>Beverage + Dessert + Snack</v>
      </c>
    </row>
    <row r="179" spans="1:9">
      <c r="A179" t="str">
        <f>Orders!A179</f>
        <v>O00178</v>
      </c>
      <c r="B179" t="str">
        <f>Orders!C179</f>
        <v>Plant 2 Canteen</v>
      </c>
      <c r="C179" t="str">
        <f>Orders!F179</f>
        <v>Dinner</v>
      </c>
      <c r="D179" t="str">
        <f>Orders!J179</f>
        <v>Single</v>
      </c>
      <c r="E179" s="24">
        <f>Orders!I179</f>
        <v>976.71639999999991</v>
      </c>
      <c r="F179" s="24">
        <f>SUMIF(OrderLines!$A$2:$A$925,A179,OrderLines!$L$2:$L$925)</f>
        <v>478.83999999999992</v>
      </c>
      <c r="G179" s="23">
        <f t="shared" si="6"/>
        <v>497.87639999999999</v>
      </c>
      <c r="H179" s="23">
        <f t="shared" si="7"/>
        <v>0.5097451010344457</v>
      </c>
      <c r="I179" t="str">
        <f>_xlfn.TEXTJOIN(" + ",TRUE,IF(COUNTIFS(OrderLines!$A$2:$A$925,A179,OrderLines!$F$2:$F$925,"Beverage")&gt;0,"Beverage",""),IF(COUNTIFS(OrderLines!$A$2:$A$925,A179,OrderLines!$F$2:$F$925,"Dessert")&gt;0,"Dessert",""),IF(COUNTIFS(OrderLines!$A$2:$A$925,A179,OrderLines!$F$2:$F$925,"Hot Meal")&gt;0,"Hot Meal",""),IF(COUNTIFS(OrderLines!$A$2:$A$925,A179,OrderLines!$F$2:$F$925,"Snack")&gt;0,"Snack",""))</f>
        <v>Dessert + Hot Meal</v>
      </c>
    </row>
    <row r="180" spans="1:9">
      <c r="A180" t="str">
        <f>Orders!A180</f>
        <v>O00179</v>
      </c>
      <c r="B180" t="str">
        <f>Orders!C180</f>
        <v>Head Office Café</v>
      </c>
      <c r="C180" t="str">
        <f>Orders!F180</f>
        <v>Dinner</v>
      </c>
      <c r="D180" t="str">
        <f>Orders!J180</f>
        <v>Single</v>
      </c>
      <c r="E180" s="24">
        <f>Orders!I180</f>
        <v>339.08199999999999</v>
      </c>
      <c r="F180" s="24">
        <f>SUMIF(OrderLines!$A$2:$A$925,A180,OrderLines!$L$2:$L$925)</f>
        <v>183.10000000000002</v>
      </c>
      <c r="G180" s="23">
        <f t="shared" si="6"/>
        <v>155.98199999999997</v>
      </c>
      <c r="H180" s="23">
        <f t="shared" si="7"/>
        <v>0.46001262231554602</v>
      </c>
      <c r="I180" t="str">
        <f>_xlfn.TEXTJOIN(" + ",TRUE,IF(COUNTIFS(OrderLines!$A$2:$A$925,A180,OrderLines!$F$2:$F$925,"Beverage")&gt;0,"Beverage",""),IF(COUNTIFS(OrderLines!$A$2:$A$925,A180,OrderLines!$F$2:$F$925,"Dessert")&gt;0,"Dessert",""),IF(COUNTIFS(OrderLines!$A$2:$A$925,A180,OrderLines!$F$2:$F$925,"Hot Meal")&gt;0,"Hot Meal",""),IF(COUNTIFS(OrderLines!$A$2:$A$925,A180,OrderLines!$F$2:$F$925,"Snack")&gt;0,"Snack",""))</f>
        <v>Hot Meal + Snack</v>
      </c>
    </row>
    <row r="181" spans="1:9">
      <c r="A181" t="str">
        <f>Orders!A181</f>
        <v>O00180</v>
      </c>
      <c r="B181" t="str">
        <f>Orders!C181</f>
        <v>Plant 2 Canteen</v>
      </c>
      <c r="C181" t="str">
        <f>Orders!F181</f>
        <v>Lunch</v>
      </c>
      <c r="D181" t="str">
        <f>Orders!J181</f>
        <v>Single</v>
      </c>
      <c r="E181" s="24">
        <f>Orders!I181</f>
        <v>28.43</v>
      </c>
      <c r="F181" s="24">
        <f>SUMIF(OrderLines!$A$2:$A$925,A181,OrderLines!$L$2:$L$925)</f>
        <v>13.89</v>
      </c>
      <c r="G181" s="23">
        <f t="shared" si="6"/>
        <v>14.54</v>
      </c>
      <c r="H181" s="23">
        <f t="shared" si="7"/>
        <v>0.51143158635244457</v>
      </c>
      <c r="I181" t="str">
        <f>_xlfn.TEXTJOIN(" + ",TRUE,IF(COUNTIFS(OrderLines!$A$2:$A$925,A181,OrderLines!$F$2:$F$925,"Beverage")&gt;0,"Beverage",""),IF(COUNTIFS(OrderLines!$A$2:$A$925,A181,OrderLines!$F$2:$F$925,"Dessert")&gt;0,"Dessert",""),IF(COUNTIFS(OrderLines!$A$2:$A$925,A181,OrderLines!$F$2:$F$925,"Hot Meal")&gt;0,"Hot Meal",""),IF(COUNTIFS(OrderLines!$A$2:$A$925,A181,OrderLines!$F$2:$F$925,"Snack")&gt;0,"Snack",""))</f>
        <v>Beverage</v>
      </c>
    </row>
    <row r="182" spans="1:9">
      <c r="A182" t="str">
        <f>Orders!A182</f>
        <v>O00181</v>
      </c>
      <c r="B182" t="str">
        <f>Orders!C182</f>
        <v>Plant 2 Canteen</v>
      </c>
      <c r="C182" t="str">
        <f>Orders!F182</f>
        <v>Breakfast</v>
      </c>
      <c r="D182" t="str">
        <f>Orders!J182</f>
        <v>Single</v>
      </c>
      <c r="E182" s="24">
        <f>Orders!I182</f>
        <v>1182.9727000000003</v>
      </c>
      <c r="F182" s="24">
        <f>SUMIF(OrderLines!$A$2:$A$925,A182,OrderLines!$L$2:$L$925)</f>
        <v>580.25999999999988</v>
      </c>
      <c r="G182" s="23">
        <f t="shared" si="6"/>
        <v>602.71270000000038</v>
      </c>
      <c r="H182" s="23">
        <f t="shared" si="7"/>
        <v>0.50948994850007967</v>
      </c>
      <c r="I182" t="str">
        <f>_xlfn.TEXTJOIN(" + ",TRUE,IF(COUNTIFS(OrderLines!$A$2:$A$925,A182,OrderLines!$F$2:$F$925,"Beverage")&gt;0,"Beverage",""),IF(COUNTIFS(OrderLines!$A$2:$A$925,A182,OrderLines!$F$2:$F$925,"Dessert")&gt;0,"Dessert",""),IF(COUNTIFS(OrderLines!$A$2:$A$925,A182,OrderLines!$F$2:$F$925,"Hot Meal")&gt;0,"Hot Meal",""),IF(COUNTIFS(OrderLines!$A$2:$A$925,A182,OrderLines!$F$2:$F$925,"Snack")&gt;0,"Snack",""))</f>
        <v>Dessert + Hot Meal</v>
      </c>
    </row>
    <row r="183" spans="1:9">
      <c r="A183" t="str">
        <f>Orders!A183</f>
        <v>O00182</v>
      </c>
      <c r="B183" t="str">
        <f>Orders!C183</f>
        <v>Head Office Café</v>
      </c>
      <c r="C183" t="str">
        <f>Orders!F183</f>
        <v>Dinner</v>
      </c>
      <c r="D183" t="str">
        <f>Orders!J183</f>
        <v>Single</v>
      </c>
      <c r="E183" s="24">
        <f>Orders!I183</f>
        <v>52.45</v>
      </c>
      <c r="F183" s="24">
        <f>SUMIF(OrderLines!$A$2:$A$925,A183,OrderLines!$L$2:$L$925)</f>
        <v>25.8</v>
      </c>
      <c r="G183" s="23">
        <f t="shared" si="6"/>
        <v>26.650000000000002</v>
      </c>
      <c r="H183" s="23">
        <f t="shared" si="7"/>
        <v>0.50810295519542426</v>
      </c>
      <c r="I183" t="str">
        <f>_xlfn.TEXTJOIN(" + ",TRUE,IF(COUNTIFS(OrderLines!$A$2:$A$925,A183,OrderLines!$F$2:$F$925,"Beverage")&gt;0,"Beverage",""),IF(COUNTIFS(OrderLines!$A$2:$A$925,A183,OrderLines!$F$2:$F$925,"Dessert")&gt;0,"Dessert",""),IF(COUNTIFS(OrderLines!$A$2:$A$925,A183,OrderLines!$F$2:$F$925,"Hot Meal")&gt;0,"Hot Meal",""),IF(COUNTIFS(OrderLines!$A$2:$A$925,A183,OrderLines!$F$2:$F$925,"Snack")&gt;0,"Snack",""))</f>
        <v>Snack</v>
      </c>
    </row>
    <row r="184" spans="1:9">
      <c r="A184" t="str">
        <f>Orders!A184</f>
        <v>O00183</v>
      </c>
      <c r="B184" t="str">
        <f>Orders!C184</f>
        <v>Head Office Café</v>
      </c>
      <c r="C184" t="str">
        <f>Orders!F184</f>
        <v>Dinner</v>
      </c>
      <c r="D184" t="str">
        <f>Orders!J184</f>
        <v>Single</v>
      </c>
      <c r="E184" s="24">
        <f>Orders!I184</f>
        <v>150.70079999999999</v>
      </c>
      <c r="F184" s="24">
        <f>SUMIF(OrderLines!$A$2:$A$925,A184,OrderLines!$L$2:$L$925)</f>
        <v>66.22</v>
      </c>
      <c r="G184" s="23">
        <f t="shared" si="6"/>
        <v>84.480799999999988</v>
      </c>
      <c r="H184" s="23">
        <f t="shared" si="7"/>
        <v>0.56058627425999064</v>
      </c>
      <c r="I184" t="str">
        <f>_xlfn.TEXTJOIN(" + ",TRUE,IF(COUNTIFS(OrderLines!$A$2:$A$925,A184,OrderLines!$F$2:$F$925,"Beverage")&gt;0,"Beverage",""),IF(COUNTIFS(OrderLines!$A$2:$A$925,A184,OrderLines!$F$2:$F$925,"Dessert")&gt;0,"Dessert",""),IF(COUNTIFS(OrderLines!$A$2:$A$925,A184,OrderLines!$F$2:$F$925,"Hot Meal")&gt;0,"Hot Meal",""),IF(COUNTIFS(OrderLines!$A$2:$A$925,A184,OrderLines!$F$2:$F$925,"Snack")&gt;0,"Snack",""))</f>
        <v>Beverage</v>
      </c>
    </row>
    <row r="185" spans="1:9">
      <c r="A185" t="str">
        <f>Orders!A185</f>
        <v>O00184</v>
      </c>
      <c r="B185" t="str">
        <f>Orders!C185</f>
        <v>Head Office Café</v>
      </c>
      <c r="C185" t="str">
        <f>Orders!F185</f>
        <v>Breakfast</v>
      </c>
      <c r="D185" t="str">
        <f>Orders!J185</f>
        <v>Single</v>
      </c>
      <c r="E185" s="24">
        <f>Orders!I185</f>
        <v>130.78800000000001</v>
      </c>
      <c r="F185" s="24">
        <f>SUMIF(OrderLines!$A$2:$A$925,A185,OrderLines!$L$2:$L$925)</f>
        <v>71.3</v>
      </c>
      <c r="G185" s="23">
        <f t="shared" si="6"/>
        <v>59.488000000000014</v>
      </c>
      <c r="H185" s="23">
        <f t="shared" si="7"/>
        <v>0.45484295195277863</v>
      </c>
      <c r="I185" t="str">
        <f>_xlfn.TEXTJOIN(" + ",TRUE,IF(COUNTIFS(OrderLines!$A$2:$A$925,A185,OrderLines!$F$2:$F$925,"Beverage")&gt;0,"Beverage",""),IF(COUNTIFS(OrderLines!$A$2:$A$925,A185,OrderLines!$F$2:$F$925,"Dessert")&gt;0,"Dessert",""),IF(COUNTIFS(OrderLines!$A$2:$A$925,A185,OrderLines!$F$2:$F$925,"Hot Meal")&gt;0,"Hot Meal",""),IF(COUNTIFS(OrderLines!$A$2:$A$925,A185,OrderLines!$F$2:$F$925,"Snack")&gt;0,"Snack",""))</f>
        <v>Dessert + Snack</v>
      </c>
    </row>
    <row r="186" spans="1:9">
      <c r="A186" t="str">
        <f>Orders!A186</f>
        <v>O00185</v>
      </c>
      <c r="B186" t="str">
        <f>Orders!C186</f>
        <v>Plant 2 Canteen</v>
      </c>
      <c r="C186" t="str">
        <f>Orders!F186</f>
        <v>Breakfast</v>
      </c>
      <c r="D186" t="str">
        <f>Orders!J186</f>
        <v>Single</v>
      </c>
      <c r="E186" s="24">
        <f>Orders!I186</f>
        <v>138.85679999999999</v>
      </c>
      <c r="F186" s="24">
        <f>SUMIF(OrderLines!$A$2:$A$925,A186,OrderLines!$L$2:$L$925)</f>
        <v>72.95</v>
      </c>
      <c r="G186" s="23">
        <f t="shared" si="6"/>
        <v>65.90679999999999</v>
      </c>
      <c r="H186" s="23">
        <f t="shared" si="7"/>
        <v>0.47463862050688188</v>
      </c>
      <c r="I186" t="str">
        <f>_xlfn.TEXTJOIN(" + ",TRUE,IF(COUNTIFS(OrderLines!$A$2:$A$925,A186,OrderLines!$F$2:$F$925,"Beverage")&gt;0,"Beverage",""),IF(COUNTIFS(OrderLines!$A$2:$A$925,A186,OrderLines!$F$2:$F$925,"Dessert")&gt;0,"Dessert",""),IF(COUNTIFS(OrderLines!$A$2:$A$925,A186,OrderLines!$F$2:$F$925,"Hot Meal")&gt;0,"Hot Meal",""),IF(COUNTIFS(OrderLines!$A$2:$A$925,A186,OrderLines!$F$2:$F$925,"Snack")&gt;0,"Snack",""))</f>
        <v>Beverage + Dessert + Snack</v>
      </c>
    </row>
    <row r="187" spans="1:9">
      <c r="A187" t="str">
        <f>Orders!A187</f>
        <v>O00186</v>
      </c>
      <c r="B187" t="str">
        <f>Orders!C187</f>
        <v>Plant 1 Canteen</v>
      </c>
      <c r="C187" t="str">
        <f>Orders!F187</f>
        <v>Breakfast</v>
      </c>
      <c r="D187" t="str">
        <f>Orders!J187</f>
        <v>Single</v>
      </c>
      <c r="E187" s="24">
        <f>Orders!I187</f>
        <v>59.4664</v>
      </c>
      <c r="F187" s="24">
        <f>SUMIF(OrderLines!$A$2:$A$925,A187,OrderLines!$L$2:$L$925)</f>
        <v>28.36</v>
      </c>
      <c r="G187" s="23">
        <f t="shared" si="6"/>
        <v>31.106400000000001</v>
      </c>
      <c r="H187" s="23">
        <f t="shared" si="7"/>
        <v>0.52309203180283326</v>
      </c>
      <c r="I187" t="str">
        <f>_xlfn.TEXTJOIN(" + ",TRUE,IF(COUNTIFS(OrderLines!$A$2:$A$925,A187,OrderLines!$F$2:$F$925,"Beverage")&gt;0,"Beverage",""),IF(COUNTIFS(OrderLines!$A$2:$A$925,A187,OrderLines!$F$2:$F$925,"Dessert")&gt;0,"Dessert",""),IF(COUNTIFS(OrderLines!$A$2:$A$925,A187,OrderLines!$F$2:$F$925,"Hot Meal")&gt;0,"Hot Meal",""),IF(COUNTIFS(OrderLines!$A$2:$A$925,A187,OrderLines!$F$2:$F$925,"Snack")&gt;0,"Snack",""))</f>
        <v>Beverage</v>
      </c>
    </row>
    <row r="188" spans="1:9">
      <c r="A188" t="str">
        <f>Orders!A188</f>
        <v>O00187</v>
      </c>
      <c r="B188" t="str">
        <f>Orders!C188</f>
        <v>Plant 2 Canteen</v>
      </c>
      <c r="C188" t="str">
        <f>Orders!F188</f>
        <v>Breakfast</v>
      </c>
      <c r="D188" t="str">
        <f>Orders!J188</f>
        <v>Combo</v>
      </c>
      <c r="E188" s="24">
        <f>Orders!I188</f>
        <v>403.25810000000001</v>
      </c>
      <c r="F188" s="24">
        <f>SUMIF(OrderLines!$A$2:$A$925,A188,OrderLines!$L$2:$L$925)</f>
        <v>177.45999999999998</v>
      </c>
      <c r="G188" s="23">
        <f t="shared" si="6"/>
        <v>225.79810000000003</v>
      </c>
      <c r="H188" s="23">
        <f t="shared" si="7"/>
        <v>0.55993444397025138</v>
      </c>
      <c r="I188" t="str">
        <f>_xlfn.TEXTJOIN(" + ",TRUE,IF(COUNTIFS(OrderLines!$A$2:$A$925,A188,OrderLines!$F$2:$F$925,"Beverage")&gt;0,"Beverage",""),IF(COUNTIFS(OrderLines!$A$2:$A$925,A188,OrderLines!$F$2:$F$925,"Dessert")&gt;0,"Dessert",""),IF(COUNTIFS(OrderLines!$A$2:$A$925,A188,OrderLines!$F$2:$F$925,"Hot Meal")&gt;0,"Hot Meal",""),IF(COUNTIFS(OrderLines!$A$2:$A$925,A188,OrderLines!$F$2:$F$925,"Snack")&gt;0,"Snack",""))</f>
        <v>Beverage + Dessert + Hot Meal + Snack</v>
      </c>
    </row>
    <row r="189" spans="1:9">
      <c r="A189" t="str">
        <f>Orders!A189</f>
        <v>O00188</v>
      </c>
      <c r="B189" t="str">
        <f>Orders!C189</f>
        <v>Plant 2 Canteen</v>
      </c>
      <c r="C189" t="str">
        <f>Orders!F189</f>
        <v>Dinner</v>
      </c>
      <c r="D189" t="str">
        <f>Orders!J189</f>
        <v>Single</v>
      </c>
      <c r="E189" s="24">
        <f>Orders!I189</f>
        <v>186.86850000000001</v>
      </c>
      <c r="F189" s="24">
        <f>SUMIF(OrderLines!$A$2:$A$925,A189,OrderLines!$L$2:$L$925)</f>
        <v>93.18</v>
      </c>
      <c r="G189" s="23">
        <f t="shared" si="6"/>
        <v>93.688500000000005</v>
      </c>
      <c r="H189" s="23">
        <f t="shared" si="7"/>
        <v>0.50136058244166348</v>
      </c>
      <c r="I189" t="str">
        <f>_xlfn.TEXTJOIN(" + ",TRUE,IF(COUNTIFS(OrderLines!$A$2:$A$925,A189,OrderLines!$F$2:$F$925,"Beverage")&gt;0,"Beverage",""),IF(COUNTIFS(OrderLines!$A$2:$A$925,A189,OrderLines!$F$2:$F$925,"Dessert")&gt;0,"Dessert",""),IF(COUNTIFS(OrderLines!$A$2:$A$925,A189,OrderLines!$F$2:$F$925,"Hot Meal")&gt;0,"Hot Meal",""),IF(COUNTIFS(OrderLines!$A$2:$A$925,A189,OrderLines!$F$2:$F$925,"Snack")&gt;0,"Snack",""))</f>
        <v>Beverage + Snack</v>
      </c>
    </row>
    <row r="190" spans="1:9">
      <c r="A190" t="str">
        <f>Orders!A190</f>
        <v>O00189</v>
      </c>
      <c r="B190" t="str">
        <f>Orders!C190</f>
        <v>Plant 1 Canteen</v>
      </c>
      <c r="C190" t="str">
        <f>Orders!F190</f>
        <v>Dinner</v>
      </c>
      <c r="D190" t="str">
        <f>Orders!J190</f>
        <v>Combo</v>
      </c>
      <c r="E190" s="24">
        <f>Orders!I190</f>
        <v>584.85180000000003</v>
      </c>
      <c r="F190" s="24">
        <f>SUMIF(OrderLines!$A$2:$A$925,A190,OrderLines!$L$2:$L$925)</f>
        <v>275.97000000000003</v>
      </c>
      <c r="G190" s="23">
        <f t="shared" si="6"/>
        <v>308.8818</v>
      </c>
      <c r="H190" s="23">
        <f t="shared" si="7"/>
        <v>0.5281368715972149</v>
      </c>
      <c r="I190" t="str">
        <f>_xlfn.TEXTJOIN(" + ",TRUE,IF(COUNTIFS(OrderLines!$A$2:$A$925,A190,OrderLines!$F$2:$F$925,"Beverage")&gt;0,"Beverage",""),IF(COUNTIFS(OrderLines!$A$2:$A$925,A190,OrderLines!$F$2:$F$925,"Dessert")&gt;0,"Dessert",""),IF(COUNTIFS(OrderLines!$A$2:$A$925,A190,OrderLines!$F$2:$F$925,"Hot Meal")&gt;0,"Hot Meal",""),IF(COUNTIFS(OrderLines!$A$2:$A$925,A190,OrderLines!$F$2:$F$925,"Snack")&gt;0,"Snack",""))</f>
        <v>Beverage + Hot Meal + Snack</v>
      </c>
    </row>
    <row r="191" spans="1:9">
      <c r="A191" t="str">
        <f>Orders!A191</f>
        <v>O00190</v>
      </c>
      <c r="B191" t="str">
        <f>Orders!C191</f>
        <v>Plant 2 Canteen</v>
      </c>
      <c r="C191" t="str">
        <f>Orders!F191</f>
        <v>Lunch</v>
      </c>
      <c r="D191" t="str">
        <f>Orders!J191</f>
        <v>Single</v>
      </c>
      <c r="E191" s="24">
        <f>Orders!I191</f>
        <v>136.15199999999999</v>
      </c>
      <c r="F191" s="24">
        <f>SUMIF(OrderLines!$A$2:$A$925,A191,OrderLines!$L$2:$L$925)</f>
        <v>80.92</v>
      </c>
      <c r="G191" s="23">
        <f t="shared" si="6"/>
        <v>55.231999999999985</v>
      </c>
      <c r="H191" s="23">
        <f t="shared" si="7"/>
        <v>0.40566425759445318</v>
      </c>
      <c r="I191" t="str">
        <f>_xlfn.TEXTJOIN(" + ",TRUE,IF(COUNTIFS(OrderLines!$A$2:$A$925,A191,OrderLines!$F$2:$F$925,"Beverage")&gt;0,"Beverage",""),IF(COUNTIFS(OrderLines!$A$2:$A$925,A191,OrderLines!$F$2:$F$925,"Dessert")&gt;0,"Dessert",""),IF(COUNTIFS(OrderLines!$A$2:$A$925,A191,OrderLines!$F$2:$F$925,"Hot Meal")&gt;0,"Hot Meal",""),IF(COUNTIFS(OrderLines!$A$2:$A$925,A191,OrderLines!$F$2:$F$925,"Snack")&gt;0,"Snack",""))</f>
        <v>Hot Meal</v>
      </c>
    </row>
    <row r="192" spans="1:9">
      <c r="A192" t="str">
        <f>Orders!A192</f>
        <v>O00191</v>
      </c>
      <c r="B192" t="str">
        <f>Orders!C192</f>
        <v>Head Office Café</v>
      </c>
      <c r="C192" t="str">
        <f>Orders!F192</f>
        <v>Breakfast</v>
      </c>
      <c r="D192" t="str">
        <f>Orders!J192</f>
        <v>Single</v>
      </c>
      <c r="E192" s="24">
        <f>Orders!I192</f>
        <v>255.2946</v>
      </c>
      <c r="F192" s="24">
        <f>SUMIF(OrderLines!$A$2:$A$925,A192,OrderLines!$L$2:$L$925)</f>
        <v>132.63999999999999</v>
      </c>
      <c r="G192" s="23">
        <f t="shared" si="6"/>
        <v>122.65460000000002</v>
      </c>
      <c r="H192" s="23">
        <f t="shared" si="7"/>
        <v>0.48044337796412462</v>
      </c>
      <c r="I192" t="str">
        <f>_xlfn.TEXTJOIN(" + ",TRUE,IF(COUNTIFS(OrderLines!$A$2:$A$925,A192,OrderLines!$F$2:$F$925,"Beverage")&gt;0,"Beverage",""),IF(COUNTIFS(OrderLines!$A$2:$A$925,A192,OrderLines!$F$2:$F$925,"Dessert")&gt;0,"Dessert",""),IF(COUNTIFS(OrderLines!$A$2:$A$925,A192,OrderLines!$F$2:$F$925,"Hot Meal")&gt;0,"Hot Meal",""),IF(COUNTIFS(OrderLines!$A$2:$A$925,A192,OrderLines!$F$2:$F$925,"Snack")&gt;0,"Snack",""))</f>
        <v>Dessert + Snack</v>
      </c>
    </row>
    <row r="193" spans="1:9">
      <c r="A193" t="str">
        <f>Orders!A193</f>
        <v>O00192</v>
      </c>
      <c r="B193" t="str">
        <f>Orders!C193</f>
        <v>Plant 2 Canteen</v>
      </c>
      <c r="C193" t="str">
        <f>Orders!F193</f>
        <v>Breakfast</v>
      </c>
      <c r="D193" t="str">
        <f>Orders!J193</f>
        <v>Single</v>
      </c>
      <c r="E193" s="24">
        <f>Orders!I193</f>
        <v>498.40540000000004</v>
      </c>
      <c r="F193" s="24">
        <f>SUMIF(OrderLines!$A$2:$A$925,A193,OrderLines!$L$2:$L$925)</f>
        <v>242.48</v>
      </c>
      <c r="G193" s="23">
        <f t="shared" si="6"/>
        <v>255.92540000000005</v>
      </c>
      <c r="H193" s="23">
        <f t="shared" si="7"/>
        <v>0.51348841726032668</v>
      </c>
      <c r="I193" t="str">
        <f>_xlfn.TEXTJOIN(" + ",TRUE,IF(COUNTIFS(OrderLines!$A$2:$A$925,A193,OrderLines!$F$2:$F$925,"Beverage")&gt;0,"Beverage",""),IF(COUNTIFS(OrderLines!$A$2:$A$925,A193,OrderLines!$F$2:$F$925,"Dessert")&gt;0,"Dessert",""),IF(COUNTIFS(OrderLines!$A$2:$A$925,A193,OrderLines!$F$2:$F$925,"Hot Meal")&gt;0,"Hot Meal",""),IF(COUNTIFS(OrderLines!$A$2:$A$925,A193,OrderLines!$F$2:$F$925,"Snack")&gt;0,"Snack",""))</f>
        <v>Hot Meal</v>
      </c>
    </row>
    <row r="194" spans="1:9">
      <c r="A194" t="str">
        <f>Orders!A194</f>
        <v>O00193</v>
      </c>
      <c r="B194" t="str">
        <f>Orders!C194</f>
        <v>Plant 1 Canteen</v>
      </c>
      <c r="C194" t="str">
        <f>Orders!F194</f>
        <v>Lunch</v>
      </c>
      <c r="D194" t="str">
        <f>Orders!J194</f>
        <v>Single</v>
      </c>
      <c r="E194" s="24">
        <f>Orders!I194</f>
        <v>209.661</v>
      </c>
      <c r="F194" s="24">
        <f>SUMIF(OrderLines!$A$2:$A$925,A194,OrderLines!$L$2:$L$925)</f>
        <v>108.47</v>
      </c>
      <c r="G194" s="23">
        <f t="shared" si="6"/>
        <v>101.191</v>
      </c>
      <c r="H194" s="23">
        <f t="shared" si="7"/>
        <v>0.482641025274133</v>
      </c>
      <c r="I194" t="str">
        <f>_xlfn.TEXTJOIN(" + ",TRUE,IF(COUNTIFS(OrderLines!$A$2:$A$925,A194,OrderLines!$F$2:$F$925,"Beverage")&gt;0,"Beverage",""),IF(COUNTIFS(OrderLines!$A$2:$A$925,A194,OrderLines!$F$2:$F$925,"Dessert")&gt;0,"Dessert",""),IF(COUNTIFS(OrderLines!$A$2:$A$925,A194,OrderLines!$F$2:$F$925,"Hot Meal")&gt;0,"Hot Meal",""),IF(COUNTIFS(OrderLines!$A$2:$A$925,A194,OrderLines!$F$2:$F$925,"Snack")&gt;0,"Snack",""))</f>
        <v>Beverage + Dessert + Snack</v>
      </c>
    </row>
    <row r="195" spans="1:9">
      <c r="A195" t="str">
        <f>Orders!A195</f>
        <v>O00194</v>
      </c>
      <c r="B195" t="str">
        <f>Orders!C195</f>
        <v>Head Office Café</v>
      </c>
      <c r="C195" t="str">
        <f>Orders!F195</f>
        <v>Breakfast</v>
      </c>
      <c r="D195" t="str">
        <f>Orders!J195</f>
        <v>Single</v>
      </c>
      <c r="E195" s="24">
        <f>Orders!I195</f>
        <v>227.2088</v>
      </c>
      <c r="F195" s="24">
        <f>SUMIF(OrderLines!$A$2:$A$925,A195,OrderLines!$L$2:$L$925)</f>
        <v>115.58000000000001</v>
      </c>
      <c r="G195" s="23">
        <f t="shared" si="6"/>
        <v>111.62879999999998</v>
      </c>
      <c r="H195" s="23">
        <f t="shared" si="7"/>
        <v>0.49130491424627915</v>
      </c>
      <c r="I195" t="str">
        <f>_xlfn.TEXTJOIN(" + ",TRUE,IF(COUNTIFS(OrderLines!$A$2:$A$925,A195,OrderLines!$F$2:$F$925,"Beverage")&gt;0,"Beverage",""),IF(COUNTIFS(OrderLines!$A$2:$A$925,A195,OrderLines!$F$2:$F$925,"Dessert")&gt;0,"Dessert",""),IF(COUNTIFS(OrderLines!$A$2:$A$925,A195,OrderLines!$F$2:$F$925,"Hot Meal")&gt;0,"Hot Meal",""),IF(COUNTIFS(OrderLines!$A$2:$A$925,A195,OrderLines!$F$2:$F$925,"Snack")&gt;0,"Snack",""))</f>
        <v>Beverage + Snack</v>
      </c>
    </row>
    <row r="196" spans="1:9">
      <c r="A196" t="str">
        <f>Orders!A196</f>
        <v>O00195</v>
      </c>
      <c r="B196" t="str">
        <f>Orders!C196</f>
        <v>Plant 2 Canteen</v>
      </c>
      <c r="C196" t="str">
        <f>Orders!F196</f>
        <v>Lunch</v>
      </c>
      <c r="D196" t="str">
        <f>Orders!J196</f>
        <v>Single</v>
      </c>
      <c r="E196" s="24">
        <f>Orders!I196</f>
        <v>731</v>
      </c>
      <c r="F196" s="24">
        <f>SUMIF(OrderLines!$A$2:$A$925,A196,OrderLines!$L$2:$L$925)</f>
        <v>336.66999999999996</v>
      </c>
      <c r="G196" s="23">
        <f t="shared" si="6"/>
        <v>394.33000000000004</v>
      </c>
      <c r="H196" s="23">
        <f t="shared" si="7"/>
        <v>0.53943912448700415</v>
      </c>
      <c r="I196" t="str">
        <f>_xlfn.TEXTJOIN(" + ",TRUE,IF(COUNTIFS(OrderLines!$A$2:$A$925,A196,OrderLines!$F$2:$F$925,"Beverage")&gt;0,"Beverage",""),IF(COUNTIFS(OrderLines!$A$2:$A$925,A196,OrderLines!$F$2:$F$925,"Dessert")&gt;0,"Dessert",""),IF(COUNTIFS(OrderLines!$A$2:$A$925,A196,OrderLines!$F$2:$F$925,"Hot Meal")&gt;0,"Hot Meal",""),IF(COUNTIFS(OrderLines!$A$2:$A$925,A196,OrderLines!$F$2:$F$925,"Snack")&gt;0,"Snack",""))</f>
        <v>Dessert + Hot Meal + Snack</v>
      </c>
    </row>
    <row r="197" spans="1:9">
      <c r="A197" t="str">
        <f>Orders!A197</f>
        <v>O00196</v>
      </c>
      <c r="B197" t="str">
        <f>Orders!C197</f>
        <v>Head Office Café</v>
      </c>
      <c r="C197" t="str">
        <f>Orders!F197</f>
        <v>Breakfast</v>
      </c>
      <c r="D197" t="str">
        <f>Orders!J197</f>
        <v>Single</v>
      </c>
      <c r="E197" s="24">
        <f>Orders!I197</f>
        <v>318.80399999999997</v>
      </c>
      <c r="F197" s="24">
        <f>SUMIF(OrderLines!$A$2:$A$925,A197,OrderLines!$L$2:$L$925)</f>
        <v>165.68</v>
      </c>
      <c r="G197" s="23">
        <f t="shared" si="6"/>
        <v>153.12399999999997</v>
      </c>
      <c r="H197" s="23">
        <f t="shared" si="7"/>
        <v>0.48030764984128171</v>
      </c>
      <c r="I197" t="str">
        <f>_xlfn.TEXTJOIN(" + ",TRUE,IF(COUNTIFS(OrderLines!$A$2:$A$925,A197,OrderLines!$F$2:$F$925,"Beverage")&gt;0,"Beverage",""),IF(COUNTIFS(OrderLines!$A$2:$A$925,A197,OrderLines!$F$2:$F$925,"Dessert")&gt;0,"Dessert",""),IF(COUNTIFS(OrderLines!$A$2:$A$925,A197,OrderLines!$F$2:$F$925,"Hot Meal")&gt;0,"Hot Meal",""),IF(COUNTIFS(OrderLines!$A$2:$A$925,A197,OrderLines!$F$2:$F$925,"Snack")&gt;0,"Snack",""))</f>
        <v>Dessert + Hot Meal + Snack</v>
      </c>
    </row>
    <row r="198" spans="1:9">
      <c r="A198" t="str">
        <f>Orders!A198</f>
        <v>O00197</v>
      </c>
      <c r="B198" t="str">
        <f>Orders!C198</f>
        <v>Plant 1 Canteen</v>
      </c>
      <c r="C198" t="str">
        <f>Orders!F198</f>
        <v>Dinner</v>
      </c>
      <c r="D198" t="str">
        <f>Orders!J198</f>
        <v>Combo</v>
      </c>
      <c r="E198" s="24">
        <f>Orders!I198</f>
        <v>308.06230000000005</v>
      </c>
      <c r="F198" s="24">
        <f>SUMIF(OrderLines!$A$2:$A$925,A198,OrderLines!$L$2:$L$925)</f>
        <v>149.6</v>
      </c>
      <c r="G198" s="23">
        <f t="shared" si="6"/>
        <v>158.46230000000006</v>
      </c>
      <c r="H198" s="23">
        <f t="shared" si="7"/>
        <v>0.51438394117034125</v>
      </c>
      <c r="I198" t="str">
        <f>_xlfn.TEXTJOIN(" + ",TRUE,IF(COUNTIFS(OrderLines!$A$2:$A$925,A198,OrderLines!$F$2:$F$925,"Beverage")&gt;0,"Beverage",""),IF(COUNTIFS(OrderLines!$A$2:$A$925,A198,OrderLines!$F$2:$F$925,"Dessert")&gt;0,"Dessert",""),IF(COUNTIFS(OrderLines!$A$2:$A$925,A198,OrderLines!$F$2:$F$925,"Hot Meal")&gt;0,"Hot Meal",""),IF(COUNTIFS(OrderLines!$A$2:$A$925,A198,OrderLines!$F$2:$F$925,"Snack")&gt;0,"Snack",""))</f>
        <v>Beverage + Hot Meal</v>
      </c>
    </row>
    <row r="199" spans="1:9">
      <c r="A199" t="str">
        <f>Orders!A199</f>
        <v>O00198</v>
      </c>
      <c r="B199" t="str">
        <f>Orders!C199</f>
        <v>Head Office Café</v>
      </c>
      <c r="C199" t="str">
        <f>Orders!F199</f>
        <v>Breakfast</v>
      </c>
      <c r="D199" t="str">
        <f>Orders!J199</f>
        <v>Single</v>
      </c>
      <c r="E199" s="24">
        <f>Orders!I199</f>
        <v>107.1525</v>
      </c>
      <c r="F199" s="24">
        <f>SUMIF(OrderLines!$A$2:$A$925,A199,OrderLines!$L$2:$L$925)</f>
        <v>57.5</v>
      </c>
      <c r="G199" s="23">
        <f t="shared" si="6"/>
        <v>49.652500000000003</v>
      </c>
      <c r="H199" s="23">
        <f t="shared" si="7"/>
        <v>0.46338162898672453</v>
      </c>
      <c r="I199" t="str">
        <f>_xlfn.TEXTJOIN(" + ",TRUE,IF(COUNTIFS(OrderLines!$A$2:$A$925,A199,OrderLines!$F$2:$F$925,"Beverage")&gt;0,"Beverage",""),IF(COUNTIFS(OrderLines!$A$2:$A$925,A199,OrderLines!$F$2:$F$925,"Dessert")&gt;0,"Dessert",""),IF(COUNTIFS(OrderLines!$A$2:$A$925,A199,OrderLines!$F$2:$F$925,"Hot Meal")&gt;0,"Hot Meal",""),IF(COUNTIFS(OrderLines!$A$2:$A$925,A199,OrderLines!$F$2:$F$925,"Snack")&gt;0,"Snack",""))</f>
        <v>Beverage + Dessert</v>
      </c>
    </row>
    <row r="200" spans="1:9">
      <c r="A200" t="str">
        <f>Orders!A200</f>
        <v>O00199</v>
      </c>
      <c r="B200" t="str">
        <f>Orders!C200</f>
        <v>Head Office Café</v>
      </c>
      <c r="C200" t="str">
        <f>Orders!F200</f>
        <v>Breakfast</v>
      </c>
      <c r="D200" t="str">
        <f>Orders!J200</f>
        <v>Combo</v>
      </c>
      <c r="E200" s="24">
        <f>Orders!I200</f>
        <v>851.31080000000009</v>
      </c>
      <c r="F200" s="24">
        <f>SUMIF(OrderLines!$A$2:$A$925,A200,OrderLines!$L$2:$L$925)</f>
        <v>393.29999999999995</v>
      </c>
      <c r="G200" s="23">
        <f t="shared" si="6"/>
        <v>458.01080000000013</v>
      </c>
      <c r="H200" s="23">
        <f t="shared" si="7"/>
        <v>0.5380065658746489</v>
      </c>
      <c r="I200" t="str">
        <f>_xlfn.TEXTJOIN(" + ",TRUE,IF(COUNTIFS(OrderLines!$A$2:$A$925,A200,OrderLines!$F$2:$F$925,"Beverage")&gt;0,"Beverage",""),IF(COUNTIFS(OrderLines!$A$2:$A$925,A200,OrderLines!$F$2:$F$925,"Dessert")&gt;0,"Dessert",""),IF(COUNTIFS(OrderLines!$A$2:$A$925,A200,OrderLines!$F$2:$F$925,"Hot Meal")&gt;0,"Hot Meal",""),IF(COUNTIFS(OrderLines!$A$2:$A$925,A200,OrderLines!$F$2:$F$925,"Snack")&gt;0,"Snack",""))</f>
        <v>Beverage + Hot Meal</v>
      </c>
    </row>
    <row r="201" spans="1:9">
      <c r="A201" t="str">
        <f>Orders!A201</f>
        <v>O00200</v>
      </c>
      <c r="B201" t="str">
        <f>Orders!C201</f>
        <v>Plant 2 Canteen</v>
      </c>
      <c r="C201" t="str">
        <f>Orders!F201</f>
        <v>Breakfast</v>
      </c>
      <c r="D201" t="str">
        <f>Orders!J201</f>
        <v>Single</v>
      </c>
      <c r="E201" s="24">
        <f>Orders!I201</f>
        <v>37.552999999999997</v>
      </c>
      <c r="F201" s="24">
        <f>SUMIF(OrderLines!$A$2:$A$925,A201,OrderLines!$L$2:$L$925)</f>
        <v>15.51</v>
      </c>
      <c r="G201" s="23">
        <f t="shared" si="6"/>
        <v>22.042999999999999</v>
      </c>
      <c r="H201" s="23">
        <f t="shared" si="7"/>
        <v>0.58698372966207757</v>
      </c>
      <c r="I201" t="str">
        <f>_xlfn.TEXTJOIN(" + ",TRUE,IF(COUNTIFS(OrderLines!$A$2:$A$925,A201,OrderLines!$F$2:$F$925,"Beverage")&gt;0,"Beverage",""),IF(COUNTIFS(OrderLines!$A$2:$A$925,A201,OrderLines!$F$2:$F$925,"Dessert")&gt;0,"Dessert",""),IF(COUNTIFS(OrderLines!$A$2:$A$925,A201,OrderLines!$F$2:$F$925,"Hot Meal")&gt;0,"Hot Meal",""),IF(COUNTIFS(OrderLines!$A$2:$A$925,A201,OrderLines!$F$2:$F$925,"Snack")&gt;0,"Snack",""))</f>
        <v>Snack</v>
      </c>
    </row>
    <row r="202" spans="1:9">
      <c r="A202" t="str">
        <f>Orders!A202</f>
        <v>O00201</v>
      </c>
      <c r="B202" t="str">
        <f>Orders!C202</f>
        <v>Head Office Café</v>
      </c>
      <c r="C202" t="str">
        <f>Orders!F202</f>
        <v>Lunch</v>
      </c>
      <c r="D202" t="str">
        <f>Orders!J202</f>
        <v>Single</v>
      </c>
      <c r="E202" s="24">
        <f>Orders!I202</f>
        <v>35.0152</v>
      </c>
      <c r="F202" s="24">
        <f>SUMIF(OrderLines!$A$2:$A$925,A202,OrderLines!$L$2:$L$925)</f>
        <v>19.55</v>
      </c>
      <c r="G202" s="23">
        <f t="shared" si="6"/>
        <v>15.465199999999999</v>
      </c>
      <c r="H202" s="23">
        <f t="shared" si="7"/>
        <v>0.44167104571728849</v>
      </c>
      <c r="I202" t="str">
        <f>_xlfn.TEXTJOIN(" + ",TRUE,IF(COUNTIFS(OrderLines!$A$2:$A$925,A202,OrderLines!$F$2:$F$925,"Beverage")&gt;0,"Beverage",""),IF(COUNTIFS(OrderLines!$A$2:$A$925,A202,OrderLines!$F$2:$F$925,"Dessert")&gt;0,"Dessert",""),IF(COUNTIFS(OrderLines!$A$2:$A$925,A202,OrderLines!$F$2:$F$925,"Hot Meal")&gt;0,"Hot Meal",""),IF(COUNTIFS(OrderLines!$A$2:$A$925,A202,OrderLines!$F$2:$F$925,"Snack")&gt;0,"Snack",""))</f>
        <v>Snack</v>
      </c>
    </row>
    <row r="203" spans="1:9">
      <c r="A203" t="str">
        <f>Orders!A203</f>
        <v>O00202</v>
      </c>
      <c r="B203" t="str">
        <f>Orders!C203</f>
        <v>Head Office Café</v>
      </c>
      <c r="C203" t="str">
        <f>Orders!F203</f>
        <v>Dinner</v>
      </c>
      <c r="D203" t="str">
        <f>Orders!J203</f>
        <v>Single</v>
      </c>
      <c r="E203" s="24">
        <f>Orders!I203</f>
        <v>155.45530000000002</v>
      </c>
      <c r="F203" s="24">
        <f>SUMIF(OrderLines!$A$2:$A$925,A203,OrderLines!$L$2:$L$925)</f>
        <v>74.069999999999993</v>
      </c>
      <c r="G203" s="23">
        <f t="shared" si="6"/>
        <v>81.385300000000029</v>
      </c>
      <c r="H203" s="23">
        <f t="shared" si="7"/>
        <v>0.52352862848677417</v>
      </c>
      <c r="I203" t="str">
        <f>_xlfn.TEXTJOIN(" + ",TRUE,IF(COUNTIFS(OrderLines!$A$2:$A$925,A203,OrderLines!$F$2:$F$925,"Beverage")&gt;0,"Beverage",""),IF(COUNTIFS(OrderLines!$A$2:$A$925,A203,OrderLines!$F$2:$F$925,"Dessert")&gt;0,"Dessert",""),IF(COUNTIFS(OrderLines!$A$2:$A$925,A203,OrderLines!$F$2:$F$925,"Hot Meal")&gt;0,"Hot Meal",""),IF(COUNTIFS(OrderLines!$A$2:$A$925,A203,OrderLines!$F$2:$F$925,"Snack")&gt;0,"Snack",""))</f>
        <v>Hot Meal</v>
      </c>
    </row>
    <row r="204" spans="1:9">
      <c r="A204" t="str">
        <f>Orders!A204</f>
        <v>O00203</v>
      </c>
      <c r="B204" t="str">
        <f>Orders!C204</f>
        <v>Plant 1 Canteen</v>
      </c>
      <c r="C204" t="str">
        <f>Orders!F204</f>
        <v>Breakfast</v>
      </c>
      <c r="D204" t="str">
        <f>Orders!J204</f>
        <v>Single</v>
      </c>
      <c r="E204" s="24">
        <f>Orders!I204</f>
        <v>252.25200000000001</v>
      </c>
      <c r="F204" s="24">
        <f>SUMIF(OrderLines!$A$2:$A$925,A204,OrderLines!$L$2:$L$925)</f>
        <v>124.82</v>
      </c>
      <c r="G204" s="23">
        <f t="shared" si="6"/>
        <v>127.43200000000002</v>
      </c>
      <c r="H204" s="23">
        <f t="shared" si="7"/>
        <v>0.50517736232021948</v>
      </c>
      <c r="I204" t="str">
        <f>_xlfn.TEXTJOIN(" + ",TRUE,IF(COUNTIFS(OrderLines!$A$2:$A$925,A204,OrderLines!$F$2:$F$925,"Beverage")&gt;0,"Beverage",""),IF(COUNTIFS(OrderLines!$A$2:$A$925,A204,OrderLines!$F$2:$F$925,"Dessert")&gt;0,"Dessert",""),IF(COUNTIFS(OrderLines!$A$2:$A$925,A204,OrderLines!$F$2:$F$925,"Hot Meal")&gt;0,"Hot Meal",""),IF(COUNTIFS(OrderLines!$A$2:$A$925,A204,OrderLines!$F$2:$F$925,"Snack")&gt;0,"Snack",""))</f>
        <v>Dessert + Hot Meal</v>
      </c>
    </row>
    <row r="205" spans="1:9">
      <c r="A205" t="str">
        <f>Orders!A205</f>
        <v>O00204</v>
      </c>
      <c r="B205" t="str">
        <f>Orders!C205</f>
        <v>Plant 2 Canteen</v>
      </c>
      <c r="C205" t="str">
        <f>Orders!F205</f>
        <v>Breakfast</v>
      </c>
      <c r="D205" t="str">
        <f>Orders!J205</f>
        <v>Combo</v>
      </c>
      <c r="E205" s="24">
        <f>Orders!I205</f>
        <v>903.56399999999996</v>
      </c>
      <c r="F205" s="24">
        <f>SUMIF(OrderLines!$A$2:$A$925,A205,OrderLines!$L$2:$L$925)</f>
        <v>410.11999999999995</v>
      </c>
      <c r="G205" s="23">
        <f t="shared" si="6"/>
        <v>493.44400000000002</v>
      </c>
      <c r="H205" s="23">
        <f t="shared" si="7"/>
        <v>0.54610852136649979</v>
      </c>
      <c r="I205" t="str">
        <f>_xlfn.TEXTJOIN(" + ",TRUE,IF(COUNTIFS(OrderLines!$A$2:$A$925,A205,OrderLines!$F$2:$F$925,"Beverage")&gt;0,"Beverage",""),IF(COUNTIFS(OrderLines!$A$2:$A$925,A205,OrderLines!$F$2:$F$925,"Dessert")&gt;0,"Dessert",""),IF(COUNTIFS(OrderLines!$A$2:$A$925,A205,OrderLines!$F$2:$F$925,"Hot Meal")&gt;0,"Hot Meal",""),IF(COUNTIFS(OrderLines!$A$2:$A$925,A205,OrderLines!$F$2:$F$925,"Snack")&gt;0,"Snack",""))</f>
        <v>Beverage + Hot Meal</v>
      </c>
    </row>
    <row r="206" spans="1:9">
      <c r="A206" t="str">
        <f>Orders!A206</f>
        <v>O00205</v>
      </c>
      <c r="B206" t="str">
        <f>Orders!C206</f>
        <v>Plant 1 Canteen</v>
      </c>
      <c r="C206" t="str">
        <f>Orders!F206</f>
        <v>Breakfast</v>
      </c>
      <c r="D206" t="str">
        <f>Orders!J206</f>
        <v>Combo</v>
      </c>
      <c r="E206" s="24">
        <f>Orders!I206</f>
        <v>296.72640000000001</v>
      </c>
      <c r="F206" s="24">
        <f>SUMIF(OrderLines!$A$2:$A$925,A206,OrderLines!$L$2:$L$925)</f>
        <v>151.92000000000002</v>
      </c>
      <c r="G206" s="23">
        <f t="shared" si="6"/>
        <v>144.8064</v>
      </c>
      <c r="H206" s="23">
        <f t="shared" si="7"/>
        <v>0.48801320003882359</v>
      </c>
      <c r="I206" t="str">
        <f>_xlfn.TEXTJOIN(" + ",TRUE,IF(COUNTIFS(OrderLines!$A$2:$A$925,A206,OrderLines!$F$2:$F$925,"Beverage")&gt;0,"Beverage",""),IF(COUNTIFS(OrderLines!$A$2:$A$925,A206,OrderLines!$F$2:$F$925,"Dessert")&gt;0,"Dessert",""),IF(COUNTIFS(OrderLines!$A$2:$A$925,A206,OrderLines!$F$2:$F$925,"Hot Meal")&gt;0,"Hot Meal",""),IF(COUNTIFS(OrderLines!$A$2:$A$925,A206,OrderLines!$F$2:$F$925,"Snack")&gt;0,"Snack",""))</f>
        <v>Beverage + Hot Meal + Snack</v>
      </c>
    </row>
    <row r="207" spans="1:9">
      <c r="A207" t="str">
        <f>Orders!A207</f>
        <v>O00206</v>
      </c>
      <c r="B207" t="str">
        <f>Orders!C207</f>
        <v>Head Office Café</v>
      </c>
      <c r="C207" t="str">
        <f>Orders!F207</f>
        <v>Dinner</v>
      </c>
      <c r="D207" t="str">
        <f>Orders!J207</f>
        <v>Single</v>
      </c>
      <c r="E207" s="24">
        <f>Orders!I207</f>
        <v>213.06049999999999</v>
      </c>
      <c r="F207" s="24">
        <f>SUMIF(OrderLines!$A$2:$A$925,A207,OrderLines!$L$2:$L$925)</f>
        <v>99.080000000000013</v>
      </c>
      <c r="G207" s="23">
        <f t="shared" si="6"/>
        <v>113.98049999999998</v>
      </c>
      <c r="H207" s="23">
        <f t="shared" si="7"/>
        <v>0.53496776737123952</v>
      </c>
      <c r="I207" t="str">
        <f>_xlfn.TEXTJOIN(" + ",TRUE,IF(COUNTIFS(OrderLines!$A$2:$A$925,A207,OrderLines!$F$2:$F$925,"Beverage")&gt;0,"Beverage",""),IF(COUNTIFS(OrderLines!$A$2:$A$925,A207,OrderLines!$F$2:$F$925,"Dessert")&gt;0,"Dessert",""),IF(COUNTIFS(OrderLines!$A$2:$A$925,A207,OrderLines!$F$2:$F$925,"Hot Meal")&gt;0,"Hot Meal",""),IF(COUNTIFS(OrderLines!$A$2:$A$925,A207,OrderLines!$F$2:$F$925,"Snack")&gt;0,"Snack",""))</f>
        <v>Beverage + Snack</v>
      </c>
    </row>
    <row r="208" spans="1:9">
      <c r="A208" t="str">
        <f>Orders!A208</f>
        <v>O00207</v>
      </c>
      <c r="B208" t="str">
        <f>Orders!C208</f>
        <v>Plant 2 Canteen</v>
      </c>
      <c r="C208" t="str">
        <f>Orders!F208</f>
        <v>Breakfast</v>
      </c>
      <c r="D208" t="str">
        <f>Orders!J208</f>
        <v>Single</v>
      </c>
      <c r="E208" s="24">
        <f>Orders!I208</f>
        <v>363.05099999999999</v>
      </c>
      <c r="F208" s="24">
        <f>SUMIF(OrderLines!$A$2:$A$925,A208,OrderLines!$L$2:$L$925)</f>
        <v>199.5</v>
      </c>
      <c r="G208" s="23">
        <f t="shared" ref="G208:G271" si="8">E208-F208</f>
        <v>163.55099999999999</v>
      </c>
      <c r="H208" s="23">
        <f t="shared" ref="H208:H271" si="9">IFERROR(G208/E208,0)</f>
        <v>0.45049042696480657</v>
      </c>
      <c r="I208" t="str">
        <f>_xlfn.TEXTJOIN(" + ",TRUE,IF(COUNTIFS(OrderLines!$A$2:$A$925,A208,OrderLines!$F$2:$F$925,"Beverage")&gt;0,"Beverage",""),IF(COUNTIFS(OrderLines!$A$2:$A$925,A208,OrderLines!$F$2:$F$925,"Dessert")&gt;0,"Dessert",""),IF(COUNTIFS(OrderLines!$A$2:$A$925,A208,OrderLines!$F$2:$F$925,"Hot Meal")&gt;0,"Hot Meal",""),IF(COUNTIFS(OrderLines!$A$2:$A$925,A208,OrderLines!$F$2:$F$925,"Snack")&gt;0,"Snack",""))</f>
        <v>Dessert + Hot Meal</v>
      </c>
    </row>
    <row r="209" spans="1:9">
      <c r="A209" t="str">
        <f>Orders!A209</f>
        <v>O00208</v>
      </c>
      <c r="B209" t="str">
        <f>Orders!C209</f>
        <v>Plant 1 Canteen</v>
      </c>
      <c r="C209" t="str">
        <f>Orders!F209</f>
        <v>Dinner</v>
      </c>
      <c r="D209" t="str">
        <f>Orders!J209</f>
        <v>Single</v>
      </c>
      <c r="E209" s="24">
        <f>Orders!I209</f>
        <v>131.30240000000001</v>
      </c>
      <c r="F209" s="24">
        <f>SUMIF(OrderLines!$A$2:$A$925,A209,OrderLines!$L$2:$L$925)</f>
        <v>67.240000000000009</v>
      </c>
      <c r="G209" s="23">
        <f t="shared" si="8"/>
        <v>64.062399999999997</v>
      </c>
      <c r="H209" s="23">
        <f t="shared" si="9"/>
        <v>0.48789968804835243</v>
      </c>
      <c r="I209" t="str">
        <f>_xlfn.TEXTJOIN(" + ",TRUE,IF(COUNTIFS(OrderLines!$A$2:$A$925,A209,OrderLines!$F$2:$F$925,"Beverage")&gt;0,"Beverage",""),IF(COUNTIFS(OrderLines!$A$2:$A$925,A209,OrderLines!$F$2:$F$925,"Dessert")&gt;0,"Dessert",""),IF(COUNTIFS(OrderLines!$A$2:$A$925,A209,OrderLines!$F$2:$F$925,"Hot Meal")&gt;0,"Hot Meal",""),IF(COUNTIFS(OrderLines!$A$2:$A$925,A209,OrderLines!$F$2:$F$925,"Snack")&gt;0,"Snack",""))</f>
        <v>Beverage + Snack</v>
      </c>
    </row>
    <row r="210" spans="1:9">
      <c r="A210" t="str">
        <f>Orders!A210</f>
        <v>O00209</v>
      </c>
      <c r="B210" t="str">
        <f>Orders!C210</f>
        <v>Plant 2 Canteen</v>
      </c>
      <c r="C210" t="str">
        <f>Orders!F210</f>
        <v>Breakfast</v>
      </c>
      <c r="D210" t="str">
        <f>Orders!J210</f>
        <v>Single</v>
      </c>
      <c r="E210" s="24">
        <f>Orders!I210</f>
        <v>225.26459999999997</v>
      </c>
      <c r="F210" s="24">
        <f>SUMIF(OrderLines!$A$2:$A$925,A210,OrderLines!$L$2:$L$925)</f>
        <v>103.61</v>
      </c>
      <c r="G210" s="23">
        <f t="shared" si="8"/>
        <v>121.65459999999997</v>
      </c>
      <c r="H210" s="23">
        <f t="shared" si="9"/>
        <v>0.54005200994741287</v>
      </c>
      <c r="I210" t="str">
        <f>_xlfn.TEXTJOIN(" + ",TRUE,IF(COUNTIFS(OrderLines!$A$2:$A$925,A210,OrderLines!$F$2:$F$925,"Beverage")&gt;0,"Beverage",""),IF(COUNTIFS(OrderLines!$A$2:$A$925,A210,OrderLines!$F$2:$F$925,"Dessert")&gt;0,"Dessert",""),IF(COUNTIFS(OrderLines!$A$2:$A$925,A210,OrderLines!$F$2:$F$925,"Hot Meal")&gt;0,"Hot Meal",""),IF(COUNTIFS(OrderLines!$A$2:$A$925,A210,OrderLines!$F$2:$F$925,"Snack")&gt;0,"Snack",""))</f>
        <v>Beverage + Snack</v>
      </c>
    </row>
    <row r="211" spans="1:9">
      <c r="A211" t="str">
        <f>Orders!A211</f>
        <v>O00210</v>
      </c>
      <c r="B211" t="str">
        <f>Orders!C211</f>
        <v>Head Office Café</v>
      </c>
      <c r="C211" t="str">
        <f>Orders!F211</f>
        <v>Dinner</v>
      </c>
      <c r="D211" t="str">
        <f>Orders!J211</f>
        <v>Combo</v>
      </c>
      <c r="E211" s="24">
        <f>Orders!I211</f>
        <v>481.041</v>
      </c>
      <c r="F211" s="24">
        <f>SUMIF(OrderLines!$A$2:$A$925,A211,OrderLines!$L$2:$L$925)</f>
        <v>241.54</v>
      </c>
      <c r="G211" s="23">
        <f t="shared" si="8"/>
        <v>239.501</v>
      </c>
      <c r="H211" s="23">
        <f t="shared" si="9"/>
        <v>0.49788063803293275</v>
      </c>
      <c r="I211" t="str">
        <f>_xlfn.TEXTJOIN(" + ",TRUE,IF(COUNTIFS(OrderLines!$A$2:$A$925,A211,OrderLines!$F$2:$F$925,"Beverage")&gt;0,"Beverage",""),IF(COUNTIFS(OrderLines!$A$2:$A$925,A211,OrderLines!$F$2:$F$925,"Dessert")&gt;0,"Dessert",""),IF(COUNTIFS(OrderLines!$A$2:$A$925,A211,OrderLines!$F$2:$F$925,"Hot Meal")&gt;0,"Hot Meal",""),IF(COUNTIFS(OrderLines!$A$2:$A$925,A211,OrderLines!$F$2:$F$925,"Snack")&gt;0,"Snack",""))</f>
        <v>Beverage + Hot Meal</v>
      </c>
    </row>
    <row r="212" spans="1:9">
      <c r="A212" t="str">
        <f>Orders!A212</f>
        <v>O00211</v>
      </c>
      <c r="B212" t="str">
        <f>Orders!C212</f>
        <v>Head Office Café</v>
      </c>
      <c r="C212" t="str">
        <f>Orders!F212</f>
        <v>Dinner</v>
      </c>
      <c r="D212" t="str">
        <f>Orders!J212</f>
        <v>Single</v>
      </c>
      <c r="E212" s="24">
        <f>Orders!I212</f>
        <v>844.82100000000003</v>
      </c>
      <c r="F212" s="24">
        <f>SUMIF(OrderLines!$A$2:$A$925,A212,OrderLines!$L$2:$L$925)</f>
        <v>471.15</v>
      </c>
      <c r="G212" s="23">
        <f t="shared" si="8"/>
        <v>373.67100000000005</v>
      </c>
      <c r="H212" s="23">
        <f t="shared" si="9"/>
        <v>0.44230789717585151</v>
      </c>
      <c r="I212" t="str">
        <f>_xlfn.TEXTJOIN(" + ",TRUE,IF(COUNTIFS(OrderLines!$A$2:$A$925,A212,OrderLines!$F$2:$F$925,"Beverage")&gt;0,"Beverage",""),IF(COUNTIFS(OrderLines!$A$2:$A$925,A212,OrderLines!$F$2:$F$925,"Dessert")&gt;0,"Dessert",""),IF(COUNTIFS(OrderLines!$A$2:$A$925,A212,OrderLines!$F$2:$F$925,"Hot Meal")&gt;0,"Hot Meal",""),IF(COUNTIFS(OrderLines!$A$2:$A$925,A212,OrderLines!$F$2:$F$925,"Snack")&gt;0,"Snack",""))</f>
        <v>Hot Meal + Snack</v>
      </c>
    </row>
    <row r="213" spans="1:9">
      <c r="A213" t="str">
        <f>Orders!A213</f>
        <v>O00212</v>
      </c>
      <c r="B213" t="str">
        <f>Orders!C213</f>
        <v>Head Office Café</v>
      </c>
      <c r="C213" t="str">
        <f>Orders!F213</f>
        <v>Dinner</v>
      </c>
      <c r="D213" t="str">
        <f>Orders!J213</f>
        <v>Combo</v>
      </c>
      <c r="E213" s="24">
        <f>Orders!I213</f>
        <v>317.75400000000002</v>
      </c>
      <c r="F213" s="24">
        <f>SUMIF(OrderLines!$A$2:$A$925,A213,OrderLines!$L$2:$L$925)</f>
        <v>154.76</v>
      </c>
      <c r="G213" s="23">
        <f t="shared" si="8"/>
        <v>162.99400000000003</v>
      </c>
      <c r="H213" s="23">
        <f t="shared" si="9"/>
        <v>0.51295656388275213</v>
      </c>
      <c r="I213" t="str">
        <f>_xlfn.TEXTJOIN(" + ",TRUE,IF(COUNTIFS(OrderLines!$A$2:$A$925,A213,OrderLines!$F$2:$F$925,"Beverage")&gt;0,"Beverage",""),IF(COUNTIFS(OrderLines!$A$2:$A$925,A213,OrderLines!$F$2:$F$925,"Dessert")&gt;0,"Dessert",""),IF(COUNTIFS(OrderLines!$A$2:$A$925,A213,OrderLines!$F$2:$F$925,"Hot Meal")&gt;0,"Hot Meal",""),IF(COUNTIFS(OrderLines!$A$2:$A$925,A213,OrderLines!$F$2:$F$925,"Snack")&gt;0,"Snack",""))</f>
        <v>Beverage + Dessert + Hot Meal + Snack</v>
      </c>
    </row>
    <row r="214" spans="1:9">
      <c r="A214" t="str">
        <f>Orders!A214</f>
        <v>O00213</v>
      </c>
      <c r="B214" t="str">
        <f>Orders!C214</f>
        <v>Plant 2 Canteen</v>
      </c>
      <c r="C214" t="str">
        <f>Orders!F214</f>
        <v>Dinner</v>
      </c>
      <c r="D214" t="str">
        <f>Orders!J214</f>
        <v>Single</v>
      </c>
      <c r="E214" s="24">
        <f>Orders!I214</f>
        <v>442.17</v>
      </c>
      <c r="F214" s="24">
        <f>SUMIF(OrderLines!$A$2:$A$925,A214,OrderLines!$L$2:$L$925)</f>
        <v>200.09</v>
      </c>
      <c r="G214" s="23">
        <f t="shared" si="8"/>
        <v>242.08</v>
      </c>
      <c r="H214" s="23">
        <f t="shared" si="9"/>
        <v>0.54748173779315645</v>
      </c>
      <c r="I214" t="str">
        <f>_xlfn.TEXTJOIN(" + ",TRUE,IF(COUNTIFS(OrderLines!$A$2:$A$925,A214,OrderLines!$F$2:$F$925,"Beverage")&gt;0,"Beverage",""),IF(COUNTIFS(OrderLines!$A$2:$A$925,A214,OrderLines!$F$2:$F$925,"Dessert")&gt;0,"Dessert",""),IF(COUNTIFS(OrderLines!$A$2:$A$925,A214,OrderLines!$F$2:$F$925,"Hot Meal")&gt;0,"Hot Meal",""),IF(COUNTIFS(OrderLines!$A$2:$A$925,A214,OrderLines!$F$2:$F$925,"Snack")&gt;0,"Snack",""))</f>
        <v>Hot Meal + Snack</v>
      </c>
    </row>
    <row r="215" spans="1:9">
      <c r="A215" t="str">
        <f>Orders!A215</f>
        <v>O00214</v>
      </c>
      <c r="B215" t="str">
        <f>Orders!C215</f>
        <v>Head Office Café</v>
      </c>
      <c r="C215" t="str">
        <f>Orders!F215</f>
        <v>Breakfast</v>
      </c>
      <c r="D215" t="str">
        <f>Orders!J215</f>
        <v>Combo</v>
      </c>
      <c r="E215" s="24">
        <f>Orders!I215</f>
        <v>731.61599999999999</v>
      </c>
      <c r="F215" s="24">
        <f>SUMIF(OrderLines!$A$2:$A$925,A215,OrderLines!$L$2:$L$925)</f>
        <v>327.17999999999995</v>
      </c>
      <c r="G215" s="23">
        <f t="shared" si="8"/>
        <v>404.43600000000004</v>
      </c>
      <c r="H215" s="23">
        <f t="shared" si="9"/>
        <v>0.55279818921401391</v>
      </c>
      <c r="I215" t="str">
        <f>_xlfn.TEXTJOIN(" + ",TRUE,IF(COUNTIFS(OrderLines!$A$2:$A$925,A215,OrderLines!$F$2:$F$925,"Beverage")&gt;0,"Beverage",""),IF(COUNTIFS(OrderLines!$A$2:$A$925,A215,OrderLines!$F$2:$F$925,"Dessert")&gt;0,"Dessert",""),IF(COUNTIFS(OrderLines!$A$2:$A$925,A215,OrderLines!$F$2:$F$925,"Hot Meal")&gt;0,"Hot Meal",""),IF(COUNTIFS(OrderLines!$A$2:$A$925,A215,OrderLines!$F$2:$F$925,"Snack")&gt;0,"Snack",""))</f>
        <v>Beverage + Dessert + Hot Meal</v>
      </c>
    </row>
    <row r="216" spans="1:9">
      <c r="A216" t="str">
        <f>Orders!A216</f>
        <v>O00215</v>
      </c>
      <c r="B216" t="str">
        <f>Orders!C216</f>
        <v>Plant 1 Canteen</v>
      </c>
      <c r="C216" t="str">
        <f>Orders!F216</f>
        <v>Lunch</v>
      </c>
      <c r="D216" t="str">
        <f>Orders!J216</f>
        <v>Combo</v>
      </c>
      <c r="E216" s="24">
        <f>Orders!I216</f>
        <v>329.12199999999996</v>
      </c>
      <c r="F216" s="24">
        <f>SUMIF(OrderLines!$A$2:$A$925,A216,OrderLines!$L$2:$L$925)</f>
        <v>187.99</v>
      </c>
      <c r="G216" s="23">
        <f t="shared" si="8"/>
        <v>141.13199999999995</v>
      </c>
      <c r="H216" s="23">
        <f t="shared" si="9"/>
        <v>0.42881363141935197</v>
      </c>
      <c r="I216" t="str">
        <f>_xlfn.TEXTJOIN(" + ",TRUE,IF(COUNTIFS(OrderLines!$A$2:$A$925,A216,OrderLines!$F$2:$F$925,"Beverage")&gt;0,"Beverage",""),IF(COUNTIFS(OrderLines!$A$2:$A$925,A216,OrderLines!$F$2:$F$925,"Dessert")&gt;0,"Dessert",""),IF(COUNTIFS(OrderLines!$A$2:$A$925,A216,OrderLines!$F$2:$F$925,"Hot Meal")&gt;0,"Hot Meal",""),IF(COUNTIFS(OrderLines!$A$2:$A$925,A216,OrderLines!$F$2:$F$925,"Snack")&gt;0,"Snack",""))</f>
        <v>Beverage + Dessert + Hot Meal + Snack</v>
      </c>
    </row>
    <row r="217" spans="1:9">
      <c r="A217" t="str">
        <f>Orders!A217</f>
        <v>O00216</v>
      </c>
      <c r="B217" t="str">
        <f>Orders!C217</f>
        <v>Plant 1 Canteen</v>
      </c>
      <c r="C217" t="str">
        <f>Orders!F217</f>
        <v>Breakfast</v>
      </c>
      <c r="D217" t="str">
        <f>Orders!J217</f>
        <v>Single</v>
      </c>
      <c r="E217" s="24">
        <f>Orders!I217</f>
        <v>166.29679999999999</v>
      </c>
      <c r="F217" s="24">
        <f>SUMIF(OrderLines!$A$2:$A$925,A217,OrderLines!$L$2:$L$925)</f>
        <v>80.17</v>
      </c>
      <c r="G217" s="23">
        <f t="shared" si="8"/>
        <v>86.126799999999989</v>
      </c>
      <c r="H217" s="23">
        <f t="shared" si="9"/>
        <v>0.51791014619643905</v>
      </c>
      <c r="I217" t="str">
        <f>_xlfn.TEXTJOIN(" + ",TRUE,IF(COUNTIFS(OrderLines!$A$2:$A$925,A217,OrderLines!$F$2:$F$925,"Beverage")&gt;0,"Beverage",""),IF(COUNTIFS(OrderLines!$A$2:$A$925,A217,OrderLines!$F$2:$F$925,"Dessert")&gt;0,"Dessert",""),IF(COUNTIFS(OrderLines!$A$2:$A$925,A217,OrderLines!$F$2:$F$925,"Hot Meal")&gt;0,"Hot Meal",""),IF(COUNTIFS(OrderLines!$A$2:$A$925,A217,OrderLines!$F$2:$F$925,"Snack")&gt;0,"Snack",""))</f>
        <v>Beverage + Snack</v>
      </c>
    </row>
    <row r="218" spans="1:9">
      <c r="A218" t="str">
        <f>Orders!A218</f>
        <v>O00217</v>
      </c>
      <c r="B218" t="str">
        <f>Orders!C218</f>
        <v>Plant 2 Canteen</v>
      </c>
      <c r="C218" t="str">
        <f>Orders!F218</f>
        <v>Breakfast</v>
      </c>
      <c r="D218" t="str">
        <f>Orders!J218</f>
        <v>Single</v>
      </c>
      <c r="E218" s="24">
        <f>Orders!I218</f>
        <v>611.7908000000001</v>
      </c>
      <c r="F218" s="24">
        <f>SUMIF(OrderLines!$A$2:$A$925,A218,OrderLines!$L$2:$L$925)</f>
        <v>303.73</v>
      </c>
      <c r="G218" s="23">
        <f t="shared" si="8"/>
        <v>308.06080000000009</v>
      </c>
      <c r="H218" s="23">
        <f t="shared" si="9"/>
        <v>0.50353944518289595</v>
      </c>
      <c r="I218" t="str">
        <f>_xlfn.TEXTJOIN(" + ",TRUE,IF(COUNTIFS(OrderLines!$A$2:$A$925,A218,OrderLines!$F$2:$F$925,"Beverage")&gt;0,"Beverage",""),IF(COUNTIFS(OrderLines!$A$2:$A$925,A218,OrderLines!$F$2:$F$925,"Dessert")&gt;0,"Dessert",""),IF(COUNTIFS(OrderLines!$A$2:$A$925,A218,OrderLines!$F$2:$F$925,"Hot Meal")&gt;0,"Hot Meal",""),IF(COUNTIFS(OrderLines!$A$2:$A$925,A218,OrderLines!$F$2:$F$925,"Snack")&gt;0,"Snack",""))</f>
        <v>Hot Meal + Snack</v>
      </c>
    </row>
    <row r="219" spans="1:9">
      <c r="A219" t="str">
        <f>Orders!A219</f>
        <v>O00218</v>
      </c>
      <c r="B219" t="str">
        <f>Orders!C219</f>
        <v>Head Office Café</v>
      </c>
      <c r="C219" t="str">
        <f>Orders!F219</f>
        <v>Dinner</v>
      </c>
      <c r="D219" t="str">
        <f>Orders!J219</f>
        <v>Single</v>
      </c>
      <c r="E219" s="24">
        <f>Orders!I219</f>
        <v>25.871300000000002</v>
      </c>
      <c r="F219" s="24">
        <f>SUMIF(OrderLines!$A$2:$A$925,A219,OrderLines!$L$2:$L$925)</f>
        <v>13.89</v>
      </c>
      <c r="G219" s="23">
        <f t="shared" si="8"/>
        <v>11.981300000000001</v>
      </c>
      <c r="H219" s="23">
        <f t="shared" si="9"/>
        <v>0.46311163335433475</v>
      </c>
      <c r="I219" t="str">
        <f>_xlfn.TEXTJOIN(" + ",TRUE,IF(COUNTIFS(OrderLines!$A$2:$A$925,A219,OrderLines!$F$2:$F$925,"Beverage")&gt;0,"Beverage",""),IF(COUNTIFS(OrderLines!$A$2:$A$925,A219,OrderLines!$F$2:$F$925,"Dessert")&gt;0,"Dessert",""),IF(COUNTIFS(OrderLines!$A$2:$A$925,A219,OrderLines!$F$2:$F$925,"Hot Meal")&gt;0,"Hot Meal",""),IF(COUNTIFS(OrderLines!$A$2:$A$925,A219,OrderLines!$F$2:$F$925,"Snack")&gt;0,"Snack",""))</f>
        <v>Beverage</v>
      </c>
    </row>
    <row r="220" spans="1:9">
      <c r="A220" t="str">
        <f>Orders!A220</f>
        <v>O00219</v>
      </c>
      <c r="B220" t="str">
        <f>Orders!C220</f>
        <v>Head Office Café</v>
      </c>
      <c r="C220" t="str">
        <f>Orders!F220</f>
        <v>Lunch</v>
      </c>
      <c r="D220" t="str">
        <f>Orders!J220</f>
        <v>Single</v>
      </c>
      <c r="E220" s="24">
        <f>Orders!I220</f>
        <v>669.74180000000001</v>
      </c>
      <c r="F220" s="24">
        <f>SUMIF(OrderLines!$A$2:$A$925,A220,OrderLines!$L$2:$L$925)</f>
        <v>302.64</v>
      </c>
      <c r="G220" s="23">
        <f t="shared" si="8"/>
        <v>367.10180000000003</v>
      </c>
      <c r="H220" s="23">
        <f t="shared" si="9"/>
        <v>0.54812436673356812</v>
      </c>
      <c r="I220" t="str">
        <f>_xlfn.TEXTJOIN(" + ",TRUE,IF(COUNTIFS(OrderLines!$A$2:$A$925,A220,OrderLines!$F$2:$F$925,"Beverage")&gt;0,"Beverage",""),IF(COUNTIFS(OrderLines!$A$2:$A$925,A220,OrderLines!$F$2:$F$925,"Dessert")&gt;0,"Dessert",""),IF(COUNTIFS(OrderLines!$A$2:$A$925,A220,OrderLines!$F$2:$F$925,"Hot Meal")&gt;0,"Hot Meal",""),IF(COUNTIFS(OrderLines!$A$2:$A$925,A220,OrderLines!$F$2:$F$925,"Snack")&gt;0,"Snack",""))</f>
        <v>Dessert + Hot Meal</v>
      </c>
    </row>
    <row r="221" spans="1:9">
      <c r="A221" t="str">
        <f>Orders!A221</f>
        <v>O00220</v>
      </c>
      <c r="B221" t="str">
        <f>Orders!C221</f>
        <v>Plant 1 Canteen</v>
      </c>
      <c r="C221" t="str">
        <f>Orders!F221</f>
        <v>Breakfast</v>
      </c>
      <c r="D221" t="str">
        <f>Orders!J221</f>
        <v>Single</v>
      </c>
      <c r="E221" s="24">
        <f>Orders!I221</f>
        <v>582.66840000000002</v>
      </c>
      <c r="F221" s="24">
        <f>SUMIF(OrderLines!$A$2:$A$925,A221,OrderLines!$L$2:$L$925)</f>
        <v>276.76</v>
      </c>
      <c r="G221" s="23">
        <f t="shared" si="8"/>
        <v>305.90840000000003</v>
      </c>
      <c r="H221" s="23">
        <f t="shared" si="9"/>
        <v>0.5250128546528352</v>
      </c>
      <c r="I221" t="str">
        <f>_xlfn.TEXTJOIN(" + ",TRUE,IF(COUNTIFS(OrderLines!$A$2:$A$925,A221,OrderLines!$F$2:$F$925,"Beverage")&gt;0,"Beverage",""),IF(COUNTIFS(OrderLines!$A$2:$A$925,A221,OrderLines!$F$2:$F$925,"Dessert")&gt;0,"Dessert",""),IF(COUNTIFS(OrderLines!$A$2:$A$925,A221,OrderLines!$F$2:$F$925,"Hot Meal")&gt;0,"Hot Meal",""),IF(COUNTIFS(OrderLines!$A$2:$A$925,A221,OrderLines!$F$2:$F$925,"Snack")&gt;0,"Snack",""))</f>
        <v>Dessert + Hot Meal</v>
      </c>
    </row>
    <row r="222" spans="1:9">
      <c r="A222" t="str">
        <f>Orders!A222</f>
        <v>O00221</v>
      </c>
      <c r="B222" t="str">
        <f>Orders!C222</f>
        <v>Plant 2 Canteen</v>
      </c>
      <c r="C222" t="str">
        <f>Orders!F222</f>
        <v>Breakfast</v>
      </c>
      <c r="D222" t="str">
        <f>Orders!J222</f>
        <v>Single</v>
      </c>
      <c r="E222" s="24">
        <f>Orders!I222</f>
        <v>57.07</v>
      </c>
      <c r="F222" s="24">
        <f>SUMIF(OrderLines!$A$2:$A$925,A222,OrderLines!$L$2:$L$925)</f>
        <v>29.14</v>
      </c>
      <c r="G222" s="23">
        <f t="shared" si="8"/>
        <v>27.93</v>
      </c>
      <c r="H222" s="23">
        <f t="shared" si="9"/>
        <v>0.48939898370422286</v>
      </c>
      <c r="I222" t="str">
        <f>_xlfn.TEXTJOIN(" + ",TRUE,IF(COUNTIFS(OrderLines!$A$2:$A$925,A222,OrderLines!$F$2:$F$925,"Beverage")&gt;0,"Beverage",""),IF(COUNTIFS(OrderLines!$A$2:$A$925,A222,OrderLines!$F$2:$F$925,"Dessert")&gt;0,"Dessert",""),IF(COUNTIFS(OrderLines!$A$2:$A$925,A222,OrderLines!$F$2:$F$925,"Hot Meal")&gt;0,"Hot Meal",""),IF(COUNTIFS(OrderLines!$A$2:$A$925,A222,OrderLines!$F$2:$F$925,"Snack")&gt;0,"Snack",""))</f>
        <v>Dessert</v>
      </c>
    </row>
    <row r="223" spans="1:9">
      <c r="A223" t="str">
        <f>Orders!A223</f>
        <v>O00222</v>
      </c>
      <c r="B223" t="str">
        <f>Orders!C223</f>
        <v>Head Office Café</v>
      </c>
      <c r="C223" t="str">
        <f>Orders!F223</f>
        <v>Dinner</v>
      </c>
      <c r="D223" t="str">
        <f>Orders!J223</f>
        <v>Single</v>
      </c>
      <c r="E223" s="24">
        <f>Orders!I223</f>
        <v>297.38099999999997</v>
      </c>
      <c r="F223" s="24">
        <f>SUMIF(OrderLines!$A$2:$A$925,A223,OrderLines!$L$2:$L$925)</f>
        <v>125.72</v>
      </c>
      <c r="G223" s="23">
        <f t="shared" si="8"/>
        <v>171.66099999999997</v>
      </c>
      <c r="H223" s="23">
        <f t="shared" si="9"/>
        <v>0.57724266177059058</v>
      </c>
      <c r="I223" t="str">
        <f>_xlfn.TEXTJOIN(" + ",TRUE,IF(COUNTIFS(OrderLines!$A$2:$A$925,A223,OrderLines!$F$2:$F$925,"Beverage")&gt;0,"Beverage",""),IF(COUNTIFS(OrderLines!$A$2:$A$925,A223,OrderLines!$F$2:$F$925,"Dessert")&gt;0,"Dessert",""),IF(COUNTIFS(OrderLines!$A$2:$A$925,A223,OrderLines!$F$2:$F$925,"Hot Meal")&gt;0,"Hot Meal",""),IF(COUNTIFS(OrderLines!$A$2:$A$925,A223,OrderLines!$F$2:$F$925,"Snack")&gt;0,"Snack",""))</f>
        <v>Beverage + Dessert + Snack</v>
      </c>
    </row>
    <row r="224" spans="1:9">
      <c r="A224" t="str">
        <f>Orders!A224</f>
        <v>O00223</v>
      </c>
      <c r="B224" t="str">
        <f>Orders!C224</f>
        <v>Plant 2 Canteen</v>
      </c>
      <c r="C224" t="str">
        <f>Orders!F224</f>
        <v>Dinner</v>
      </c>
      <c r="D224" t="str">
        <f>Orders!J224</f>
        <v>Single</v>
      </c>
      <c r="E224" s="24">
        <f>Orders!I224</f>
        <v>178.08699999999999</v>
      </c>
      <c r="F224" s="24">
        <f>SUMIF(OrderLines!$A$2:$A$925,A224,OrderLines!$L$2:$L$925)</f>
        <v>81.06</v>
      </c>
      <c r="G224" s="23">
        <f t="shared" si="8"/>
        <v>97.026999999999987</v>
      </c>
      <c r="H224" s="23">
        <f t="shared" si="9"/>
        <v>0.54482921268818041</v>
      </c>
      <c r="I224" t="str">
        <f>_xlfn.TEXTJOIN(" + ",TRUE,IF(COUNTIFS(OrderLines!$A$2:$A$925,A224,OrderLines!$F$2:$F$925,"Beverage")&gt;0,"Beverage",""),IF(COUNTIFS(OrderLines!$A$2:$A$925,A224,OrderLines!$F$2:$F$925,"Dessert")&gt;0,"Dessert",""),IF(COUNTIFS(OrderLines!$A$2:$A$925,A224,OrderLines!$F$2:$F$925,"Hot Meal")&gt;0,"Hot Meal",""),IF(COUNTIFS(OrderLines!$A$2:$A$925,A224,OrderLines!$F$2:$F$925,"Snack")&gt;0,"Snack",""))</f>
        <v>Beverage + Dessert</v>
      </c>
    </row>
    <row r="225" spans="1:9">
      <c r="A225" t="str">
        <f>Orders!A225</f>
        <v>O00224</v>
      </c>
      <c r="B225" t="str">
        <f>Orders!C225</f>
        <v>Head Office Café</v>
      </c>
      <c r="C225" t="str">
        <f>Orders!F225</f>
        <v>Breakfast</v>
      </c>
      <c r="D225" t="str">
        <f>Orders!J225</f>
        <v>Single</v>
      </c>
      <c r="E225" s="24">
        <f>Orders!I225</f>
        <v>155.77650000000003</v>
      </c>
      <c r="F225" s="24">
        <f>SUMIF(OrderLines!$A$2:$A$925,A225,OrderLines!$L$2:$L$925)</f>
        <v>77.400000000000006</v>
      </c>
      <c r="G225" s="23">
        <f t="shared" si="8"/>
        <v>78.376500000000021</v>
      </c>
      <c r="H225" s="23">
        <f t="shared" si="9"/>
        <v>0.50313429817719624</v>
      </c>
      <c r="I225" t="str">
        <f>_xlfn.TEXTJOIN(" + ",TRUE,IF(COUNTIFS(OrderLines!$A$2:$A$925,A225,OrderLines!$F$2:$F$925,"Beverage")&gt;0,"Beverage",""),IF(COUNTIFS(OrderLines!$A$2:$A$925,A225,OrderLines!$F$2:$F$925,"Dessert")&gt;0,"Dessert",""),IF(COUNTIFS(OrderLines!$A$2:$A$925,A225,OrderLines!$F$2:$F$925,"Hot Meal")&gt;0,"Hot Meal",""),IF(COUNTIFS(OrderLines!$A$2:$A$925,A225,OrderLines!$F$2:$F$925,"Snack")&gt;0,"Snack",""))</f>
        <v>Snack</v>
      </c>
    </row>
    <row r="226" spans="1:9">
      <c r="A226" t="str">
        <f>Orders!A226</f>
        <v>O00225</v>
      </c>
      <c r="B226" t="str">
        <f>Orders!C226</f>
        <v>Plant 2 Canteen</v>
      </c>
      <c r="C226" t="str">
        <f>Orders!F226</f>
        <v>Breakfast</v>
      </c>
      <c r="D226" t="str">
        <f>Orders!J226</f>
        <v>Combo</v>
      </c>
      <c r="E226" s="24">
        <f>Orders!I226</f>
        <v>834.16470000000004</v>
      </c>
      <c r="F226" s="24">
        <f>SUMIF(OrderLines!$A$2:$A$925,A226,OrderLines!$L$2:$L$925)</f>
        <v>455.66999999999996</v>
      </c>
      <c r="G226" s="23">
        <f t="shared" si="8"/>
        <v>378.49470000000008</v>
      </c>
      <c r="H226" s="23">
        <f t="shared" si="9"/>
        <v>0.45374096985883011</v>
      </c>
      <c r="I226" t="str">
        <f>_xlfn.TEXTJOIN(" + ",TRUE,IF(COUNTIFS(OrderLines!$A$2:$A$925,A226,OrderLines!$F$2:$F$925,"Beverage")&gt;0,"Beverage",""),IF(COUNTIFS(OrderLines!$A$2:$A$925,A226,OrderLines!$F$2:$F$925,"Dessert")&gt;0,"Dessert",""),IF(COUNTIFS(OrderLines!$A$2:$A$925,A226,OrderLines!$F$2:$F$925,"Hot Meal")&gt;0,"Hot Meal",""),IF(COUNTIFS(OrderLines!$A$2:$A$925,A226,OrderLines!$F$2:$F$925,"Snack")&gt;0,"Snack",""))</f>
        <v>Beverage + Hot Meal + Snack</v>
      </c>
    </row>
    <row r="227" spans="1:9">
      <c r="A227" t="str">
        <f>Orders!A227</f>
        <v>O00226</v>
      </c>
      <c r="B227" t="str">
        <f>Orders!C227</f>
        <v>Head Office Café</v>
      </c>
      <c r="C227" t="str">
        <f>Orders!F227</f>
        <v>Dinner</v>
      </c>
      <c r="D227" t="str">
        <f>Orders!J227</f>
        <v>Combo</v>
      </c>
      <c r="E227" s="24">
        <f>Orders!I227</f>
        <v>329.84000000000003</v>
      </c>
      <c r="F227" s="24">
        <f>SUMIF(OrderLines!$A$2:$A$925,A227,OrderLines!$L$2:$L$925)</f>
        <v>171.56</v>
      </c>
      <c r="G227" s="23">
        <f t="shared" si="8"/>
        <v>158.28000000000003</v>
      </c>
      <c r="H227" s="23">
        <f t="shared" si="9"/>
        <v>0.47986902740722781</v>
      </c>
      <c r="I227" t="str">
        <f>_xlfn.TEXTJOIN(" + ",TRUE,IF(COUNTIFS(OrderLines!$A$2:$A$925,A227,OrderLines!$F$2:$F$925,"Beverage")&gt;0,"Beverage",""),IF(COUNTIFS(OrderLines!$A$2:$A$925,A227,OrderLines!$F$2:$F$925,"Dessert")&gt;0,"Dessert",""),IF(COUNTIFS(OrderLines!$A$2:$A$925,A227,OrderLines!$F$2:$F$925,"Hot Meal")&gt;0,"Hot Meal",""),IF(COUNTIFS(OrderLines!$A$2:$A$925,A227,OrderLines!$F$2:$F$925,"Snack")&gt;0,"Snack",""))</f>
        <v>Beverage + Dessert + Hot Meal</v>
      </c>
    </row>
    <row r="228" spans="1:9">
      <c r="A228" t="str">
        <f>Orders!A228</f>
        <v>O00227</v>
      </c>
      <c r="B228" t="str">
        <f>Orders!C228</f>
        <v>Plant 2 Canteen</v>
      </c>
      <c r="C228" t="str">
        <f>Orders!F228</f>
        <v>Dinner</v>
      </c>
      <c r="D228" t="str">
        <f>Orders!J228</f>
        <v>Single</v>
      </c>
      <c r="E228" s="24">
        <f>Orders!I228</f>
        <v>380.0256</v>
      </c>
      <c r="F228" s="24">
        <f>SUMIF(OrderLines!$A$2:$A$925,A228,OrderLines!$L$2:$L$925)</f>
        <v>170.08999999999997</v>
      </c>
      <c r="G228" s="23">
        <f t="shared" si="8"/>
        <v>209.93560000000002</v>
      </c>
      <c r="H228" s="23">
        <f t="shared" si="9"/>
        <v>0.55242488927061761</v>
      </c>
      <c r="I228" t="str">
        <f>_xlfn.TEXTJOIN(" + ",TRUE,IF(COUNTIFS(OrderLines!$A$2:$A$925,A228,OrderLines!$F$2:$F$925,"Beverage")&gt;0,"Beverage",""),IF(COUNTIFS(OrderLines!$A$2:$A$925,A228,OrderLines!$F$2:$F$925,"Dessert")&gt;0,"Dessert",""),IF(COUNTIFS(OrderLines!$A$2:$A$925,A228,OrderLines!$F$2:$F$925,"Hot Meal")&gt;0,"Hot Meal",""),IF(COUNTIFS(OrderLines!$A$2:$A$925,A228,OrderLines!$F$2:$F$925,"Snack")&gt;0,"Snack",""))</f>
        <v>Dessert + Hot Meal</v>
      </c>
    </row>
    <row r="229" spans="1:9">
      <c r="A229" t="str">
        <f>Orders!A229</f>
        <v>O00228</v>
      </c>
      <c r="B229" t="str">
        <f>Orders!C229</f>
        <v>Plant 1 Canteen</v>
      </c>
      <c r="C229" t="str">
        <f>Orders!F229</f>
        <v>Breakfast</v>
      </c>
      <c r="D229" t="str">
        <f>Orders!J229</f>
        <v>Single</v>
      </c>
      <c r="E229" s="24">
        <f>Orders!I229</f>
        <v>100.812</v>
      </c>
      <c r="F229" s="24">
        <f>SUMIF(OrderLines!$A$2:$A$925,A229,OrderLines!$L$2:$L$925)</f>
        <v>43.9</v>
      </c>
      <c r="G229" s="23">
        <f t="shared" si="8"/>
        <v>56.911999999999999</v>
      </c>
      <c r="H229" s="23">
        <f t="shared" si="9"/>
        <v>0.56453596794032457</v>
      </c>
      <c r="I229" t="str">
        <f>_xlfn.TEXTJOIN(" + ",TRUE,IF(COUNTIFS(OrderLines!$A$2:$A$925,A229,OrderLines!$F$2:$F$925,"Beverage")&gt;0,"Beverage",""),IF(COUNTIFS(OrderLines!$A$2:$A$925,A229,OrderLines!$F$2:$F$925,"Dessert")&gt;0,"Dessert",""),IF(COUNTIFS(OrderLines!$A$2:$A$925,A229,OrderLines!$F$2:$F$925,"Hot Meal")&gt;0,"Hot Meal",""),IF(COUNTIFS(OrderLines!$A$2:$A$925,A229,OrderLines!$F$2:$F$925,"Snack")&gt;0,"Snack",""))</f>
        <v>Dessert</v>
      </c>
    </row>
    <row r="230" spans="1:9">
      <c r="A230" t="str">
        <f>Orders!A230</f>
        <v>O00229</v>
      </c>
      <c r="B230" t="str">
        <f>Orders!C230</f>
        <v>Plant 1 Canteen</v>
      </c>
      <c r="C230" t="str">
        <f>Orders!F230</f>
        <v>Breakfast</v>
      </c>
      <c r="D230" t="str">
        <f>Orders!J230</f>
        <v>Single</v>
      </c>
      <c r="E230" s="24">
        <f>Orders!I230</f>
        <v>455.21519999999998</v>
      </c>
      <c r="F230" s="24">
        <f>SUMIF(OrderLines!$A$2:$A$925,A230,OrderLines!$L$2:$L$925)</f>
        <v>233.29000000000002</v>
      </c>
      <c r="G230" s="23">
        <f t="shared" si="8"/>
        <v>221.92519999999996</v>
      </c>
      <c r="H230" s="23">
        <f t="shared" si="9"/>
        <v>0.48751711278533749</v>
      </c>
      <c r="I230" t="str">
        <f>_xlfn.TEXTJOIN(" + ",TRUE,IF(COUNTIFS(OrderLines!$A$2:$A$925,A230,OrderLines!$F$2:$F$925,"Beverage")&gt;0,"Beverage",""),IF(COUNTIFS(OrderLines!$A$2:$A$925,A230,OrderLines!$F$2:$F$925,"Dessert")&gt;0,"Dessert",""),IF(COUNTIFS(OrderLines!$A$2:$A$925,A230,OrderLines!$F$2:$F$925,"Hot Meal")&gt;0,"Hot Meal",""),IF(COUNTIFS(OrderLines!$A$2:$A$925,A230,OrderLines!$F$2:$F$925,"Snack")&gt;0,"Snack",""))</f>
        <v>Dessert + Hot Meal + Snack</v>
      </c>
    </row>
    <row r="231" spans="1:9">
      <c r="A231" t="str">
        <f>Orders!A231</f>
        <v>O00230</v>
      </c>
      <c r="B231" t="str">
        <f>Orders!C231</f>
        <v>Plant 2 Canteen</v>
      </c>
      <c r="C231" t="str">
        <f>Orders!F231</f>
        <v>Dinner</v>
      </c>
      <c r="D231" t="str">
        <f>Orders!J231</f>
        <v>Combo</v>
      </c>
      <c r="E231" s="24">
        <f>Orders!I231</f>
        <v>199.26000000000002</v>
      </c>
      <c r="F231" s="24">
        <f>SUMIF(OrderLines!$A$2:$A$925,A231,OrderLines!$L$2:$L$925)</f>
        <v>87.96</v>
      </c>
      <c r="G231" s="23">
        <f t="shared" si="8"/>
        <v>111.30000000000003</v>
      </c>
      <c r="H231" s="23">
        <f t="shared" si="9"/>
        <v>0.55856669677807902</v>
      </c>
      <c r="I231" t="str">
        <f>_xlfn.TEXTJOIN(" + ",TRUE,IF(COUNTIFS(OrderLines!$A$2:$A$925,A231,OrderLines!$F$2:$F$925,"Beverage")&gt;0,"Beverage",""),IF(COUNTIFS(OrderLines!$A$2:$A$925,A231,OrderLines!$F$2:$F$925,"Dessert")&gt;0,"Dessert",""),IF(COUNTIFS(OrderLines!$A$2:$A$925,A231,OrderLines!$F$2:$F$925,"Hot Meal")&gt;0,"Hot Meal",""),IF(COUNTIFS(OrderLines!$A$2:$A$925,A231,OrderLines!$F$2:$F$925,"Snack")&gt;0,"Snack",""))</f>
        <v>Beverage + Hot Meal</v>
      </c>
    </row>
    <row r="232" spans="1:9">
      <c r="A232" t="str">
        <f>Orders!A232</f>
        <v>O00231</v>
      </c>
      <c r="B232" t="str">
        <f>Orders!C232</f>
        <v>Plant 1 Canteen</v>
      </c>
      <c r="C232" t="str">
        <f>Orders!F232</f>
        <v>Dinner</v>
      </c>
      <c r="D232" t="str">
        <f>Orders!J232</f>
        <v>Single</v>
      </c>
      <c r="E232" s="24">
        <f>Orders!I232</f>
        <v>460.40589999999997</v>
      </c>
      <c r="F232" s="24">
        <f>SUMIF(OrderLines!$A$2:$A$925,A232,OrderLines!$L$2:$L$925)</f>
        <v>238.94</v>
      </c>
      <c r="G232" s="23">
        <f t="shared" si="8"/>
        <v>221.46589999999998</v>
      </c>
      <c r="H232" s="23">
        <f t="shared" si="9"/>
        <v>0.48102315804380436</v>
      </c>
      <c r="I232" t="str">
        <f>_xlfn.TEXTJOIN(" + ",TRUE,IF(COUNTIFS(OrderLines!$A$2:$A$925,A232,OrderLines!$F$2:$F$925,"Beverage")&gt;0,"Beverage",""),IF(COUNTIFS(OrderLines!$A$2:$A$925,A232,OrderLines!$F$2:$F$925,"Dessert")&gt;0,"Dessert",""),IF(COUNTIFS(OrderLines!$A$2:$A$925,A232,OrderLines!$F$2:$F$925,"Hot Meal")&gt;0,"Hot Meal",""),IF(COUNTIFS(OrderLines!$A$2:$A$925,A232,OrderLines!$F$2:$F$925,"Snack")&gt;0,"Snack",""))</f>
        <v>Beverage + Dessert + Snack</v>
      </c>
    </row>
    <row r="233" spans="1:9">
      <c r="A233" t="str">
        <f>Orders!A233</f>
        <v>O00232</v>
      </c>
      <c r="B233" t="str">
        <f>Orders!C233</f>
        <v>Head Office Café</v>
      </c>
      <c r="C233" t="str">
        <f>Orders!F233</f>
        <v>Breakfast</v>
      </c>
      <c r="D233" t="str">
        <f>Orders!J233</f>
        <v>Combo</v>
      </c>
      <c r="E233" s="24">
        <f>Orders!I233</f>
        <v>483.5172</v>
      </c>
      <c r="F233" s="24">
        <f>SUMIF(OrderLines!$A$2:$A$925,A233,OrderLines!$L$2:$L$925)</f>
        <v>233.54</v>
      </c>
      <c r="G233" s="23">
        <f t="shared" si="8"/>
        <v>249.97720000000001</v>
      </c>
      <c r="H233" s="23">
        <f t="shared" si="9"/>
        <v>0.51699753390365433</v>
      </c>
      <c r="I233" t="str">
        <f>_xlfn.TEXTJOIN(" + ",TRUE,IF(COUNTIFS(OrderLines!$A$2:$A$925,A233,OrderLines!$F$2:$F$925,"Beverage")&gt;0,"Beverage",""),IF(COUNTIFS(OrderLines!$A$2:$A$925,A233,OrderLines!$F$2:$F$925,"Dessert")&gt;0,"Dessert",""),IF(COUNTIFS(OrderLines!$A$2:$A$925,A233,OrderLines!$F$2:$F$925,"Hot Meal")&gt;0,"Hot Meal",""),IF(COUNTIFS(OrderLines!$A$2:$A$925,A233,OrderLines!$F$2:$F$925,"Snack")&gt;0,"Snack",""))</f>
        <v>Beverage + Hot Meal</v>
      </c>
    </row>
    <row r="234" spans="1:9">
      <c r="A234" t="str">
        <f>Orders!A234</f>
        <v>O00233</v>
      </c>
      <c r="B234" t="str">
        <f>Orders!C234</f>
        <v>Plant 2 Canteen</v>
      </c>
      <c r="C234" t="str">
        <f>Orders!F234</f>
        <v>Lunch</v>
      </c>
      <c r="D234" t="str">
        <f>Orders!J234</f>
        <v>Single</v>
      </c>
      <c r="E234" s="24">
        <f>Orders!I234</f>
        <v>128.10560000000001</v>
      </c>
      <c r="F234" s="24">
        <f>SUMIF(OrderLines!$A$2:$A$925,A234,OrderLines!$L$2:$L$925)</f>
        <v>59.4</v>
      </c>
      <c r="G234" s="23">
        <f t="shared" si="8"/>
        <v>68.705600000000004</v>
      </c>
      <c r="H234" s="23">
        <f t="shared" si="9"/>
        <v>0.53632003597032452</v>
      </c>
      <c r="I234" t="str">
        <f>_xlfn.TEXTJOIN(" + ",TRUE,IF(COUNTIFS(OrderLines!$A$2:$A$925,A234,OrderLines!$F$2:$F$925,"Beverage")&gt;0,"Beverage",""),IF(COUNTIFS(OrderLines!$A$2:$A$925,A234,OrderLines!$F$2:$F$925,"Dessert")&gt;0,"Dessert",""),IF(COUNTIFS(OrderLines!$A$2:$A$925,A234,OrderLines!$F$2:$F$925,"Hot Meal")&gt;0,"Hot Meal",""),IF(COUNTIFS(OrderLines!$A$2:$A$925,A234,OrderLines!$F$2:$F$925,"Snack")&gt;0,"Snack",""))</f>
        <v>Beverage + Snack</v>
      </c>
    </row>
    <row r="235" spans="1:9">
      <c r="A235" t="str">
        <f>Orders!A235</f>
        <v>O00234</v>
      </c>
      <c r="B235" t="str">
        <f>Orders!C235</f>
        <v>Head Office Café</v>
      </c>
      <c r="C235" t="str">
        <f>Orders!F235</f>
        <v>Breakfast</v>
      </c>
      <c r="D235" t="str">
        <f>Orders!J235</f>
        <v>Single</v>
      </c>
      <c r="E235" s="24">
        <f>Orders!I235</f>
        <v>36.754000000000005</v>
      </c>
      <c r="F235" s="24">
        <f>SUMIF(OrderLines!$A$2:$A$925,A235,OrderLines!$L$2:$L$925)</f>
        <v>15.51</v>
      </c>
      <c r="G235" s="23">
        <f t="shared" si="8"/>
        <v>21.244000000000007</v>
      </c>
      <c r="H235" s="23">
        <f t="shared" si="9"/>
        <v>0.57800511508951413</v>
      </c>
      <c r="I235" t="str">
        <f>_xlfn.TEXTJOIN(" + ",TRUE,IF(COUNTIFS(OrderLines!$A$2:$A$925,A235,OrderLines!$F$2:$F$925,"Beverage")&gt;0,"Beverage",""),IF(COUNTIFS(OrderLines!$A$2:$A$925,A235,OrderLines!$F$2:$F$925,"Dessert")&gt;0,"Dessert",""),IF(COUNTIFS(OrderLines!$A$2:$A$925,A235,OrderLines!$F$2:$F$925,"Hot Meal")&gt;0,"Hot Meal",""),IF(COUNTIFS(OrderLines!$A$2:$A$925,A235,OrderLines!$F$2:$F$925,"Snack")&gt;0,"Snack",""))</f>
        <v>Snack</v>
      </c>
    </row>
    <row r="236" spans="1:9">
      <c r="A236" t="str">
        <f>Orders!A236</f>
        <v>O00235</v>
      </c>
      <c r="B236" t="str">
        <f>Orders!C236</f>
        <v>Plant 2 Canteen</v>
      </c>
      <c r="C236" t="str">
        <f>Orders!F236</f>
        <v>Dinner</v>
      </c>
      <c r="D236" t="str">
        <f>Orders!J236</f>
        <v>Single</v>
      </c>
      <c r="E236" s="24">
        <f>Orders!I236</f>
        <v>136.15199999999999</v>
      </c>
      <c r="F236" s="24">
        <f>SUMIF(OrderLines!$A$2:$A$925,A236,OrderLines!$L$2:$L$925)</f>
        <v>80.92</v>
      </c>
      <c r="G236" s="23">
        <f t="shared" si="8"/>
        <v>55.231999999999985</v>
      </c>
      <c r="H236" s="23">
        <f t="shared" si="9"/>
        <v>0.40566425759445318</v>
      </c>
      <c r="I236" t="str">
        <f>_xlfn.TEXTJOIN(" + ",TRUE,IF(COUNTIFS(OrderLines!$A$2:$A$925,A236,OrderLines!$F$2:$F$925,"Beverage")&gt;0,"Beverage",""),IF(COUNTIFS(OrderLines!$A$2:$A$925,A236,OrderLines!$F$2:$F$925,"Dessert")&gt;0,"Dessert",""),IF(COUNTIFS(OrderLines!$A$2:$A$925,A236,OrderLines!$F$2:$F$925,"Hot Meal")&gt;0,"Hot Meal",""),IF(COUNTIFS(OrderLines!$A$2:$A$925,A236,OrderLines!$F$2:$F$925,"Snack")&gt;0,"Snack",""))</f>
        <v>Hot Meal</v>
      </c>
    </row>
    <row r="237" spans="1:9">
      <c r="A237" t="str">
        <f>Orders!A237</f>
        <v>O00236</v>
      </c>
      <c r="B237" t="str">
        <f>Orders!C237</f>
        <v>Plant 2 Canteen</v>
      </c>
      <c r="C237" t="str">
        <f>Orders!F237</f>
        <v>Breakfast</v>
      </c>
      <c r="D237" t="str">
        <f>Orders!J237</f>
        <v>Single</v>
      </c>
      <c r="E237" s="24">
        <f>Orders!I237</f>
        <v>190.22399999999999</v>
      </c>
      <c r="F237" s="24">
        <f>SUMIF(OrderLines!$A$2:$A$925,A237,OrderLines!$L$2:$L$925)</f>
        <v>100.76</v>
      </c>
      <c r="G237" s="23">
        <f t="shared" si="8"/>
        <v>89.463999999999984</v>
      </c>
      <c r="H237" s="23">
        <f t="shared" si="9"/>
        <v>0.47030868870384385</v>
      </c>
      <c r="I237" t="str">
        <f>_xlfn.TEXTJOIN(" + ",TRUE,IF(COUNTIFS(OrderLines!$A$2:$A$925,A237,OrderLines!$F$2:$F$925,"Beverage")&gt;0,"Beverage",""),IF(COUNTIFS(OrderLines!$A$2:$A$925,A237,OrderLines!$F$2:$F$925,"Dessert")&gt;0,"Dessert",""),IF(COUNTIFS(OrderLines!$A$2:$A$925,A237,OrderLines!$F$2:$F$925,"Hot Meal")&gt;0,"Hot Meal",""),IF(COUNTIFS(OrderLines!$A$2:$A$925,A237,OrderLines!$F$2:$F$925,"Snack")&gt;0,"Snack",""))</f>
        <v>Dessert + Snack</v>
      </c>
    </row>
    <row r="238" spans="1:9">
      <c r="A238" t="str">
        <f>Orders!A238</f>
        <v>O00237</v>
      </c>
      <c r="B238" t="str">
        <f>Orders!C238</f>
        <v>Head Office Café</v>
      </c>
      <c r="C238" t="str">
        <f>Orders!F238</f>
        <v>Dinner</v>
      </c>
      <c r="D238" t="str">
        <f>Orders!J238</f>
        <v>Single</v>
      </c>
      <c r="E238" s="24">
        <f>Orders!I238</f>
        <v>75.105999999999995</v>
      </c>
      <c r="F238" s="24">
        <f>SUMIF(OrderLines!$A$2:$A$925,A238,OrderLines!$L$2:$L$925)</f>
        <v>31.02</v>
      </c>
      <c r="G238" s="23">
        <f t="shared" si="8"/>
        <v>44.085999999999999</v>
      </c>
      <c r="H238" s="23">
        <f t="shared" si="9"/>
        <v>0.58698372966207757</v>
      </c>
      <c r="I238" t="str">
        <f>_xlfn.TEXTJOIN(" + ",TRUE,IF(COUNTIFS(OrderLines!$A$2:$A$925,A238,OrderLines!$F$2:$F$925,"Beverage")&gt;0,"Beverage",""),IF(COUNTIFS(OrderLines!$A$2:$A$925,A238,OrderLines!$F$2:$F$925,"Dessert")&gt;0,"Dessert",""),IF(COUNTIFS(OrderLines!$A$2:$A$925,A238,OrderLines!$F$2:$F$925,"Hot Meal")&gt;0,"Hot Meal",""),IF(COUNTIFS(OrderLines!$A$2:$A$925,A238,OrderLines!$F$2:$F$925,"Snack")&gt;0,"Snack",""))</f>
        <v>Snack</v>
      </c>
    </row>
    <row r="239" spans="1:9">
      <c r="A239" t="str">
        <f>Orders!A239</f>
        <v>O00238</v>
      </c>
      <c r="B239" t="str">
        <f>Orders!C239</f>
        <v>Head Office Café</v>
      </c>
      <c r="C239" t="str">
        <f>Orders!F239</f>
        <v>Lunch</v>
      </c>
      <c r="D239" t="str">
        <f>Orders!J239</f>
        <v>Single</v>
      </c>
      <c r="E239" s="24">
        <f>Orders!I239</f>
        <v>358.31040000000002</v>
      </c>
      <c r="F239" s="24">
        <f>SUMIF(OrderLines!$A$2:$A$925,A239,OrderLines!$L$2:$L$925)</f>
        <v>185.23999999999998</v>
      </c>
      <c r="G239" s="23">
        <f t="shared" si="8"/>
        <v>173.07040000000003</v>
      </c>
      <c r="H239" s="23">
        <f t="shared" si="9"/>
        <v>0.48301807594755841</v>
      </c>
      <c r="I239" t="str">
        <f>_xlfn.TEXTJOIN(" + ",TRUE,IF(COUNTIFS(OrderLines!$A$2:$A$925,A239,OrderLines!$F$2:$F$925,"Beverage")&gt;0,"Beverage",""),IF(COUNTIFS(OrderLines!$A$2:$A$925,A239,OrderLines!$F$2:$F$925,"Dessert")&gt;0,"Dessert",""),IF(COUNTIFS(OrderLines!$A$2:$A$925,A239,OrderLines!$F$2:$F$925,"Hot Meal")&gt;0,"Hot Meal",""),IF(COUNTIFS(OrderLines!$A$2:$A$925,A239,OrderLines!$F$2:$F$925,"Snack")&gt;0,"Snack",""))</f>
        <v>Beverage + Dessert + Snack</v>
      </c>
    </row>
    <row r="240" spans="1:9">
      <c r="A240" t="str">
        <f>Orders!A240</f>
        <v>O00239</v>
      </c>
      <c r="B240" t="str">
        <f>Orders!C240</f>
        <v>Head Office Café</v>
      </c>
      <c r="C240" t="str">
        <f>Orders!F240</f>
        <v>Dinner</v>
      </c>
      <c r="D240" t="str">
        <f>Orders!J240</f>
        <v>Combo</v>
      </c>
      <c r="E240" s="24">
        <f>Orders!I240</f>
        <v>403.89919999999995</v>
      </c>
      <c r="F240" s="24">
        <f>SUMIF(OrderLines!$A$2:$A$925,A240,OrderLines!$L$2:$L$925)</f>
        <v>224.07</v>
      </c>
      <c r="G240" s="23">
        <f t="shared" si="8"/>
        <v>179.82919999999996</v>
      </c>
      <c r="H240" s="23">
        <f t="shared" si="9"/>
        <v>0.44523286998340172</v>
      </c>
      <c r="I240" t="str">
        <f>_xlfn.TEXTJOIN(" + ",TRUE,IF(COUNTIFS(OrderLines!$A$2:$A$925,A240,OrderLines!$F$2:$F$925,"Beverage")&gt;0,"Beverage",""),IF(COUNTIFS(OrderLines!$A$2:$A$925,A240,OrderLines!$F$2:$F$925,"Dessert")&gt;0,"Dessert",""),IF(COUNTIFS(OrderLines!$A$2:$A$925,A240,OrderLines!$F$2:$F$925,"Hot Meal")&gt;0,"Hot Meal",""),IF(COUNTIFS(OrderLines!$A$2:$A$925,A240,OrderLines!$F$2:$F$925,"Snack")&gt;0,"Snack",""))</f>
        <v>Beverage + Dessert + Hot Meal</v>
      </c>
    </row>
    <row r="241" spans="1:9">
      <c r="A241" t="str">
        <f>Orders!A241</f>
        <v>O00240</v>
      </c>
      <c r="B241" t="str">
        <f>Orders!C241</f>
        <v>Plant 2 Canteen</v>
      </c>
      <c r="C241" t="str">
        <f>Orders!F241</f>
        <v>Dinner</v>
      </c>
      <c r="D241" t="str">
        <f>Orders!J241</f>
        <v>Single</v>
      </c>
      <c r="E241" s="24">
        <f>Orders!I241</f>
        <v>1180.0425</v>
      </c>
      <c r="F241" s="24">
        <f>SUMIF(OrderLines!$A$2:$A$925,A241,OrderLines!$L$2:$L$925)</f>
        <v>612.74</v>
      </c>
      <c r="G241" s="23">
        <f t="shared" si="8"/>
        <v>567.30250000000001</v>
      </c>
      <c r="H241" s="23">
        <f t="shared" si="9"/>
        <v>0.48074751544965544</v>
      </c>
      <c r="I241" t="str">
        <f>_xlfn.TEXTJOIN(" + ",TRUE,IF(COUNTIFS(OrderLines!$A$2:$A$925,A241,OrderLines!$F$2:$F$925,"Beverage")&gt;0,"Beverage",""),IF(COUNTIFS(OrderLines!$A$2:$A$925,A241,OrderLines!$F$2:$F$925,"Dessert")&gt;0,"Dessert",""),IF(COUNTIFS(OrderLines!$A$2:$A$925,A241,OrderLines!$F$2:$F$925,"Hot Meal")&gt;0,"Hot Meal",""),IF(COUNTIFS(OrderLines!$A$2:$A$925,A241,OrderLines!$F$2:$F$925,"Snack")&gt;0,"Snack",""))</f>
        <v>Dessert + Hot Meal + Snack</v>
      </c>
    </row>
    <row r="242" spans="1:9">
      <c r="A242" t="str">
        <f>Orders!A242</f>
        <v>O00241</v>
      </c>
      <c r="B242" t="str">
        <f>Orders!C242</f>
        <v>Head Office Café</v>
      </c>
      <c r="C242" t="str">
        <f>Orders!F242</f>
        <v>Breakfast</v>
      </c>
      <c r="D242" t="str">
        <f>Orders!J242</f>
        <v>Single</v>
      </c>
      <c r="E242" s="24">
        <f>Orders!I242</f>
        <v>129.48319999999998</v>
      </c>
      <c r="F242" s="24">
        <f>SUMIF(OrderLines!$A$2:$A$925,A242,OrderLines!$L$2:$L$925)</f>
        <v>63.15</v>
      </c>
      <c r="G242" s="23">
        <f t="shared" si="8"/>
        <v>66.333199999999977</v>
      </c>
      <c r="H242" s="23">
        <f t="shared" si="9"/>
        <v>0.51229194212067652</v>
      </c>
      <c r="I242" t="str">
        <f>_xlfn.TEXTJOIN(" + ",TRUE,IF(COUNTIFS(OrderLines!$A$2:$A$925,A242,OrderLines!$F$2:$F$925,"Beverage")&gt;0,"Beverage",""),IF(COUNTIFS(OrderLines!$A$2:$A$925,A242,OrderLines!$F$2:$F$925,"Dessert")&gt;0,"Dessert",""),IF(COUNTIFS(OrderLines!$A$2:$A$925,A242,OrderLines!$F$2:$F$925,"Hot Meal")&gt;0,"Hot Meal",""),IF(COUNTIFS(OrderLines!$A$2:$A$925,A242,OrderLines!$F$2:$F$925,"Snack")&gt;0,"Snack",""))</f>
        <v>Beverage + Dessert</v>
      </c>
    </row>
    <row r="243" spans="1:9">
      <c r="A243" t="str">
        <f>Orders!A243</f>
        <v>O00242</v>
      </c>
      <c r="B243" t="str">
        <f>Orders!C243</f>
        <v>Head Office Café</v>
      </c>
      <c r="C243" t="str">
        <f>Orders!F243</f>
        <v>Breakfast</v>
      </c>
      <c r="D243" t="str">
        <f>Orders!J243</f>
        <v>Single</v>
      </c>
      <c r="E243" s="24">
        <f>Orders!I243</f>
        <v>1112.7204000000002</v>
      </c>
      <c r="F243" s="24">
        <f>SUMIF(OrderLines!$A$2:$A$925,A243,OrderLines!$L$2:$L$925)</f>
        <v>517.20999999999992</v>
      </c>
      <c r="G243" s="23">
        <f t="shared" si="8"/>
        <v>595.51040000000023</v>
      </c>
      <c r="H243" s="23">
        <f t="shared" si="9"/>
        <v>0.53518422058227755</v>
      </c>
      <c r="I243" t="str">
        <f>_xlfn.TEXTJOIN(" + ",TRUE,IF(COUNTIFS(OrderLines!$A$2:$A$925,A243,OrderLines!$F$2:$F$925,"Beverage")&gt;0,"Beverage",""),IF(COUNTIFS(OrderLines!$A$2:$A$925,A243,OrderLines!$F$2:$F$925,"Dessert")&gt;0,"Dessert",""),IF(COUNTIFS(OrderLines!$A$2:$A$925,A243,OrderLines!$F$2:$F$925,"Hot Meal")&gt;0,"Hot Meal",""),IF(COUNTIFS(OrderLines!$A$2:$A$925,A243,OrderLines!$F$2:$F$925,"Snack")&gt;0,"Snack",""))</f>
        <v>Hot Meal + Snack</v>
      </c>
    </row>
    <row r="244" spans="1:9">
      <c r="A244" t="str">
        <f>Orders!A244</f>
        <v>O00243</v>
      </c>
      <c r="B244" t="str">
        <f>Orders!C244</f>
        <v>Plant 2 Canteen</v>
      </c>
      <c r="C244" t="str">
        <f>Orders!F244</f>
        <v>Breakfast</v>
      </c>
      <c r="D244" t="str">
        <f>Orders!J244</f>
        <v>Single</v>
      </c>
      <c r="E244" s="24">
        <f>Orders!I244</f>
        <v>196.29899999999998</v>
      </c>
      <c r="F244" s="24">
        <f>SUMIF(OrderLines!$A$2:$A$925,A244,OrderLines!$L$2:$L$925)</f>
        <v>107.25</v>
      </c>
      <c r="G244" s="23">
        <f t="shared" si="8"/>
        <v>89.048999999999978</v>
      </c>
      <c r="H244" s="23">
        <f t="shared" si="9"/>
        <v>0.45363960081304533</v>
      </c>
      <c r="I244" t="str">
        <f>_xlfn.TEXTJOIN(" + ",TRUE,IF(COUNTIFS(OrderLines!$A$2:$A$925,A244,OrderLines!$F$2:$F$925,"Beverage")&gt;0,"Beverage",""),IF(COUNTIFS(OrderLines!$A$2:$A$925,A244,OrderLines!$F$2:$F$925,"Dessert")&gt;0,"Dessert",""),IF(COUNTIFS(OrderLines!$A$2:$A$925,A244,OrderLines!$F$2:$F$925,"Hot Meal")&gt;0,"Hot Meal",""),IF(COUNTIFS(OrderLines!$A$2:$A$925,A244,OrderLines!$F$2:$F$925,"Snack")&gt;0,"Snack",""))</f>
        <v>Dessert</v>
      </c>
    </row>
    <row r="245" spans="1:9">
      <c r="A245" t="str">
        <f>Orders!A245</f>
        <v>O00244</v>
      </c>
      <c r="B245" t="str">
        <f>Orders!C245</f>
        <v>Plant 2 Canteen</v>
      </c>
      <c r="C245" t="str">
        <f>Orders!F245</f>
        <v>Breakfast</v>
      </c>
      <c r="D245" t="str">
        <f>Orders!J245</f>
        <v>Combo</v>
      </c>
      <c r="E245" s="24">
        <f>Orders!I245</f>
        <v>420.02000000000004</v>
      </c>
      <c r="F245" s="24">
        <f>SUMIF(OrderLines!$A$2:$A$925,A245,OrderLines!$L$2:$L$925)</f>
        <v>176.55</v>
      </c>
      <c r="G245" s="23">
        <f t="shared" si="8"/>
        <v>243.47000000000003</v>
      </c>
      <c r="H245" s="23">
        <f t="shared" si="9"/>
        <v>0.57966287319651444</v>
      </c>
      <c r="I245" t="str">
        <f>_xlfn.TEXTJOIN(" + ",TRUE,IF(COUNTIFS(OrderLines!$A$2:$A$925,A245,OrderLines!$F$2:$F$925,"Beverage")&gt;0,"Beverage",""),IF(COUNTIFS(OrderLines!$A$2:$A$925,A245,OrderLines!$F$2:$F$925,"Dessert")&gt;0,"Dessert",""),IF(COUNTIFS(OrderLines!$A$2:$A$925,A245,OrderLines!$F$2:$F$925,"Hot Meal")&gt;0,"Hot Meal",""),IF(COUNTIFS(OrderLines!$A$2:$A$925,A245,OrderLines!$F$2:$F$925,"Snack")&gt;0,"Snack",""))</f>
        <v>Beverage + Hot Meal + Snack</v>
      </c>
    </row>
    <row r="246" spans="1:9">
      <c r="A246" t="str">
        <f>Orders!A246</f>
        <v>O00245</v>
      </c>
      <c r="B246" t="str">
        <f>Orders!C246</f>
        <v>Plant 2 Canteen</v>
      </c>
      <c r="C246" t="str">
        <f>Orders!F246</f>
        <v>Lunch</v>
      </c>
      <c r="D246" t="str">
        <f>Orders!J246</f>
        <v>Single</v>
      </c>
      <c r="E246" s="24">
        <f>Orders!I246</f>
        <v>591.89749999999992</v>
      </c>
      <c r="F246" s="24">
        <f>SUMIF(OrderLines!$A$2:$A$925,A246,OrderLines!$L$2:$L$925)</f>
        <v>306.47000000000003</v>
      </c>
      <c r="G246" s="23">
        <f t="shared" si="8"/>
        <v>285.4274999999999</v>
      </c>
      <c r="H246" s="23">
        <f t="shared" si="9"/>
        <v>0.48222454056656755</v>
      </c>
      <c r="I246" t="str">
        <f>_xlfn.TEXTJOIN(" + ",TRUE,IF(COUNTIFS(OrderLines!$A$2:$A$925,A246,OrderLines!$F$2:$F$925,"Beverage")&gt;0,"Beverage",""),IF(COUNTIFS(OrderLines!$A$2:$A$925,A246,OrderLines!$F$2:$F$925,"Dessert")&gt;0,"Dessert",""),IF(COUNTIFS(OrderLines!$A$2:$A$925,A246,OrderLines!$F$2:$F$925,"Hot Meal")&gt;0,"Hot Meal",""),IF(COUNTIFS(OrderLines!$A$2:$A$925,A246,OrderLines!$F$2:$F$925,"Snack")&gt;0,"Snack",""))</f>
        <v>Hot Meal + Snack</v>
      </c>
    </row>
    <row r="247" spans="1:9">
      <c r="A247" t="str">
        <f>Orders!A247</f>
        <v>O00246</v>
      </c>
      <c r="B247" t="str">
        <f>Orders!C247</f>
        <v>Plant 1 Canteen</v>
      </c>
      <c r="C247" t="str">
        <f>Orders!F247</f>
        <v>Lunch</v>
      </c>
      <c r="D247" t="str">
        <f>Orders!J247</f>
        <v>Single</v>
      </c>
      <c r="E247" s="24">
        <f>Orders!I247</f>
        <v>194.69040000000001</v>
      </c>
      <c r="F247" s="24">
        <f>SUMIF(OrderLines!$A$2:$A$925,A247,OrderLines!$L$2:$L$925)</f>
        <v>107.43</v>
      </c>
      <c r="G247" s="23">
        <f t="shared" si="8"/>
        <v>87.260400000000004</v>
      </c>
      <c r="H247" s="23">
        <f t="shared" si="9"/>
        <v>0.44820083578851344</v>
      </c>
      <c r="I247" t="str">
        <f>_xlfn.TEXTJOIN(" + ",TRUE,IF(COUNTIFS(OrderLines!$A$2:$A$925,A247,OrderLines!$F$2:$F$925,"Beverage")&gt;0,"Beverage",""),IF(COUNTIFS(OrderLines!$A$2:$A$925,A247,OrderLines!$F$2:$F$925,"Dessert")&gt;0,"Dessert",""),IF(COUNTIFS(OrderLines!$A$2:$A$925,A247,OrderLines!$F$2:$F$925,"Hot Meal")&gt;0,"Hot Meal",""),IF(COUNTIFS(OrderLines!$A$2:$A$925,A247,OrderLines!$F$2:$F$925,"Snack")&gt;0,"Snack",""))</f>
        <v>Snack</v>
      </c>
    </row>
    <row r="248" spans="1:9">
      <c r="A248" t="str">
        <f>Orders!A248</f>
        <v>O00247</v>
      </c>
      <c r="B248" t="str">
        <f>Orders!C248</f>
        <v>Plant 1 Canteen</v>
      </c>
      <c r="C248" t="str">
        <f>Orders!F248</f>
        <v>Breakfast</v>
      </c>
      <c r="D248" t="str">
        <f>Orders!J248</f>
        <v>Single</v>
      </c>
      <c r="E248" s="24">
        <f>Orders!I248</f>
        <v>775.47119999999995</v>
      </c>
      <c r="F248" s="24">
        <f>SUMIF(OrderLines!$A$2:$A$925,A248,OrderLines!$L$2:$L$925)</f>
        <v>372.29999999999995</v>
      </c>
      <c r="G248" s="23">
        <f t="shared" si="8"/>
        <v>403.1712</v>
      </c>
      <c r="H248" s="23">
        <f t="shared" si="9"/>
        <v>0.51990480110673354</v>
      </c>
      <c r="I248" t="str">
        <f>_xlfn.TEXTJOIN(" + ",TRUE,IF(COUNTIFS(OrderLines!$A$2:$A$925,A248,OrderLines!$F$2:$F$925,"Beverage")&gt;0,"Beverage",""),IF(COUNTIFS(OrderLines!$A$2:$A$925,A248,OrderLines!$F$2:$F$925,"Dessert")&gt;0,"Dessert",""),IF(COUNTIFS(OrderLines!$A$2:$A$925,A248,OrderLines!$F$2:$F$925,"Hot Meal")&gt;0,"Hot Meal",""),IF(COUNTIFS(OrderLines!$A$2:$A$925,A248,OrderLines!$F$2:$F$925,"Snack")&gt;0,"Snack",""))</f>
        <v>Hot Meal</v>
      </c>
    </row>
    <row r="249" spans="1:9">
      <c r="A249" t="str">
        <f>Orders!A249</f>
        <v>O00248</v>
      </c>
      <c r="B249" t="str">
        <f>Orders!C249</f>
        <v>Plant 1 Canteen</v>
      </c>
      <c r="C249" t="str">
        <f>Orders!F249</f>
        <v>Breakfast</v>
      </c>
      <c r="D249" t="str">
        <f>Orders!J249</f>
        <v>Single</v>
      </c>
      <c r="E249" s="24">
        <f>Orders!I249</f>
        <v>274.59839999999997</v>
      </c>
      <c r="F249" s="24">
        <f>SUMIF(OrderLines!$A$2:$A$925,A249,OrderLines!$L$2:$L$925)</f>
        <v>127.59</v>
      </c>
      <c r="G249" s="23">
        <f t="shared" si="8"/>
        <v>147.00839999999997</v>
      </c>
      <c r="H249" s="23">
        <f t="shared" si="9"/>
        <v>0.53535781708851904</v>
      </c>
      <c r="I249" t="str">
        <f>_xlfn.TEXTJOIN(" + ",TRUE,IF(COUNTIFS(OrderLines!$A$2:$A$925,A249,OrderLines!$F$2:$F$925,"Beverage")&gt;0,"Beverage",""),IF(COUNTIFS(OrderLines!$A$2:$A$925,A249,OrderLines!$F$2:$F$925,"Dessert")&gt;0,"Dessert",""),IF(COUNTIFS(OrderLines!$A$2:$A$925,A249,OrderLines!$F$2:$F$925,"Hot Meal")&gt;0,"Hot Meal",""),IF(COUNTIFS(OrderLines!$A$2:$A$925,A249,OrderLines!$F$2:$F$925,"Snack")&gt;0,"Snack",""))</f>
        <v>Hot Meal + Snack</v>
      </c>
    </row>
    <row r="250" spans="1:9">
      <c r="A250" t="str">
        <f>Orders!A250</f>
        <v>O00249</v>
      </c>
      <c r="B250" t="str">
        <f>Orders!C250</f>
        <v>Plant 2 Canteen</v>
      </c>
      <c r="C250" t="str">
        <f>Orders!F250</f>
        <v>Dinner</v>
      </c>
      <c r="D250" t="str">
        <f>Orders!J250</f>
        <v>Single</v>
      </c>
      <c r="E250" s="24">
        <f>Orders!I250</f>
        <v>612.57899999999995</v>
      </c>
      <c r="F250" s="24">
        <f>SUMIF(OrderLines!$A$2:$A$925,A250,OrderLines!$L$2:$L$925)</f>
        <v>289.35999999999996</v>
      </c>
      <c r="G250" s="23">
        <f t="shared" si="8"/>
        <v>323.21899999999999</v>
      </c>
      <c r="H250" s="23">
        <f t="shared" si="9"/>
        <v>0.5276364354638341</v>
      </c>
      <c r="I250" t="str">
        <f>_xlfn.TEXTJOIN(" + ",TRUE,IF(COUNTIFS(OrderLines!$A$2:$A$925,A250,OrderLines!$F$2:$F$925,"Beverage")&gt;0,"Beverage",""),IF(COUNTIFS(OrderLines!$A$2:$A$925,A250,OrderLines!$F$2:$F$925,"Dessert")&gt;0,"Dessert",""),IF(COUNTIFS(OrderLines!$A$2:$A$925,A250,OrderLines!$F$2:$F$925,"Hot Meal")&gt;0,"Hot Meal",""),IF(COUNTIFS(OrderLines!$A$2:$A$925,A250,OrderLines!$F$2:$F$925,"Snack")&gt;0,"Snack",""))</f>
        <v>Dessert + Hot Meal</v>
      </c>
    </row>
    <row r="251" spans="1:9">
      <c r="A251" t="str">
        <f>Orders!A251</f>
        <v>O00250</v>
      </c>
      <c r="B251" t="str">
        <f>Orders!C251</f>
        <v>Head Office Café</v>
      </c>
      <c r="C251" t="str">
        <f>Orders!F251</f>
        <v>Lunch</v>
      </c>
      <c r="D251" t="str">
        <f>Orders!J251</f>
        <v>Combo</v>
      </c>
      <c r="E251" s="24">
        <f>Orders!I251</f>
        <v>1076.9951999999998</v>
      </c>
      <c r="F251" s="24">
        <f>SUMIF(OrderLines!$A$2:$A$925,A251,OrderLines!$L$2:$L$925)</f>
        <v>498.88</v>
      </c>
      <c r="G251" s="23">
        <f t="shared" si="8"/>
        <v>578.11519999999985</v>
      </c>
      <c r="H251" s="23">
        <f t="shared" si="9"/>
        <v>0.53678530786395329</v>
      </c>
      <c r="I251" t="str">
        <f>_xlfn.TEXTJOIN(" + ",TRUE,IF(COUNTIFS(OrderLines!$A$2:$A$925,A251,OrderLines!$F$2:$F$925,"Beverage")&gt;0,"Beverage",""),IF(COUNTIFS(OrderLines!$A$2:$A$925,A251,OrderLines!$F$2:$F$925,"Dessert")&gt;0,"Dessert",""),IF(COUNTIFS(OrderLines!$A$2:$A$925,A251,OrderLines!$F$2:$F$925,"Hot Meal")&gt;0,"Hot Meal",""),IF(COUNTIFS(OrderLines!$A$2:$A$925,A251,OrderLines!$F$2:$F$925,"Snack")&gt;0,"Snack",""))</f>
        <v>Beverage + Dessert + Hot Meal</v>
      </c>
    </row>
    <row r="252" spans="1:9">
      <c r="A252" t="str">
        <f>Orders!A252</f>
        <v>O00251</v>
      </c>
      <c r="B252" t="str">
        <f>Orders!C252</f>
        <v>Head Office Café</v>
      </c>
      <c r="C252" t="str">
        <f>Orders!F252</f>
        <v>Breakfast</v>
      </c>
      <c r="D252" t="str">
        <f>Orders!J252</f>
        <v>Single</v>
      </c>
      <c r="E252" s="24">
        <f>Orders!I252</f>
        <v>1478.0544</v>
      </c>
      <c r="F252" s="24">
        <f>SUMIF(OrderLines!$A$2:$A$925,A252,OrderLines!$L$2:$L$925)</f>
        <v>715.59</v>
      </c>
      <c r="G252" s="23">
        <f t="shared" si="8"/>
        <v>762.46439999999996</v>
      </c>
      <c r="H252" s="23">
        <f t="shared" si="9"/>
        <v>0.51585679119794237</v>
      </c>
      <c r="I252" t="str">
        <f>_xlfn.TEXTJOIN(" + ",TRUE,IF(COUNTIFS(OrderLines!$A$2:$A$925,A252,OrderLines!$F$2:$F$925,"Beverage")&gt;0,"Beverage",""),IF(COUNTIFS(OrderLines!$A$2:$A$925,A252,OrderLines!$F$2:$F$925,"Dessert")&gt;0,"Dessert",""),IF(COUNTIFS(OrderLines!$A$2:$A$925,A252,OrderLines!$F$2:$F$925,"Hot Meal")&gt;0,"Hot Meal",""),IF(COUNTIFS(OrderLines!$A$2:$A$925,A252,OrderLines!$F$2:$F$925,"Snack")&gt;0,"Snack",""))</f>
        <v>Hot Meal + Snack</v>
      </c>
    </row>
    <row r="253" spans="1:9">
      <c r="A253" t="str">
        <f>Orders!A253</f>
        <v>O00252</v>
      </c>
      <c r="B253" t="str">
        <f>Orders!C253</f>
        <v>Head Office Café</v>
      </c>
      <c r="C253" t="str">
        <f>Orders!F253</f>
        <v>Breakfast</v>
      </c>
      <c r="D253" t="str">
        <f>Orders!J253</f>
        <v>Single</v>
      </c>
      <c r="E253" s="24">
        <f>Orders!I253</f>
        <v>924.43260000000009</v>
      </c>
      <c r="F253" s="24">
        <f>SUMIF(OrderLines!$A$2:$A$925,A253,OrderLines!$L$2:$L$925)</f>
        <v>449</v>
      </c>
      <c r="G253" s="23">
        <f t="shared" si="8"/>
        <v>475.43260000000009</v>
      </c>
      <c r="H253" s="23">
        <f t="shared" si="9"/>
        <v>0.51429666154136067</v>
      </c>
      <c r="I253" t="str">
        <f>_xlfn.TEXTJOIN(" + ",TRUE,IF(COUNTIFS(OrderLines!$A$2:$A$925,A253,OrderLines!$F$2:$F$925,"Beverage")&gt;0,"Beverage",""),IF(COUNTIFS(OrderLines!$A$2:$A$925,A253,OrderLines!$F$2:$F$925,"Dessert")&gt;0,"Dessert",""),IF(COUNTIFS(OrderLines!$A$2:$A$925,A253,OrderLines!$F$2:$F$925,"Hot Meal")&gt;0,"Hot Meal",""),IF(COUNTIFS(OrderLines!$A$2:$A$925,A253,OrderLines!$F$2:$F$925,"Snack")&gt;0,"Snack",""))</f>
        <v>Hot Meal + Snack</v>
      </c>
    </row>
    <row r="254" spans="1:9">
      <c r="A254" t="str">
        <f>Orders!A254</f>
        <v>O00253</v>
      </c>
      <c r="B254" t="str">
        <f>Orders!C254</f>
        <v>Plant 1 Canteen</v>
      </c>
      <c r="C254" t="str">
        <f>Orders!F254</f>
        <v>Breakfast</v>
      </c>
      <c r="D254" t="str">
        <f>Orders!J254</f>
        <v>Single</v>
      </c>
      <c r="E254" s="24">
        <f>Orders!I254</f>
        <v>260.45580000000001</v>
      </c>
      <c r="F254" s="24">
        <f>SUMIF(OrderLines!$A$2:$A$925,A254,OrderLines!$L$2:$L$925)</f>
        <v>122.02</v>
      </c>
      <c r="G254" s="23">
        <f t="shared" si="8"/>
        <v>138.43580000000003</v>
      </c>
      <c r="H254" s="23">
        <f t="shared" si="9"/>
        <v>0.53151360038824258</v>
      </c>
      <c r="I254" t="str">
        <f>_xlfn.TEXTJOIN(" + ",TRUE,IF(COUNTIFS(OrderLines!$A$2:$A$925,A254,OrderLines!$F$2:$F$925,"Beverage")&gt;0,"Beverage",""),IF(COUNTIFS(OrderLines!$A$2:$A$925,A254,OrderLines!$F$2:$F$925,"Dessert")&gt;0,"Dessert",""),IF(COUNTIFS(OrderLines!$A$2:$A$925,A254,OrderLines!$F$2:$F$925,"Hot Meal")&gt;0,"Hot Meal",""),IF(COUNTIFS(OrderLines!$A$2:$A$925,A254,OrderLines!$F$2:$F$925,"Snack")&gt;0,"Snack",""))</f>
        <v>Hot Meal + Snack</v>
      </c>
    </row>
    <row r="255" spans="1:9">
      <c r="A255" t="str">
        <f>Orders!A255</f>
        <v>O00254</v>
      </c>
      <c r="B255" t="str">
        <f>Orders!C255</f>
        <v>Plant 2 Canteen</v>
      </c>
      <c r="C255" t="str">
        <f>Orders!F255</f>
        <v>Breakfast</v>
      </c>
      <c r="D255" t="str">
        <f>Orders!J255</f>
        <v>Combo</v>
      </c>
      <c r="E255" s="24">
        <f>Orders!I255</f>
        <v>474.53370000000001</v>
      </c>
      <c r="F255" s="24">
        <f>SUMIF(OrderLines!$A$2:$A$925,A255,OrderLines!$L$2:$L$925)</f>
        <v>225.7</v>
      </c>
      <c r="G255" s="23">
        <f t="shared" si="8"/>
        <v>248.83370000000002</v>
      </c>
      <c r="H255" s="23">
        <f t="shared" si="9"/>
        <v>0.52437519189891046</v>
      </c>
      <c r="I255" t="str">
        <f>_xlfn.TEXTJOIN(" + ",TRUE,IF(COUNTIFS(OrderLines!$A$2:$A$925,A255,OrderLines!$F$2:$F$925,"Beverage")&gt;0,"Beverage",""),IF(COUNTIFS(OrderLines!$A$2:$A$925,A255,OrderLines!$F$2:$F$925,"Dessert")&gt;0,"Dessert",""),IF(COUNTIFS(OrderLines!$A$2:$A$925,A255,OrderLines!$F$2:$F$925,"Hot Meal")&gt;0,"Hot Meal",""),IF(COUNTIFS(OrderLines!$A$2:$A$925,A255,OrderLines!$F$2:$F$925,"Snack")&gt;0,"Snack",""))</f>
        <v>Beverage + Hot Meal + Snack</v>
      </c>
    </row>
    <row r="256" spans="1:9">
      <c r="A256" t="str">
        <f>Orders!A256</f>
        <v>O00255</v>
      </c>
      <c r="B256" t="str">
        <f>Orders!C256</f>
        <v>Head Office Café</v>
      </c>
      <c r="C256" t="str">
        <f>Orders!F256</f>
        <v>Dinner</v>
      </c>
      <c r="D256" t="str">
        <f>Orders!J256</f>
        <v>Single</v>
      </c>
      <c r="E256" s="24">
        <f>Orders!I256</f>
        <v>507.97800000000007</v>
      </c>
      <c r="F256" s="24">
        <f>SUMIF(OrderLines!$A$2:$A$925,A256,OrderLines!$L$2:$L$925)</f>
        <v>248.48</v>
      </c>
      <c r="G256" s="23">
        <f t="shared" si="8"/>
        <v>259.49800000000005</v>
      </c>
      <c r="H256" s="23">
        <f t="shared" si="9"/>
        <v>0.5108449578525055</v>
      </c>
      <c r="I256" t="str">
        <f>_xlfn.TEXTJOIN(" + ",TRUE,IF(COUNTIFS(OrderLines!$A$2:$A$925,A256,OrderLines!$F$2:$F$925,"Beverage")&gt;0,"Beverage",""),IF(COUNTIFS(OrderLines!$A$2:$A$925,A256,OrderLines!$F$2:$F$925,"Dessert")&gt;0,"Dessert",""),IF(COUNTIFS(OrderLines!$A$2:$A$925,A256,OrderLines!$F$2:$F$925,"Hot Meal")&gt;0,"Hot Meal",""),IF(COUNTIFS(OrderLines!$A$2:$A$925,A256,OrderLines!$F$2:$F$925,"Snack")&gt;0,"Snack",""))</f>
        <v>Hot Meal + Snack</v>
      </c>
    </row>
    <row r="257" spans="1:9">
      <c r="A257" t="str">
        <f>Orders!A257</f>
        <v>O00256</v>
      </c>
      <c r="B257" t="str">
        <f>Orders!C257</f>
        <v>Head Office Café</v>
      </c>
      <c r="C257" t="str">
        <f>Orders!F257</f>
        <v>Dinner</v>
      </c>
      <c r="D257" t="str">
        <f>Orders!J257</f>
        <v>Combo</v>
      </c>
      <c r="E257" s="24">
        <f>Orders!I257</f>
        <v>341.72849999999994</v>
      </c>
      <c r="F257" s="24">
        <f>SUMIF(OrderLines!$A$2:$A$925,A257,OrderLines!$L$2:$L$925)</f>
        <v>197.02</v>
      </c>
      <c r="G257" s="23">
        <f t="shared" si="8"/>
        <v>144.70849999999993</v>
      </c>
      <c r="H257" s="23">
        <f t="shared" si="9"/>
        <v>0.423460437159909</v>
      </c>
      <c r="I257" t="str">
        <f>_xlfn.TEXTJOIN(" + ",TRUE,IF(COUNTIFS(OrderLines!$A$2:$A$925,A257,OrderLines!$F$2:$F$925,"Beverage")&gt;0,"Beverage",""),IF(COUNTIFS(OrderLines!$A$2:$A$925,A257,OrderLines!$F$2:$F$925,"Dessert")&gt;0,"Dessert",""),IF(COUNTIFS(OrderLines!$A$2:$A$925,A257,OrderLines!$F$2:$F$925,"Hot Meal")&gt;0,"Hot Meal",""),IF(COUNTIFS(OrderLines!$A$2:$A$925,A257,OrderLines!$F$2:$F$925,"Snack")&gt;0,"Snack",""))</f>
        <v>Beverage + Hot Meal + Snack</v>
      </c>
    </row>
    <row r="258" spans="1:9">
      <c r="A258" t="str">
        <f>Orders!A258</f>
        <v>O00257</v>
      </c>
      <c r="B258" t="str">
        <f>Orders!C258</f>
        <v>Plant 1 Canteen</v>
      </c>
      <c r="C258" t="str">
        <f>Orders!F258</f>
        <v>Breakfast</v>
      </c>
      <c r="D258" t="str">
        <f>Orders!J258</f>
        <v>Single</v>
      </c>
      <c r="E258" s="24">
        <f>Orders!I258</f>
        <v>158.21260000000001</v>
      </c>
      <c r="F258" s="24">
        <f>SUMIF(OrderLines!$A$2:$A$925,A258,OrderLines!$L$2:$L$925)</f>
        <v>79.89</v>
      </c>
      <c r="G258" s="23">
        <f t="shared" si="8"/>
        <v>78.322600000000008</v>
      </c>
      <c r="H258" s="23">
        <f t="shared" si="9"/>
        <v>0.49504653864483616</v>
      </c>
      <c r="I258" t="str">
        <f>_xlfn.TEXTJOIN(" + ",TRUE,IF(COUNTIFS(OrderLines!$A$2:$A$925,A258,OrderLines!$F$2:$F$925,"Beverage")&gt;0,"Beverage",""),IF(COUNTIFS(OrderLines!$A$2:$A$925,A258,OrderLines!$F$2:$F$925,"Dessert")&gt;0,"Dessert",""),IF(COUNTIFS(OrderLines!$A$2:$A$925,A258,OrderLines!$F$2:$F$925,"Hot Meal")&gt;0,"Hot Meal",""),IF(COUNTIFS(OrderLines!$A$2:$A$925,A258,OrderLines!$F$2:$F$925,"Snack")&gt;0,"Snack",""))</f>
        <v>Beverage + Dessert + Snack</v>
      </c>
    </row>
    <row r="259" spans="1:9">
      <c r="A259" t="str">
        <f>Orders!A259</f>
        <v>O00258</v>
      </c>
      <c r="B259" t="str">
        <f>Orders!C259</f>
        <v>Plant 2 Canteen</v>
      </c>
      <c r="C259" t="str">
        <f>Orders!F259</f>
        <v>Breakfast</v>
      </c>
      <c r="D259" t="str">
        <f>Orders!J259</f>
        <v>Combo</v>
      </c>
      <c r="E259" s="24">
        <f>Orders!I259</f>
        <v>544.91710000000012</v>
      </c>
      <c r="F259" s="24">
        <f>SUMIF(OrderLines!$A$2:$A$925,A259,OrderLines!$L$2:$L$925)</f>
        <v>306.84000000000003</v>
      </c>
      <c r="G259" s="23">
        <f t="shared" si="8"/>
        <v>238.07710000000009</v>
      </c>
      <c r="H259" s="23">
        <f t="shared" si="9"/>
        <v>0.43690517328232137</v>
      </c>
      <c r="I259" t="str">
        <f>_xlfn.TEXTJOIN(" + ",TRUE,IF(COUNTIFS(OrderLines!$A$2:$A$925,A259,OrderLines!$F$2:$F$925,"Beverage")&gt;0,"Beverage",""),IF(COUNTIFS(OrderLines!$A$2:$A$925,A259,OrderLines!$F$2:$F$925,"Dessert")&gt;0,"Dessert",""),IF(COUNTIFS(OrderLines!$A$2:$A$925,A259,OrderLines!$F$2:$F$925,"Hot Meal")&gt;0,"Hot Meal",""),IF(COUNTIFS(OrderLines!$A$2:$A$925,A259,OrderLines!$F$2:$F$925,"Snack")&gt;0,"Snack",""))</f>
        <v>Beverage + Hot Meal + Snack</v>
      </c>
    </row>
    <row r="260" spans="1:9">
      <c r="A260" t="str">
        <f>Orders!A260</f>
        <v>O00259</v>
      </c>
      <c r="B260" t="str">
        <f>Orders!C260</f>
        <v>Head Office Café</v>
      </c>
      <c r="C260" t="str">
        <f>Orders!F260</f>
        <v>Breakfast</v>
      </c>
      <c r="D260" t="str">
        <f>Orders!J260</f>
        <v>Single</v>
      </c>
      <c r="E260" s="24">
        <f>Orders!I260</f>
        <v>375.55489999999998</v>
      </c>
      <c r="F260" s="24">
        <f>SUMIF(OrderLines!$A$2:$A$925,A260,OrderLines!$L$2:$L$925)</f>
        <v>183.7</v>
      </c>
      <c r="G260" s="23">
        <f t="shared" si="8"/>
        <v>191.85489999999999</v>
      </c>
      <c r="H260" s="23">
        <f t="shared" si="9"/>
        <v>0.51085713433641788</v>
      </c>
      <c r="I260" t="str">
        <f>_xlfn.TEXTJOIN(" + ",TRUE,IF(COUNTIFS(OrderLines!$A$2:$A$925,A260,OrderLines!$F$2:$F$925,"Beverage")&gt;0,"Beverage",""),IF(COUNTIFS(OrderLines!$A$2:$A$925,A260,OrderLines!$F$2:$F$925,"Dessert")&gt;0,"Dessert",""),IF(COUNTIFS(OrderLines!$A$2:$A$925,A260,OrderLines!$F$2:$F$925,"Hot Meal")&gt;0,"Hot Meal",""),IF(COUNTIFS(OrderLines!$A$2:$A$925,A260,OrderLines!$F$2:$F$925,"Snack")&gt;0,"Snack",""))</f>
        <v>Hot Meal + Snack</v>
      </c>
    </row>
    <row r="261" spans="1:9">
      <c r="A261" t="str">
        <f>Orders!A261</f>
        <v>O00260</v>
      </c>
      <c r="B261" t="str">
        <f>Orders!C261</f>
        <v>Plant 1 Canteen</v>
      </c>
      <c r="C261" t="str">
        <f>Orders!F261</f>
        <v>Breakfast</v>
      </c>
      <c r="D261" t="str">
        <f>Orders!J261</f>
        <v>Single</v>
      </c>
      <c r="E261" s="24">
        <f>Orders!I261</f>
        <v>499.59360000000004</v>
      </c>
      <c r="F261" s="24">
        <f>SUMIF(OrderLines!$A$2:$A$925,A261,OrderLines!$L$2:$L$925)</f>
        <v>258.06</v>
      </c>
      <c r="G261" s="23">
        <f t="shared" si="8"/>
        <v>241.53360000000004</v>
      </c>
      <c r="H261" s="23">
        <f t="shared" si="9"/>
        <v>0.48346015641513423</v>
      </c>
      <c r="I261" t="str">
        <f>_xlfn.TEXTJOIN(" + ",TRUE,IF(COUNTIFS(OrderLines!$A$2:$A$925,A261,OrderLines!$F$2:$F$925,"Beverage")&gt;0,"Beverage",""),IF(COUNTIFS(OrderLines!$A$2:$A$925,A261,OrderLines!$F$2:$F$925,"Dessert")&gt;0,"Dessert",""),IF(COUNTIFS(OrderLines!$A$2:$A$925,A261,OrderLines!$F$2:$F$925,"Hot Meal")&gt;0,"Hot Meal",""),IF(COUNTIFS(OrderLines!$A$2:$A$925,A261,OrderLines!$F$2:$F$925,"Snack")&gt;0,"Snack",""))</f>
        <v>Hot Meal</v>
      </c>
    </row>
    <row r="262" spans="1:9">
      <c r="A262" t="str">
        <f>Orders!A262</f>
        <v>O00261</v>
      </c>
      <c r="B262" t="str">
        <f>Orders!C262</f>
        <v>Plant 2 Canteen</v>
      </c>
      <c r="C262" t="str">
        <f>Orders!F262</f>
        <v>Dinner</v>
      </c>
      <c r="D262" t="str">
        <f>Orders!J262</f>
        <v>Combo</v>
      </c>
      <c r="E262" s="24">
        <f>Orders!I262</f>
        <v>232.69610000000003</v>
      </c>
      <c r="F262" s="24">
        <f>SUMIF(OrderLines!$A$2:$A$925,A262,OrderLines!$L$2:$L$925)</f>
        <v>134.5</v>
      </c>
      <c r="G262" s="23">
        <f t="shared" si="8"/>
        <v>98.19610000000003</v>
      </c>
      <c r="H262" s="23">
        <f t="shared" si="9"/>
        <v>0.42199289115717892</v>
      </c>
      <c r="I262" t="str">
        <f>_xlfn.TEXTJOIN(" + ",TRUE,IF(COUNTIFS(OrderLines!$A$2:$A$925,A262,OrderLines!$F$2:$F$925,"Beverage")&gt;0,"Beverage",""),IF(COUNTIFS(OrderLines!$A$2:$A$925,A262,OrderLines!$F$2:$F$925,"Dessert")&gt;0,"Dessert",""),IF(COUNTIFS(OrderLines!$A$2:$A$925,A262,OrderLines!$F$2:$F$925,"Hot Meal")&gt;0,"Hot Meal",""),IF(COUNTIFS(OrderLines!$A$2:$A$925,A262,OrderLines!$F$2:$F$925,"Snack")&gt;0,"Snack",""))</f>
        <v>Beverage + Hot Meal + Snack</v>
      </c>
    </row>
    <row r="263" spans="1:9">
      <c r="A263" t="str">
        <f>Orders!A263</f>
        <v>O00262</v>
      </c>
      <c r="B263" t="str">
        <f>Orders!C263</f>
        <v>Plant 2 Canteen</v>
      </c>
      <c r="C263" t="str">
        <f>Orders!F263</f>
        <v>Breakfast</v>
      </c>
      <c r="D263" t="str">
        <f>Orders!J263</f>
        <v>Single</v>
      </c>
      <c r="E263" s="24">
        <f>Orders!I263</f>
        <v>663.43040000000008</v>
      </c>
      <c r="F263" s="24">
        <f>SUMIF(OrderLines!$A$2:$A$925,A263,OrderLines!$L$2:$L$925)</f>
        <v>340.89</v>
      </c>
      <c r="G263" s="23">
        <f t="shared" si="8"/>
        <v>322.54040000000009</v>
      </c>
      <c r="H263" s="23">
        <f t="shared" si="9"/>
        <v>0.48617066688532823</v>
      </c>
      <c r="I263" t="str">
        <f>_xlfn.TEXTJOIN(" + ",TRUE,IF(COUNTIFS(OrderLines!$A$2:$A$925,A263,OrderLines!$F$2:$F$925,"Beverage")&gt;0,"Beverage",""),IF(COUNTIFS(OrderLines!$A$2:$A$925,A263,OrderLines!$F$2:$F$925,"Dessert")&gt;0,"Dessert",""),IF(COUNTIFS(OrderLines!$A$2:$A$925,A263,OrderLines!$F$2:$F$925,"Hot Meal")&gt;0,"Hot Meal",""),IF(COUNTIFS(OrderLines!$A$2:$A$925,A263,OrderLines!$F$2:$F$925,"Snack")&gt;0,"Snack",""))</f>
        <v>Dessert + Hot Meal</v>
      </c>
    </row>
    <row r="264" spans="1:9">
      <c r="A264" t="str">
        <f>Orders!A264</f>
        <v>O00263</v>
      </c>
      <c r="B264" t="str">
        <f>Orders!C264</f>
        <v>Plant 1 Canteen</v>
      </c>
      <c r="C264" t="str">
        <f>Orders!F264</f>
        <v>Breakfast</v>
      </c>
      <c r="D264" t="str">
        <f>Orders!J264</f>
        <v>Single</v>
      </c>
      <c r="E264" s="24">
        <f>Orders!I264</f>
        <v>385.40940000000001</v>
      </c>
      <c r="F264" s="24">
        <f>SUMIF(OrderLines!$A$2:$A$925,A264,OrderLines!$L$2:$L$925)</f>
        <v>197.7</v>
      </c>
      <c r="G264" s="23">
        <f t="shared" si="8"/>
        <v>187.70940000000002</v>
      </c>
      <c r="H264" s="23">
        <f t="shared" si="9"/>
        <v>0.48703897725379819</v>
      </c>
      <c r="I264" t="str">
        <f>_xlfn.TEXTJOIN(" + ",TRUE,IF(COUNTIFS(OrderLines!$A$2:$A$925,A264,OrderLines!$F$2:$F$925,"Beverage")&gt;0,"Beverage",""),IF(COUNTIFS(OrderLines!$A$2:$A$925,A264,OrderLines!$F$2:$F$925,"Dessert")&gt;0,"Dessert",""),IF(COUNTIFS(OrderLines!$A$2:$A$925,A264,OrderLines!$F$2:$F$925,"Hot Meal")&gt;0,"Hot Meal",""),IF(COUNTIFS(OrderLines!$A$2:$A$925,A264,OrderLines!$F$2:$F$925,"Snack")&gt;0,"Snack",""))</f>
        <v>Dessert + Hot Meal</v>
      </c>
    </row>
    <row r="265" spans="1:9">
      <c r="A265" t="str">
        <f>Orders!A265</f>
        <v>O00264</v>
      </c>
      <c r="B265" t="str">
        <f>Orders!C265</f>
        <v>Plant 2 Canteen</v>
      </c>
      <c r="C265" t="str">
        <f>Orders!F265</f>
        <v>Breakfast</v>
      </c>
      <c r="D265" t="str">
        <f>Orders!J265</f>
        <v>Single</v>
      </c>
      <c r="E265" s="24">
        <f>Orders!I265</f>
        <v>500.01419999999996</v>
      </c>
      <c r="F265" s="24">
        <f>SUMIF(OrderLines!$A$2:$A$925,A265,OrderLines!$L$2:$L$925)</f>
        <v>237.26</v>
      </c>
      <c r="G265" s="23">
        <f t="shared" si="8"/>
        <v>262.75419999999997</v>
      </c>
      <c r="H265" s="23">
        <f t="shared" si="9"/>
        <v>0.52549347598528195</v>
      </c>
      <c r="I265" t="str">
        <f>_xlfn.TEXTJOIN(" + ",TRUE,IF(COUNTIFS(OrderLines!$A$2:$A$925,A265,OrderLines!$F$2:$F$925,"Beverage")&gt;0,"Beverage",""),IF(COUNTIFS(OrderLines!$A$2:$A$925,A265,OrderLines!$F$2:$F$925,"Dessert")&gt;0,"Dessert",""),IF(COUNTIFS(OrderLines!$A$2:$A$925,A265,OrderLines!$F$2:$F$925,"Hot Meal")&gt;0,"Hot Meal",""),IF(COUNTIFS(OrderLines!$A$2:$A$925,A265,OrderLines!$F$2:$F$925,"Snack")&gt;0,"Snack",""))</f>
        <v>Beverage + Dessert</v>
      </c>
    </row>
    <row r="266" spans="1:9">
      <c r="A266" t="str">
        <f>Orders!A266</f>
        <v>O00265</v>
      </c>
      <c r="B266" t="str">
        <f>Orders!C266</f>
        <v>Head Office Café</v>
      </c>
      <c r="C266" t="str">
        <f>Orders!F266</f>
        <v>Breakfast</v>
      </c>
      <c r="D266" t="str">
        <f>Orders!J266</f>
        <v>Combo</v>
      </c>
      <c r="E266" s="24">
        <f>Orders!I266</f>
        <v>527.84120000000007</v>
      </c>
      <c r="F266" s="24">
        <f>SUMIF(OrderLines!$A$2:$A$925,A266,OrderLines!$L$2:$L$925)</f>
        <v>268.52</v>
      </c>
      <c r="G266" s="23">
        <f t="shared" si="8"/>
        <v>259.32120000000009</v>
      </c>
      <c r="H266" s="23">
        <f t="shared" si="9"/>
        <v>0.49128639446863953</v>
      </c>
      <c r="I266" t="str">
        <f>_xlfn.TEXTJOIN(" + ",TRUE,IF(COUNTIFS(OrderLines!$A$2:$A$925,A266,OrderLines!$F$2:$F$925,"Beverage")&gt;0,"Beverage",""),IF(COUNTIFS(OrderLines!$A$2:$A$925,A266,OrderLines!$F$2:$F$925,"Dessert")&gt;0,"Dessert",""),IF(COUNTIFS(OrderLines!$A$2:$A$925,A266,OrderLines!$F$2:$F$925,"Hot Meal")&gt;0,"Hot Meal",""),IF(COUNTIFS(OrderLines!$A$2:$A$925,A266,OrderLines!$F$2:$F$925,"Snack")&gt;0,"Snack",""))</f>
        <v>Beverage + Hot Meal</v>
      </c>
    </row>
    <row r="267" spans="1:9">
      <c r="A267" t="str">
        <f>Orders!A267</f>
        <v>O00266</v>
      </c>
      <c r="B267" t="str">
        <f>Orders!C267</f>
        <v>Head Office Café</v>
      </c>
      <c r="C267" t="str">
        <f>Orders!F267</f>
        <v>Breakfast</v>
      </c>
      <c r="D267" t="str">
        <f>Orders!J267</f>
        <v>Single</v>
      </c>
      <c r="E267" s="24">
        <f>Orders!I267</f>
        <v>442.76160000000004</v>
      </c>
      <c r="F267" s="24">
        <f>SUMIF(OrderLines!$A$2:$A$925,A267,OrderLines!$L$2:$L$925)</f>
        <v>194.16</v>
      </c>
      <c r="G267" s="23">
        <f t="shared" si="8"/>
        <v>248.60160000000005</v>
      </c>
      <c r="H267" s="23">
        <f t="shared" si="9"/>
        <v>0.56147958630558747</v>
      </c>
      <c r="I267" t="str">
        <f>_xlfn.TEXTJOIN(" + ",TRUE,IF(COUNTIFS(OrderLines!$A$2:$A$925,A267,OrderLines!$F$2:$F$925,"Beverage")&gt;0,"Beverage",""),IF(COUNTIFS(OrderLines!$A$2:$A$925,A267,OrderLines!$F$2:$F$925,"Dessert")&gt;0,"Dessert",""),IF(COUNTIFS(OrderLines!$A$2:$A$925,A267,OrderLines!$F$2:$F$925,"Hot Meal")&gt;0,"Hot Meal",""),IF(COUNTIFS(OrderLines!$A$2:$A$925,A267,OrderLines!$F$2:$F$925,"Snack")&gt;0,"Snack",""))</f>
        <v>Dessert + Hot Meal</v>
      </c>
    </row>
    <row r="268" spans="1:9">
      <c r="A268" t="str">
        <f>Orders!A268</f>
        <v>O00267</v>
      </c>
      <c r="B268" t="str">
        <f>Orders!C268</f>
        <v>Plant 2 Canteen</v>
      </c>
      <c r="C268" t="str">
        <f>Orders!F268</f>
        <v>Breakfast</v>
      </c>
      <c r="D268" t="str">
        <f>Orders!J268</f>
        <v>Combo</v>
      </c>
      <c r="E268" s="24">
        <f>Orders!I268</f>
        <v>532.77200000000005</v>
      </c>
      <c r="F268" s="24">
        <f>SUMIF(OrderLines!$A$2:$A$925,A268,OrderLines!$L$2:$L$925)</f>
        <v>257.97000000000003</v>
      </c>
      <c r="G268" s="23">
        <f t="shared" si="8"/>
        <v>274.80200000000002</v>
      </c>
      <c r="H268" s="23">
        <f t="shared" si="9"/>
        <v>0.51579662594881115</v>
      </c>
      <c r="I268" t="str">
        <f>_xlfn.TEXTJOIN(" + ",TRUE,IF(COUNTIFS(OrderLines!$A$2:$A$925,A268,OrderLines!$F$2:$F$925,"Beverage")&gt;0,"Beverage",""),IF(COUNTIFS(OrderLines!$A$2:$A$925,A268,OrderLines!$F$2:$F$925,"Dessert")&gt;0,"Dessert",""),IF(COUNTIFS(OrderLines!$A$2:$A$925,A268,OrderLines!$F$2:$F$925,"Hot Meal")&gt;0,"Hot Meal",""),IF(COUNTIFS(OrderLines!$A$2:$A$925,A268,OrderLines!$F$2:$F$925,"Snack")&gt;0,"Snack",""))</f>
        <v>Beverage + Hot Meal</v>
      </c>
    </row>
    <row r="269" spans="1:9">
      <c r="A269" t="str">
        <f>Orders!A269</f>
        <v>O00268</v>
      </c>
      <c r="B269" t="str">
        <f>Orders!C269</f>
        <v>Head Office Café</v>
      </c>
      <c r="C269" t="str">
        <f>Orders!F269</f>
        <v>Breakfast</v>
      </c>
      <c r="D269" t="str">
        <f>Orders!J269</f>
        <v>Single</v>
      </c>
      <c r="E269" s="24">
        <f>Orders!I269</f>
        <v>942.52350000000001</v>
      </c>
      <c r="F269" s="24">
        <f>SUMIF(OrderLines!$A$2:$A$925,A269,OrderLines!$L$2:$L$925)</f>
        <v>473.75</v>
      </c>
      <c r="G269" s="23">
        <f t="shared" si="8"/>
        <v>468.77350000000001</v>
      </c>
      <c r="H269" s="23">
        <f t="shared" si="9"/>
        <v>0.49736001277421732</v>
      </c>
      <c r="I269" t="str">
        <f>_xlfn.TEXTJOIN(" + ",TRUE,IF(COUNTIFS(OrderLines!$A$2:$A$925,A269,OrderLines!$F$2:$F$925,"Beverage")&gt;0,"Beverage",""),IF(COUNTIFS(OrderLines!$A$2:$A$925,A269,OrderLines!$F$2:$F$925,"Dessert")&gt;0,"Dessert",""),IF(COUNTIFS(OrderLines!$A$2:$A$925,A269,OrderLines!$F$2:$F$925,"Hot Meal")&gt;0,"Hot Meal",""),IF(COUNTIFS(OrderLines!$A$2:$A$925,A269,OrderLines!$F$2:$F$925,"Snack")&gt;0,"Snack",""))</f>
        <v>Dessert + Hot Meal + Snack</v>
      </c>
    </row>
    <row r="270" spans="1:9">
      <c r="A270" t="str">
        <f>Orders!A270</f>
        <v>O00269</v>
      </c>
      <c r="B270" t="str">
        <f>Orders!C270</f>
        <v>Head Office Café</v>
      </c>
      <c r="C270" t="str">
        <f>Orders!F270</f>
        <v>Lunch</v>
      </c>
      <c r="D270" t="str">
        <f>Orders!J270</f>
        <v>Combo</v>
      </c>
      <c r="E270" s="24">
        <f>Orders!I270</f>
        <v>1109.4575</v>
      </c>
      <c r="F270" s="24">
        <f>SUMIF(OrderLines!$A$2:$A$925,A270,OrderLines!$L$2:$L$925)</f>
        <v>545.44999999999993</v>
      </c>
      <c r="G270" s="23">
        <f t="shared" si="8"/>
        <v>564.00750000000005</v>
      </c>
      <c r="H270" s="23">
        <f t="shared" si="9"/>
        <v>0.50836332171354026</v>
      </c>
      <c r="I270" t="str">
        <f>_xlfn.TEXTJOIN(" + ",TRUE,IF(COUNTIFS(OrderLines!$A$2:$A$925,A270,OrderLines!$F$2:$F$925,"Beverage")&gt;0,"Beverage",""),IF(COUNTIFS(OrderLines!$A$2:$A$925,A270,OrderLines!$F$2:$F$925,"Dessert")&gt;0,"Dessert",""),IF(COUNTIFS(OrderLines!$A$2:$A$925,A270,OrderLines!$F$2:$F$925,"Hot Meal")&gt;0,"Hot Meal",""),IF(COUNTIFS(OrderLines!$A$2:$A$925,A270,OrderLines!$F$2:$F$925,"Snack")&gt;0,"Snack",""))</f>
        <v>Beverage + Hot Meal + Snack</v>
      </c>
    </row>
    <row r="271" spans="1:9">
      <c r="A271" t="str">
        <f>Orders!A271</f>
        <v>O00270</v>
      </c>
      <c r="B271" t="str">
        <f>Orders!C271</f>
        <v>Plant 1 Canteen</v>
      </c>
      <c r="C271" t="str">
        <f>Orders!F271</f>
        <v>Lunch</v>
      </c>
      <c r="D271" t="str">
        <f>Orders!J271</f>
        <v>Single</v>
      </c>
      <c r="E271" s="24">
        <f>Orders!I271</f>
        <v>1485.0719999999999</v>
      </c>
      <c r="F271" s="24">
        <f>SUMIF(OrderLines!$A$2:$A$925,A271,OrderLines!$L$2:$L$925)</f>
        <v>771.58</v>
      </c>
      <c r="G271" s="23">
        <f t="shared" si="8"/>
        <v>713.49199999999985</v>
      </c>
      <c r="H271" s="23">
        <f t="shared" si="9"/>
        <v>0.48044269907452292</v>
      </c>
      <c r="I271" t="str">
        <f>_xlfn.TEXTJOIN(" + ",TRUE,IF(COUNTIFS(OrderLines!$A$2:$A$925,A271,OrderLines!$F$2:$F$925,"Beverage")&gt;0,"Beverage",""),IF(COUNTIFS(OrderLines!$A$2:$A$925,A271,OrderLines!$F$2:$F$925,"Dessert")&gt;0,"Dessert",""),IF(COUNTIFS(OrderLines!$A$2:$A$925,A271,OrderLines!$F$2:$F$925,"Hot Meal")&gt;0,"Hot Meal",""),IF(COUNTIFS(OrderLines!$A$2:$A$925,A271,OrderLines!$F$2:$F$925,"Snack")&gt;0,"Snack",""))</f>
        <v>Hot Meal + Snack</v>
      </c>
    </row>
    <row r="272" spans="1:9">
      <c r="A272" t="str">
        <f>Orders!A272</f>
        <v>O00271</v>
      </c>
      <c r="B272" t="str">
        <f>Orders!C272</f>
        <v>Plant 1 Canteen</v>
      </c>
      <c r="C272" t="str">
        <f>Orders!F272</f>
        <v>Breakfast</v>
      </c>
      <c r="D272" t="str">
        <f>Orders!J272</f>
        <v>Single</v>
      </c>
      <c r="E272" s="24">
        <f>Orders!I272</f>
        <v>139.18450000000001</v>
      </c>
      <c r="F272" s="24">
        <f>SUMIF(OrderLines!$A$2:$A$925,A272,OrderLines!$L$2:$L$925)</f>
        <v>69.56</v>
      </c>
      <c r="G272" s="23">
        <f t="shared" ref="G272:G335" si="10">E272-F272</f>
        <v>69.624500000000012</v>
      </c>
      <c r="H272" s="23">
        <f t="shared" ref="H272:H335" si="11">IFERROR(G272/E272,0)</f>
        <v>0.50023170683517204</v>
      </c>
      <c r="I272" t="str">
        <f>_xlfn.TEXTJOIN(" + ",TRUE,IF(COUNTIFS(OrderLines!$A$2:$A$925,A272,OrderLines!$F$2:$F$925,"Beverage")&gt;0,"Beverage",""),IF(COUNTIFS(OrderLines!$A$2:$A$925,A272,OrderLines!$F$2:$F$925,"Dessert")&gt;0,"Dessert",""),IF(COUNTIFS(OrderLines!$A$2:$A$925,A272,OrderLines!$F$2:$F$925,"Hot Meal")&gt;0,"Hot Meal",""),IF(COUNTIFS(OrderLines!$A$2:$A$925,A272,OrderLines!$F$2:$F$925,"Snack")&gt;0,"Snack",""))</f>
        <v>Beverage + Dessert</v>
      </c>
    </row>
    <row r="273" spans="1:9">
      <c r="A273" t="str">
        <f>Orders!A273</f>
        <v>O00272</v>
      </c>
      <c r="B273" t="str">
        <f>Orders!C273</f>
        <v>Plant 1 Canteen</v>
      </c>
      <c r="C273" t="str">
        <f>Orders!F273</f>
        <v>Breakfast</v>
      </c>
      <c r="D273" t="str">
        <f>Orders!J273</f>
        <v>Combo</v>
      </c>
      <c r="E273" s="24">
        <f>Orders!I273</f>
        <v>228.46460000000002</v>
      </c>
      <c r="F273" s="24">
        <f>SUMIF(OrderLines!$A$2:$A$925,A273,OrderLines!$L$2:$L$925)</f>
        <v>128.61000000000001</v>
      </c>
      <c r="G273" s="23">
        <f t="shared" si="10"/>
        <v>99.854600000000005</v>
      </c>
      <c r="H273" s="23">
        <f t="shared" si="11"/>
        <v>0.43706814972647839</v>
      </c>
      <c r="I273" t="str">
        <f>_xlfn.TEXTJOIN(" + ",TRUE,IF(COUNTIFS(OrderLines!$A$2:$A$925,A273,OrderLines!$F$2:$F$925,"Beverage")&gt;0,"Beverage",""),IF(COUNTIFS(OrderLines!$A$2:$A$925,A273,OrderLines!$F$2:$F$925,"Dessert")&gt;0,"Dessert",""),IF(COUNTIFS(OrderLines!$A$2:$A$925,A273,OrderLines!$F$2:$F$925,"Hot Meal")&gt;0,"Hot Meal",""),IF(COUNTIFS(OrderLines!$A$2:$A$925,A273,OrderLines!$F$2:$F$925,"Snack")&gt;0,"Snack",""))</f>
        <v>Beverage + Hot Meal + Snack</v>
      </c>
    </row>
    <row r="274" spans="1:9">
      <c r="A274" t="str">
        <f>Orders!A274</f>
        <v>O00273</v>
      </c>
      <c r="B274" t="str">
        <f>Orders!C274</f>
        <v>Head Office Café</v>
      </c>
      <c r="C274" t="str">
        <f>Orders!F274</f>
        <v>Dinner</v>
      </c>
      <c r="D274" t="str">
        <f>Orders!J274</f>
        <v>Single</v>
      </c>
      <c r="E274" s="24">
        <f>Orders!I274</f>
        <v>311.85599999999999</v>
      </c>
      <c r="F274" s="24">
        <f>SUMIF(OrderLines!$A$2:$A$925,A274,OrderLines!$L$2:$L$925)</f>
        <v>146.91</v>
      </c>
      <c r="G274" s="23">
        <f t="shared" si="10"/>
        <v>164.946</v>
      </c>
      <c r="H274" s="23">
        <f t="shared" si="11"/>
        <v>0.52891719255040792</v>
      </c>
      <c r="I274" t="str">
        <f>_xlfn.TEXTJOIN(" + ",TRUE,IF(COUNTIFS(OrderLines!$A$2:$A$925,A274,OrderLines!$F$2:$F$925,"Beverage")&gt;0,"Beverage",""),IF(COUNTIFS(OrderLines!$A$2:$A$925,A274,OrderLines!$F$2:$F$925,"Dessert")&gt;0,"Dessert",""),IF(COUNTIFS(OrderLines!$A$2:$A$925,A274,OrderLines!$F$2:$F$925,"Hot Meal")&gt;0,"Hot Meal",""),IF(COUNTIFS(OrderLines!$A$2:$A$925,A274,OrderLines!$F$2:$F$925,"Snack")&gt;0,"Snack",""))</f>
        <v>Dessert</v>
      </c>
    </row>
    <row r="275" spans="1:9">
      <c r="A275" t="str">
        <f>Orders!A275</f>
        <v>O00274</v>
      </c>
      <c r="B275" t="str">
        <f>Orders!C275</f>
        <v>Head Office Café</v>
      </c>
      <c r="C275" t="str">
        <f>Orders!F275</f>
        <v>Dinner</v>
      </c>
      <c r="D275" t="str">
        <f>Orders!J275</f>
        <v>Combo</v>
      </c>
      <c r="E275" s="24">
        <f>Orders!I275</f>
        <v>633.99240000000009</v>
      </c>
      <c r="F275" s="24">
        <f>SUMIF(OrderLines!$A$2:$A$925,A275,OrderLines!$L$2:$L$925)</f>
        <v>316.63</v>
      </c>
      <c r="G275" s="23">
        <f t="shared" si="10"/>
        <v>317.36240000000009</v>
      </c>
      <c r="H275" s="23">
        <f t="shared" si="11"/>
        <v>0.50057760944768426</v>
      </c>
      <c r="I275" t="str">
        <f>_xlfn.TEXTJOIN(" + ",TRUE,IF(COUNTIFS(OrderLines!$A$2:$A$925,A275,OrderLines!$F$2:$F$925,"Beverage")&gt;0,"Beverage",""),IF(COUNTIFS(OrderLines!$A$2:$A$925,A275,OrderLines!$F$2:$F$925,"Dessert")&gt;0,"Dessert",""),IF(COUNTIFS(OrderLines!$A$2:$A$925,A275,OrderLines!$F$2:$F$925,"Hot Meal")&gt;0,"Hot Meal",""),IF(COUNTIFS(OrderLines!$A$2:$A$925,A275,OrderLines!$F$2:$F$925,"Snack")&gt;0,"Snack",""))</f>
        <v>Beverage + Hot Meal + Snack</v>
      </c>
    </row>
    <row r="276" spans="1:9">
      <c r="A276" t="str">
        <f>Orders!A276</f>
        <v>O00275</v>
      </c>
      <c r="B276" t="str">
        <f>Orders!C276</f>
        <v>Plant 1 Canteen</v>
      </c>
      <c r="C276" t="str">
        <f>Orders!F276</f>
        <v>Dinner</v>
      </c>
      <c r="D276" t="str">
        <f>Orders!J276</f>
        <v>Combo</v>
      </c>
      <c r="E276" s="24">
        <f>Orders!I276</f>
        <v>822.01210000000003</v>
      </c>
      <c r="F276" s="24">
        <f>SUMIF(OrderLines!$A$2:$A$925,A276,OrderLines!$L$2:$L$925)</f>
        <v>391.23999999999995</v>
      </c>
      <c r="G276" s="23">
        <f t="shared" si="10"/>
        <v>430.77210000000008</v>
      </c>
      <c r="H276" s="23">
        <f t="shared" si="11"/>
        <v>0.52404593557686086</v>
      </c>
      <c r="I276" t="str">
        <f>_xlfn.TEXTJOIN(" + ",TRUE,IF(COUNTIFS(OrderLines!$A$2:$A$925,A276,OrderLines!$F$2:$F$925,"Beverage")&gt;0,"Beverage",""),IF(COUNTIFS(OrderLines!$A$2:$A$925,A276,OrderLines!$F$2:$F$925,"Dessert")&gt;0,"Dessert",""),IF(COUNTIFS(OrderLines!$A$2:$A$925,A276,OrderLines!$F$2:$F$925,"Hot Meal")&gt;0,"Hot Meal",""),IF(COUNTIFS(OrderLines!$A$2:$A$925,A276,OrderLines!$F$2:$F$925,"Snack")&gt;0,"Snack",""))</f>
        <v>Beverage + Dessert + Hot Meal + Snack</v>
      </c>
    </row>
    <row r="277" spans="1:9">
      <c r="A277" t="str">
        <f>Orders!A277</f>
        <v>O00276</v>
      </c>
      <c r="B277" t="str">
        <f>Orders!C277</f>
        <v>Plant 2 Canteen</v>
      </c>
      <c r="C277" t="str">
        <f>Orders!F277</f>
        <v>Dinner</v>
      </c>
      <c r="D277" t="str">
        <f>Orders!J277</f>
        <v>Single</v>
      </c>
      <c r="E277" s="24">
        <f>Orders!I277</f>
        <v>407.24599999999992</v>
      </c>
      <c r="F277" s="24">
        <f>SUMIF(OrderLines!$A$2:$A$925,A277,OrderLines!$L$2:$L$925)</f>
        <v>182.45999999999998</v>
      </c>
      <c r="G277" s="23">
        <f t="shared" si="10"/>
        <v>224.78599999999994</v>
      </c>
      <c r="H277" s="23">
        <f t="shared" si="11"/>
        <v>0.55196613349179613</v>
      </c>
      <c r="I277" t="str">
        <f>_xlfn.TEXTJOIN(" + ",TRUE,IF(COUNTIFS(OrderLines!$A$2:$A$925,A277,OrderLines!$F$2:$F$925,"Beverage")&gt;0,"Beverage",""),IF(COUNTIFS(OrderLines!$A$2:$A$925,A277,OrderLines!$F$2:$F$925,"Dessert")&gt;0,"Dessert",""),IF(COUNTIFS(OrderLines!$A$2:$A$925,A277,OrderLines!$F$2:$F$925,"Hot Meal")&gt;0,"Hot Meal",""),IF(COUNTIFS(OrderLines!$A$2:$A$925,A277,OrderLines!$F$2:$F$925,"Snack")&gt;0,"Snack",""))</f>
        <v>Beverage + Dessert + Snack</v>
      </c>
    </row>
    <row r="278" spans="1:9">
      <c r="A278" t="str">
        <f>Orders!A278</f>
        <v>O00277</v>
      </c>
      <c r="B278" t="str">
        <f>Orders!C278</f>
        <v>Plant 1 Canteen</v>
      </c>
      <c r="C278" t="str">
        <f>Orders!F278</f>
        <v>Breakfast</v>
      </c>
      <c r="D278" t="str">
        <f>Orders!J278</f>
        <v>Single</v>
      </c>
      <c r="E278" s="24">
        <f>Orders!I278</f>
        <v>72.549300000000002</v>
      </c>
      <c r="F278" s="24">
        <f>SUMIF(OrderLines!$A$2:$A$925,A278,OrderLines!$L$2:$L$925)</f>
        <v>35.06</v>
      </c>
      <c r="G278" s="23">
        <f t="shared" si="10"/>
        <v>37.4893</v>
      </c>
      <c r="H278" s="23">
        <f t="shared" si="11"/>
        <v>0.51674240826582751</v>
      </c>
      <c r="I278" t="str">
        <f>_xlfn.TEXTJOIN(" + ",TRUE,IF(COUNTIFS(OrderLines!$A$2:$A$925,A278,OrderLines!$F$2:$F$925,"Beverage")&gt;0,"Beverage",""),IF(COUNTIFS(OrderLines!$A$2:$A$925,A278,OrderLines!$F$2:$F$925,"Dessert")&gt;0,"Dessert",""),IF(COUNTIFS(OrderLines!$A$2:$A$925,A278,OrderLines!$F$2:$F$925,"Hot Meal")&gt;0,"Hot Meal",""),IF(COUNTIFS(OrderLines!$A$2:$A$925,A278,OrderLines!$F$2:$F$925,"Snack")&gt;0,"Snack",""))</f>
        <v>Snack</v>
      </c>
    </row>
    <row r="279" spans="1:9">
      <c r="A279" t="str">
        <f>Orders!A279</f>
        <v>O00278</v>
      </c>
      <c r="B279" t="str">
        <f>Orders!C279</f>
        <v>Head Office Café</v>
      </c>
      <c r="C279" t="str">
        <f>Orders!F279</f>
        <v>Dinner</v>
      </c>
      <c r="D279" t="str">
        <f>Orders!J279</f>
        <v>Combo</v>
      </c>
      <c r="E279" s="24">
        <f>Orders!I279</f>
        <v>413.03149999999999</v>
      </c>
      <c r="F279" s="24">
        <f>SUMIF(OrderLines!$A$2:$A$925,A279,OrderLines!$L$2:$L$925)</f>
        <v>186.19</v>
      </c>
      <c r="G279" s="23">
        <f t="shared" si="10"/>
        <v>226.8415</v>
      </c>
      <c r="H279" s="23">
        <f t="shared" si="11"/>
        <v>0.54921113764930762</v>
      </c>
      <c r="I279" t="str">
        <f>_xlfn.TEXTJOIN(" + ",TRUE,IF(COUNTIFS(OrderLines!$A$2:$A$925,A279,OrderLines!$F$2:$F$925,"Beverage")&gt;0,"Beverage",""),IF(COUNTIFS(OrderLines!$A$2:$A$925,A279,OrderLines!$F$2:$F$925,"Dessert")&gt;0,"Dessert",""),IF(COUNTIFS(OrderLines!$A$2:$A$925,A279,OrderLines!$F$2:$F$925,"Hot Meal")&gt;0,"Hot Meal",""),IF(COUNTIFS(OrderLines!$A$2:$A$925,A279,OrderLines!$F$2:$F$925,"Snack")&gt;0,"Snack",""))</f>
        <v>Beverage + Dessert + Hot Meal</v>
      </c>
    </row>
    <row r="280" spans="1:9">
      <c r="A280" t="str">
        <f>Orders!A280</f>
        <v>O00279</v>
      </c>
      <c r="B280" t="str">
        <f>Orders!C280</f>
        <v>Plant 2 Canteen</v>
      </c>
      <c r="C280" t="str">
        <f>Orders!F280</f>
        <v>Dinner</v>
      </c>
      <c r="D280" t="str">
        <f>Orders!J280</f>
        <v>Single</v>
      </c>
      <c r="E280" s="24">
        <f>Orders!I280</f>
        <v>28.519599999999997</v>
      </c>
      <c r="F280" s="24">
        <f>SUMIF(OrderLines!$A$2:$A$925,A280,OrderLines!$L$2:$L$925)</f>
        <v>14.18</v>
      </c>
      <c r="G280" s="23">
        <f t="shared" si="10"/>
        <v>14.339599999999997</v>
      </c>
      <c r="H280" s="23">
        <f t="shared" si="11"/>
        <v>0.50279807570933666</v>
      </c>
      <c r="I280" t="str">
        <f>_xlfn.TEXTJOIN(" + ",TRUE,IF(COUNTIFS(OrderLines!$A$2:$A$925,A280,OrderLines!$F$2:$F$925,"Beverage")&gt;0,"Beverage",""),IF(COUNTIFS(OrderLines!$A$2:$A$925,A280,OrderLines!$F$2:$F$925,"Dessert")&gt;0,"Dessert",""),IF(COUNTIFS(OrderLines!$A$2:$A$925,A280,OrderLines!$F$2:$F$925,"Hot Meal")&gt;0,"Hot Meal",""),IF(COUNTIFS(OrderLines!$A$2:$A$925,A280,OrderLines!$F$2:$F$925,"Snack")&gt;0,"Snack",""))</f>
        <v>Beverage</v>
      </c>
    </row>
    <row r="281" spans="1:9">
      <c r="A281" t="str">
        <f>Orders!A281</f>
        <v>O00280</v>
      </c>
      <c r="B281" t="str">
        <f>Orders!C281</f>
        <v>Plant 2 Canteen</v>
      </c>
      <c r="C281" t="str">
        <f>Orders!F281</f>
        <v>Breakfast</v>
      </c>
      <c r="D281" t="str">
        <f>Orders!J281</f>
        <v>Combo</v>
      </c>
      <c r="E281" s="24">
        <f>Orders!I281</f>
        <v>267.05760000000004</v>
      </c>
      <c r="F281" s="24">
        <f>SUMIF(OrderLines!$A$2:$A$925,A281,OrderLines!$L$2:$L$925)</f>
        <v>130.5</v>
      </c>
      <c r="G281" s="23">
        <f t="shared" si="10"/>
        <v>136.55760000000004</v>
      </c>
      <c r="H281" s="23">
        <f t="shared" si="11"/>
        <v>0.51134137354638109</v>
      </c>
      <c r="I281" t="str">
        <f>_xlfn.TEXTJOIN(" + ",TRUE,IF(COUNTIFS(OrderLines!$A$2:$A$925,A281,OrderLines!$F$2:$F$925,"Beverage")&gt;0,"Beverage",""),IF(COUNTIFS(OrderLines!$A$2:$A$925,A281,OrderLines!$F$2:$F$925,"Dessert")&gt;0,"Dessert",""),IF(COUNTIFS(OrderLines!$A$2:$A$925,A281,OrderLines!$F$2:$F$925,"Hot Meal")&gt;0,"Hot Meal",""),IF(COUNTIFS(OrderLines!$A$2:$A$925,A281,OrderLines!$F$2:$F$925,"Snack")&gt;0,"Snack",""))</f>
        <v>Beverage + Hot Meal</v>
      </c>
    </row>
    <row r="282" spans="1:9">
      <c r="A282" t="str">
        <f>Orders!A282</f>
        <v>O00281</v>
      </c>
      <c r="B282" t="str">
        <f>Orders!C282</f>
        <v>Head Office Café</v>
      </c>
      <c r="C282" t="str">
        <f>Orders!F282</f>
        <v>Breakfast</v>
      </c>
      <c r="D282" t="str">
        <f>Orders!J282</f>
        <v>Single</v>
      </c>
      <c r="E282" s="24">
        <f>Orders!I282</f>
        <v>29.4298</v>
      </c>
      <c r="F282" s="24">
        <f>SUMIF(OrderLines!$A$2:$A$925,A282,OrderLines!$L$2:$L$925)</f>
        <v>14.18</v>
      </c>
      <c r="G282" s="23">
        <f t="shared" si="10"/>
        <v>15.2498</v>
      </c>
      <c r="H282" s="23">
        <f t="shared" si="11"/>
        <v>0.51817545481110983</v>
      </c>
      <c r="I282" t="str">
        <f>_xlfn.TEXTJOIN(" + ",TRUE,IF(COUNTIFS(OrderLines!$A$2:$A$925,A282,OrderLines!$F$2:$F$925,"Beverage")&gt;0,"Beverage",""),IF(COUNTIFS(OrderLines!$A$2:$A$925,A282,OrderLines!$F$2:$F$925,"Dessert")&gt;0,"Dessert",""),IF(COUNTIFS(OrderLines!$A$2:$A$925,A282,OrderLines!$F$2:$F$925,"Hot Meal")&gt;0,"Hot Meal",""),IF(COUNTIFS(OrderLines!$A$2:$A$925,A282,OrderLines!$F$2:$F$925,"Snack")&gt;0,"Snack",""))</f>
        <v>Beverage</v>
      </c>
    </row>
    <row r="283" spans="1:9">
      <c r="A283" t="str">
        <f>Orders!A283</f>
        <v>O00282</v>
      </c>
      <c r="B283" t="str">
        <f>Orders!C283</f>
        <v>Plant 1 Canteen</v>
      </c>
      <c r="C283" t="str">
        <f>Orders!F283</f>
        <v>Lunch</v>
      </c>
      <c r="D283" t="str">
        <f>Orders!J283</f>
        <v>Single</v>
      </c>
      <c r="E283" s="24">
        <f>Orders!I283</f>
        <v>276.7996</v>
      </c>
      <c r="F283" s="24">
        <f>SUMIF(OrderLines!$A$2:$A$925,A283,OrderLines!$L$2:$L$925)</f>
        <v>152.63000000000002</v>
      </c>
      <c r="G283" s="23">
        <f t="shared" si="10"/>
        <v>124.16959999999997</v>
      </c>
      <c r="H283" s="23">
        <f t="shared" si="11"/>
        <v>0.44859024362751959</v>
      </c>
      <c r="I283" t="str">
        <f>_xlfn.TEXTJOIN(" + ",TRUE,IF(COUNTIFS(OrderLines!$A$2:$A$925,A283,OrderLines!$F$2:$F$925,"Beverage")&gt;0,"Beverage",""),IF(COUNTIFS(OrderLines!$A$2:$A$925,A283,OrderLines!$F$2:$F$925,"Dessert")&gt;0,"Dessert",""),IF(COUNTIFS(OrderLines!$A$2:$A$925,A283,OrderLines!$F$2:$F$925,"Hot Meal")&gt;0,"Hot Meal",""),IF(COUNTIFS(OrderLines!$A$2:$A$925,A283,OrderLines!$F$2:$F$925,"Snack")&gt;0,"Snack",""))</f>
        <v>Beverage + Snack</v>
      </c>
    </row>
    <row r="284" spans="1:9">
      <c r="A284" t="str">
        <f>Orders!A284</f>
        <v>O00283</v>
      </c>
      <c r="B284" t="str">
        <f>Orders!C284</f>
        <v>Head Office Café</v>
      </c>
      <c r="C284" t="str">
        <f>Orders!F284</f>
        <v>Dinner</v>
      </c>
      <c r="D284" t="str">
        <f>Orders!J284</f>
        <v>Combo</v>
      </c>
      <c r="E284" s="24">
        <f>Orders!I284</f>
        <v>1112.0354</v>
      </c>
      <c r="F284" s="24">
        <f>SUMIF(OrderLines!$A$2:$A$925,A284,OrderLines!$L$2:$L$925)</f>
        <v>481.99999999999994</v>
      </c>
      <c r="G284" s="23">
        <f t="shared" si="10"/>
        <v>630.03539999999998</v>
      </c>
      <c r="H284" s="23">
        <f t="shared" si="11"/>
        <v>0.56656056093178331</v>
      </c>
      <c r="I284" t="str">
        <f>_xlfn.TEXTJOIN(" + ",TRUE,IF(COUNTIFS(OrderLines!$A$2:$A$925,A284,OrderLines!$F$2:$F$925,"Beverage")&gt;0,"Beverage",""),IF(COUNTIFS(OrderLines!$A$2:$A$925,A284,OrderLines!$F$2:$F$925,"Dessert")&gt;0,"Dessert",""),IF(COUNTIFS(OrderLines!$A$2:$A$925,A284,OrderLines!$F$2:$F$925,"Hot Meal")&gt;0,"Hot Meal",""),IF(COUNTIFS(OrderLines!$A$2:$A$925,A284,OrderLines!$F$2:$F$925,"Snack")&gt;0,"Snack",""))</f>
        <v>Beverage + Hot Meal + Snack</v>
      </c>
    </row>
    <row r="285" spans="1:9">
      <c r="A285" t="str">
        <f>Orders!A285</f>
        <v>O00284</v>
      </c>
      <c r="B285" t="str">
        <f>Orders!C285</f>
        <v>Plant 1 Canteen</v>
      </c>
      <c r="C285" t="str">
        <f>Orders!F285</f>
        <v>Lunch</v>
      </c>
      <c r="D285" t="str">
        <f>Orders!J285</f>
        <v>Single</v>
      </c>
      <c r="E285" s="24">
        <f>Orders!I285</f>
        <v>328.69979999999998</v>
      </c>
      <c r="F285" s="24">
        <f>SUMIF(OrderLines!$A$2:$A$925,A285,OrderLines!$L$2:$L$925)</f>
        <v>157.66</v>
      </c>
      <c r="G285" s="23">
        <f t="shared" si="10"/>
        <v>171.03979999999999</v>
      </c>
      <c r="H285" s="23">
        <f t="shared" si="11"/>
        <v>0.52035261353977091</v>
      </c>
      <c r="I285" t="str">
        <f>_xlfn.TEXTJOIN(" + ",TRUE,IF(COUNTIFS(OrderLines!$A$2:$A$925,A285,OrderLines!$F$2:$F$925,"Beverage")&gt;0,"Beverage",""),IF(COUNTIFS(OrderLines!$A$2:$A$925,A285,OrderLines!$F$2:$F$925,"Dessert")&gt;0,"Dessert",""),IF(COUNTIFS(OrderLines!$A$2:$A$925,A285,OrderLines!$F$2:$F$925,"Hot Meal")&gt;0,"Hot Meal",""),IF(COUNTIFS(OrderLines!$A$2:$A$925,A285,OrderLines!$F$2:$F$925,"Snack")&gt;0,"Snack",""))</f>
        <v>Dessert + Snack</v>
      </c>
    </row>
    <row r="286" spans="1:9">
      <c r="A286" t="str">
        <f>Orders!A286</f>
        <v>O00285</v>
      </c>
      <c r="B286" t="str">
        <f>Orders!C286</f>
        <v>Plant 1 Canteen</v>
      </c>
      <c r="C286" t="str">
        <f>Orders!F286</f>
        <v>Breakfast</v>
      </c>
      <c r="D286" t="str">
        <f>Orders!J286</f>
        <v>Single</v>
      </c>
      <c r="E286" s="24">
        <f>Orders!I286</f>
        <v>380.96449999999999</v>
      </c>
      <c r="F286" s="24">
        <f>SUMIF(OrderLines!$A$2:$A$925,A286,OrderLines!$L$2:$L$925)</f>
        <v>189.64999999999998</v>
      </c>
      <c r="G286" s="23">
        <f t="shared" si="10"/>
        <v>191.31450000000001</v>
      </c>
      <c r="H286" s="23">
        <f t="shared" si="11"/>
        <v>0.50218458675283395</v>
      </c>
      <c r="I286" t="str">
        <f>_xlfn.TEXTJOIN(" + ",TRUE,IF(COUNTIFS(OrderLines!$A$2:$A$925,A286,OrderLines!$F$2:$F$925,"Beverage")&gt;0,"Beverage",""),IF(COUNTIFS(OrderLines!$A$2:$A$925,A286,OrderLines!$F$2:$F$925,"Dessert")&gt;0,"Dessert",""),IF(COUNTIFS(OrderLines!$A$2:$A$925,A286,OrderLines!$F$2:$F$925,"Hot Meal")&gt;0,"Hot Meal",""),IF(COUNTIFS(OrderLines!$A$2:$A$925,A286,OrderLines!$F$2:$F$925,"Snack")&gt;0,"Snack",""))</f>
        <v>Dessert + Hot Meal + Snack</v>
      </c>
    </row>
    <row r="287" spans="1:9">
      <c r="A287" t="str">
        <f>Orders!A287</f>
        <v>O00286</v>
      </c>
      <c r="B287" t="str">
        <f>Orders!C287</f>
        <v>Head Office Café</v>
      </c>
      <c r="C287" t="str">
        <f>Orders!F287</f>
        <v>Breakfast</v>
      </c>
      <c r="D287" t="str">
        <f>Orders!J287</f>
        <v>Single</v>
      </c>
      <c r="E287" s="24">
        <f>Orders!I287</f>
        <v>294.77629999999999</v>
      </c>
      <c r="F287" s="24">
        <f>SUMIF(OrderLines!$A$2:$A$925,A287,OrderLines!$L$2:$L$925)</f>
        <v>150.52999999999997</v>
      </c>
      <c r="G287" s="23">
        <f t="shared" si="10"/>
        <v>144.24630000000002</v>
      </c>
      <c r="H287" s="23">
        <f t="shared" si="11"/>
        <v>0.48934157868186834</v>
      </c>
      <c r="I287" t="str">
        <f>_xlfn.TEXTJOIN(" + ",TRUE,IF(COUNTIFS(OrderLines!$A$2:$A$925,A287,OrderLines!$F$2:$F$925,"Beverage")&gt;0,"Beverage",""),IF(COUNTIFS(OrderLines!$A$2:$A$925,A287,OrderLines!$F$2:$F$925,"Dessert")&gt;0,"Dessert",""),IF(COUNTIFS(OrderLines!$A$2:$A$925,A287,OrderLines!$F$2:$F$925,"Hot Meal")&gt;0,"Hot Meal",""),IF(COUNTIFS(OrderLines!$A$2:$A$925,A287,OrderLines!$F$2:$F$925,"Snack")&gt;0,"Snack",""))</f>
        <v>Dessert + Hot Meal</v>
      </c>
    </row>
    <row r="288" spans="1:9">
      <c r="A288" t="str">
        <f>Orders!A288</f>
        <v>O00287</v>
      </c>
      <c r="B288" t="str">
        <f>Orders!C288</f>
        <v>Head Office Café</v>
      </c>
      <c r="C288" t="str">
        <f>Orders!F288</f>
        <v>Breakfast</v>
      </c>
      <c r="D288" t="str">
        <f>Orders!J288</f>
        <v>Single</v>
      </c>
      <c r="E288" s="24">
        <f>Orders!I288</f>
        <v>371.04520000000002</v>
      </c>
      <c r="F288" s="24">
        <f>SUMIF(OrderLines!$A$2:$A$925,A288,OrderLines!$L$2:$L$925)</f>
        <v>202.16</v>
      </c>
      <c r="G288" s="23">
        <f t="shared" si="10"/>
        <v>168.88520000000003</v>
      </c>
      <c r="H288" s="23">
        <f t="shared" si="11"/>
        <v>0.45516071896361959</v>
      </c>
      <c r="I288" t="str">
        <f>_xlfn.TEXTJOIN(" + ",TRUE,IF(COUNTIFS(OrderLines!$A$2:$A$925,A288,OrderLines!$F$2:$F$925,"Beverage")&gt;0,"Beverage",""),IF(COUNTIFS(OrderLines!$A$2:$A$925,A288,OrderLines!$F$2:$F$925,"Dessert")&gt;0,"Dessert",""),IF(COUNTIFS(OrderLines!$A$2:$A$925,A288,OrderLines!$F$2:$F$925,"Hot Meal")&gt;0,"Hot Meal",""),IF(COUNTIFS(OrderLines!$A$2:$A$925,A288,OrderLines!$F$2:$F$925,"Snack")&gt;0,"Snack",""))</f>
        <v>Hot Meal</v>
      </c>
    </row>
    <row r="289" spans="1:9">
      <c r="A289" t="str">
        <f>Orders!A289</f>
        <v>O00288</v>
      </c>
      <c r="B289" t="str">
        <f>Orders!C289</f>
        <v>Plant 1 Canteen</v>
      </c>
      <c r="C289" t="str">
        <f>Orders!F289</f>
        <v>Dinner</v>
      </c>
      <c r="D289" t="str">
        <f>Orders!J289</f>
        <v>Combo</v>
      </c>
      <c r="E289" s="24">
        <f>Orders!I289</f>
        <v>291.31830000000002</v>
      </c>
      <c r="F289" s="24">
        <f>SUMIF(OrderLines!$A$2:$A$925,A289,OrderLines!$L$2:$L$925)</f>
        <v>144.42999999999998</v>
      </c>
      <c r="G289" s="23">
        <f t="shared" si="10"/>
        <v>146.88830000000004</v>
      </c>
      <c r="H289" s="23">
        <f t="shared" si="11"/>
        <v>0.50421926806520578</v>
      </c>
      <c r="I289" t="str">
        <f>_xlfn.TEXTJOIN(" + ",TRUE,IF(COUNTIFS(OrderLines!$A$2:$A$925,A289,OrderLines!$F$2:$F$925,"Beverage")&gt;0,"Beverage",""),IF(COUNTIFS(OrderLines!$A$2:$A$925,A289,OrderLines!$F$2:$F$925,"Dessert")&gt;0,"Dessert",""),IF(COUNTIFS(OrderLines!$A$2:$A$925,A289,OrderLines!$F$2:$F$925,"Hot Meal")&gt;0,"Hot Meal",""),IF(COUNTIFS(OrderLines!$A$2:$A$925,A289,OrderLines!$F$2:$F$925,"Snack")&gt;0,"Snack",""))</f>
        <v>Beverage + Hot Meal + Snack</v>
      </c>
    </row>
    <row r="290" spans="1:9">
      <c r="A290" t="str">
        <f>Orders!A290</f>
        <v>O00289</v>
      </c>
      <c r="B290" t="str">
        <f>Orders!C290</f>
        <v>Head Office Café</v>
      </c>
      <c r="C290" t="str">
        <f>Orders!F290</f>
        <v>Breakfast</v>
      </c>
      <c r="D290" t="str">
        <f>Orders!J290</f>
        <v>Single</v>
      </c>
      <c r="E290" s="24">
        <f>Orders!I290</f>
        <v>289.78319999999997</v>
      </c>
      <c r="F290" s="24">
        <f>SUMIF(OrderLines!$A$2:$A$925,A290,OrderLines!$L$2:$L$925)</f>
        <v>153.66</v>
      </c>
      <c r="G290" s="23">
        <f t="shared" si="10"/>
        <v>136.12319999999997</v>
      </c>
      <c r="H290" s="23">
        <f t="shared" si="11"/>
        <v>0.46974151710658169</v>
      </c>
      <c r="I290" t="str">
        <f>_xlfn.TEXTJOIN(" + ",TRUE,IF(COUNTIFS(OrderLines!$A$2:$A$925,A290,OrderLines!$F$2:$F$925,"Beverage")&gt;0,"Beverage",""),IF(COUNTIFS(OrderLines!$A$2:$A$925,A290,OrderLines!$F$2:$F$925,"Dessert")&gt;0,"Dessert",""),IF(COUNTIFS(OrderLines!$A$2:$A$925,A290,OrderLines!$F$2:$F$925,"Hot Meal")&gt;0,"Hot Meal",""),IF(COUNTIFS(OrderLines!$A$2:$A$925,A290,OrderLines!$F$2:$F$925,"Snack")&gt;0,"Snack",""))</f>
        <v>Beverage + Dessert + Snack</v>
      </c>
    </row>
    <row r="291" spans="1:9">
      <c r="A291" t="str">
        <f>Orders!A291</f>
        <v>O00290</v>
      </c>
      <c r="B291" t="str">
        <f>Orders!C291</f>
        <v>Head Office Café</v>
      </c>
      <c r="C291" t="str">
        <f>Orders!F291</f>
        <v>Breakfast</v>
      </c>
      <c r="D291" t="str">
        <f>Orders!J291</f>
        <v>Single</v>
      </c>
      <c r="E291" s="24">
        <f>Orders!I291</f>
        <v>52.028199999999998</v>
      </c>
      <c r="F291" s="24">
        <f>SUMIF(OrderLines!$A$2:$A$925,A291,OrderLines!$L$2:$L$925)</f>
        <v>19.84</v>
      </c>
      <c r="G291" s="23">
        <f t="shared" si="10"/>
        <v>32.188199999999995</v>
      </c>
      <c r="H291" s="23">
        <f t="shared" si="11"/>
        <v>0.61866833755540251</v>
      </c>
      <c r="I291" t="str">
        <f>_xlfn.TEXTJOIN(" + ",TRUE,IF(COUNTIFS(OrderLines!$A$2:$A$925,A291,OrderLines!$F$2:$F$925,"Beverage")&gt;0,"Beverage",""),IF(COUNTIFS(OrderLines!$A$2:$A$925,A291,OrderLines!$F$2:$F$925,"Dessert")&gt;0,"Dessert",""),IF(COUNTIFS(OrderLines!$A$2:$A$925,A291,OrderLines!$F$2:$F$925,"Hot Meal")&gt;0,"Hot Meal",""),IF(COUNTIFS(OrderLines!$A$2:$A$925,A291,OrderLines!$F$2:$F$925,"Snack")&gt;0,"Snack",""))</f>
        <v>Beverage</v>
      </c>
    </row>
    <row r="292" spans="1:9">
      <c r="A292" t="str">
        <f>Orders!A292</f>
        <v>O00291</v>
      </c>
      <c r="B292" t="str">
        <f>Orders!C292</f>
        <v>Plant 1 Canteen</v>
      </c>
      <c r="C292" t="str">
        <f>Orders!F292</f>
        <v>Breakfast</v>
      </c>
      <c r="D292" t="str">
        <f>Orders!J292</f>
        <v>Single</v>
      </c>
      <c r="E292" s="24">
        <f>Orders!I292</f>
        <v>482.99080000000004</v>
      </c>
      <c r="F292" s="24">
        <f>SUMIF(OrderLines!$A$2:$A$925,A292,OrderLines!$L$2:$L$925)</f>
        <v>242.48</v>
      </c>
      <c r="G292" s="23">
        <f t="shared" si="10"/>
        <v>240.51080000000005</v>
      </c>
      <c r="H292" s="23">
        <f t="shared" si="11"/>
        <v>0.49796145185374135</v>
      </c>
      <c r="I292" t="str">
        <f>_xlfn.TEXTJOIN(" + ",TRUE,IF(COUNTIFS(OrderLines!$A$2:$A$925,A292,OrderLines!$F$2:$F$925,"Beverage")&gt;0,"Beverage",""),IF(COUNTIFS(OrderLines!$A$2:$A$925,A292,OrderLines!$F$2:$F$925,"Dessert")&gt;0,"Dessert",""),IF(COUNTIFS(OrderLines!$A$2:$A$925,A292,OrderLines!$F$2:$F$925,"Hot Meal")&gt;0,"Hot Meal",""),IF(COUNTIFS(OrderLines!$A$2:$A$925,A292,OrderLines!$F$2:$F$925,"Snack")&gt;0,"Snack",""))</f>
        <v>Hot Meal</v>
      </c>
    </row>
    <row r="293" spans="1:9">
      <c r="A293" t="str">
        <f>Orders!A293</f>
        <v>O00292</v>
      </c>
      <c r="B293" t="str">
        <f>Orders!C293</f>
        <v>Head Office Café</v>
      </c>
      <c r="C293" t="str">
        <f>Orders!F293</f>
        <v>Dinner</v>
      </c>
      <c r="D293" t="str">
        <f>Orders!J293</f>
        <v>Single</v>
      </c>
      <c r="E293" s="24">
        <f>Orders!I293</f>
        <v>78.366299999999995</v>
      </c>
      <c r="F293" s="24">
        <f>SUMIF(OrderLines!$A$2:$A$925,A293,OrderLines!$L$2:$L$925)</f>
        <v>36.36</v>
      </c>
      <c r="G293" s="23">
        <f t="shared" si="10"/>
        <v>42.006299999999996</v>
      </c>
      <c r="H293" s="23">
        <f t="shared" si="11"/>
        <v>0.53602505158467351</v>
      </c>
      <c r="I293" t="str">
        <f>_xlfn.TEXTJOIN(" + ",TRUE,IF(COUNTIFS(OrderLines!$A$2:$A$925,A293,OrderLines!$F$2:$F$925,"Beverage")&gt;0,"Beverage",""),IF(COUNTIFS(OrderLines!$A$2:$A$925,A293,OrderLines!$F$2:$F$925,"Dessert")&gt;0,"Dessert",""),IF(COUNTIFS(OrderLines!$A$2:$A$925,A293,OrderLines!$F$2:$F$925,"Hot Meal")&gt;0,"Hot Meal",""),IF(COUNTIFS(OrderLines!$A$2:$A$925,A293,OrderLines!$F$2:$F$925,"Snack")&gt;0,"Snack",""))</f>
        <v>Beverage</v>
      </c>
    </row>
    <row r="294" spans="1:9">
      <c r="A294" t="str">
        <f>Orders!A294</f>
        <v>O00293</v>
      </c>
      <c r="B294" t="str">
        <f>Orders!C294</f>
        <v>Plant 2 Canteen</v>
      </c>
      <c r="C294" t="str">
        <f>Orders!F294</f>
        <v>Lunch</v>
      </c>
      <c r="D294" t="str">
        <f>Orders!J294</f>
        <v>Combo</v>
      </c>
      <c r="E294" s="24">
        <f>Orders!I294</f>
        <v>464.31000000000006</v>
      </c>
      <c r="F294" s="24">
        <f>SUMIF(OrderLines!$A$2:$A$925,A294,OrderLines!$L$2:$L$925)</f>
        <v>220.8</v>
      </c>
      <c r="G294" s="23">
        <f t="shared" si="10"/>
        <v>243.51000000000005</v>
      </c>
      <c r="H294" s="23">
        <f t="shared" si="11"/>
        <v>0.52445564385862897</v>
      </c>
      <c r="I294" t="str">
        <f>_xlfn.TEXTJOIN(" + ",TRUE,IF(COUNTIFS(OrderLines!$A$2:$A$925,A294,OrderLines!$F$2:$F$925,"Beverage")&gt;0,"Beverage",""),IF(COUNTIFS(OrderLines!$A$2:$A$925,A294,OrderLines!$F$2:$F$925,"Dessert")&gt;0,"Dessert",""),IF(COUNTIFS(OrderLines!$A$2:$A$925,A294,OrderLines!$F$2:$F$925,"Hot Meal")&gt;0,"Hot Meal",""),IF(COUNTIFS(OrderLines!$A$2:$A$925,A294,OrderLines!$F$2:$F$925,"Snack")&gt;0,"Snack",""))</f>
        <v>Beverage + Hot Meal</v>
      </c>
    </row>
    <row r="295" spans="1:9">
      <c r="A295" t="str">
        <f>Orders!A295</f>
        <v>O00294</v>
      </c>
      <c r="B295" t="str">
        <f>Orders!C295</f>
        <v>Head Office Café</v>
      </c>
      <c r="C295" t="str">
        <f>Orders!F295</f>
        <v>Dinner</v>
      </c>
      <c r="D295" t="str">
        <f>Orders!J295</f>
        <v>Single</v>
      </c>
      <c r="E295" s="24">
        <f>Orders!I295</f>
        <v>54.016999999999996</v>
      </c>
      <c r="F295" s="24">
        <f>SUMIF(OrderLines!$A$2:$A$925,A295,OrderLines!$L$2:$L$925)</f>
        <v>27.78</v>
      </c>
      <c r="G295" s="23">
        <f t="shared" si="10"/>
        <v>26.236999999999995</v>
      </c>
      <c r="H295" s="23">
        <f t="shared" si="11"/>
        <v>0.48571745931836269</v>
      </c>
      <c r="I295" t="str">
        <f>_xlfn.TEXTJOIN(" + ",TRUE,IF(COUNTIFS(OrderLines!$A$2:$A$925,A295,OrderLines!$F$2:$F$925,"Beverage")&gt;0,"Beverage",""),IF(COUNTIFS(OrderLines!$A$2:$A$925,A295,OrderLines!$F$2:$F$925,"Dessert")&gt;0,"Dessert",""),IF(COUNTIFS(OrderLines!$A$2:$A$925,A295,OrderLines!$F$2:$F$925,"Hot Meal")&gt;0,"Hot Meal",""),IF(COUNTIFS(OrderLines!$A$2:$A$925,A295,OrderLines!$F$2:$F$925,"Snack")&gt;0,"Snack",""))</f>
        <v>Beverage</v>
      </c>
    </row>
    <row r="296" spans="1:9">
      <c r="A296" t="str">
        <f>Orders!A296</f>
        <v>O00295</v>
      </c>
      <c r="B296" t="str">
        <f>Orders!C296</f>
        <v>Plant 2 Canteen</v>
      </c>
      <c r="C296" t="str">
        <f>Orders!F296</f>
        <v>Dinner</v>
      </c>
      <c r="D296" t="str">
        <f>Orders!J296</f>
        <v>Single</v>
      </c>
      <c r="E296" s="24">
        <f>Orders!I296</f>
        <v>76.891899999999993</v>
      </c>
      <c r="F296" s="24">
        <f>SUMIF(OrderLines!$A$2:$A$925,A296,OrderLines!$L$2:$L$925)</f>
        <v>38.520000000000003</v>
      </c>
      <c r="G296" s="23">
        <f t="shared" si="10"/>
        <v>38.371899999999989</v>
      </c>
      <c r="H296" s="23">
        <f t="shared" si="11"/>
        <v>0.49903695967975814</v>
      </c>
      <c r="I296" t="str">
        <f>_xlfn.TEXTJOIN(" + ",TRUE,IF(COUNTIFS(OrderLines!$A$2:$A$925,A296,OrderLines!$F$2:$F$925,"Beverage")&gt;0,"Beverage",""),IF(COUNTIFS(OrderLines!$A$2:$A$925,A296,OrderLines!$F$2:$F$925,"Dessert")&gt;0,"Dessert",""),IF(COUNTIFS(OrderLines!$A$2:$A$925,A296,OrderLines!$F$2:$F$925,"Hot Meal")&gt;0,"Hot Meal",""),IF(COUNTIFS(OrderLines!$A$2:$A$925,A296,OrderLines!$F$2:$F$925,"Snack")&gt;0,"Snack",""))</f>
        <v>Beverage + Dessert</v>
      </c>
    </row>
    <row r="297" spans="1:9">
      <c r="A297" t="str">
        <f>Orders!A297</f>
        <v>O00296</v>
      </c>
      <c r="B297" t="str">
        <f>Orders!C297</f>
        <v>Plant 1 Canteen</v>
      </c>
      <c r="C297" t="str">
        <f>Orders!F297</f>
        <v>Dinner</v>
      </c>
      <c r="D297" t="str">
        <f>Orders!J297</f>
        <v>Single</v>
      </c>
      <c r="E297" s="24">
        <f>Orders!I297</f>
        <v>161.53800000000001</v>
      </c>
      <c r="F297" s="24">
        <f>SUMIF(OrderLines!$A$2:$A$925,A297,OrderLines!$L$2:$L$925)</f>
        <v>69.14</v>
      </c>
      <c r="G297" s="23">
        <f t="shared" si="10"/>
        <v>92.39800000000001</v>
      </c>
      <c r="H297" s="23">
        <f t="shared" si="11"/>
        <v>0.57198925330262851</v>
      </c>
      <c r="I297" t="str">
        <f>_xlfn.TEXTJOIN(" + ",TRUE,IF(COUNTIFS(OrderLines!$A$2:$A$925,A297,OrderLines!$F$2:$F$925,"Beverage")&gt;0,"Beverage",""),IF(COUNTIFS(OrderLines!$A$2:$A$925,A297,OrderLines!$F$2:$F$925,"Dessert")&gt;0,"Dessert",""),IF(COUNTIFS(OrderLines!$A$2:$A$925,A297,OrderLines!$F$2:$F$925,"Hot Meal")&gt;0,"Hot Meal",""),IF(COUNTIFS(OrderLines!$A$2:$A$925,A297,OrderLines!$F$2:$F$925,"Snack")&gt;0,"Snack",""))</f>
        <v>Snack</v>
      </c>
    </row>
    <row r="298" spans="1:9">
      <c r="A298" t="str">
        <f>Orders!A298</f>
        <v>O00297</v>
      </c>
      <c r="B298" t="str">
        <f>Orders!C298</f>
        <v>Head Office Café</v>
      </c>
      <c r="C298" t="str">
        <f>Orders!F298</f>
        <v>Breakfast</v>
      </c>
      <c r="D298" t="str">
        <f>Orders!J298</f>
        <v>Single</v>
      </c>
      <c r="E298" s="24">
        <f>Orders!I298</f>
        <v>194.69040000000001</v>
      </c>
      <c r="F298" s="24">
        <f>SUMIF(OrderLines!$A$2:$A$925,A298,OrderLines!$L$2:$L$925)</f>
        <v>107.43</v>
      </c>
      <c r="G298" s="23">
        <f t="shared" si="10"/>
        <v>87.260400000000004</v>
      </c>
      <c r="H298" s="23">
        <f t="shared" si="11"/>
        <v>0.44820083578851344</v>
      </c>
      <c r="I298" t="str">
        <f>_xlfn.TEXTJOIN(" + ",TRUE,IF(COUNTIFS(OrderLines!$A$2:$A$925,A298,OrderLines!$F$2:$F$925,"Beverage")&gt;0,"Beverage",""),IF(COUNTIFS(OrderLines!$A$2:$A$925,A298,OrderLines!$F$2:$F$925,"Dessert")&gt;0,"Dessert",""),IF(COUNTIFS(OrderLines!$A$2:$A$925,A298,OrderLines!$F$2:$F$925,"Hot Meal")&gt;0,"Hot Meal",""),IF(COUNTIFS(OrderLines!$A$2:$A$925,A298,OrderLines!$F$2:$F$925,"Snack")&gt;0,"Snack",""))</f>
        <v>Snack</v>
      </c>
    </row>
    <row r="299" spans="1:9">
      <c r="A299" t="str">
        <f>Orders!A299</f>
        <v>O00298</v>
      </c>
      <c r="B299" t="str">
        <f>Orders!C299</f>
        <v>Plant 2 Canteen</v>
      </c>
      <c r="C299" t="str">
        <f>Orders!F299</f>
        <v>Dinner</v>
      </c>
      <c r="D299" t="str">
        <f>Orders!J299</f>
        <v>Single</v>
      </c>
      <c r="E299" s="24">
        <f>Orders!I299</f>
        <v>246.6336</v>
      </c>
      <c r="F299" s="24">
        <f>SUMIF(OrderLines!$A$2:$A$925,A299,OrderLines!$L$2:$L$925)</f>
        <v>121.24</v>
      </c>
      <c r="G299" s="23">
        <f t="shared" si="10"/>
        <v>125.39360000000001</v>
      </c>
      <c r="H299" s="23">
        <f t="shared" si="11"/>
        <v>0.50842058827345504</v>
      </c>
      <c r="I299" t="str">
        <f>_xlfn.TEXTJOIN(" + ",TRUE,IF(COUNTIFS(OrderLines!$A$2:$A$925,A299,OrderLines!$F$2:$F$925,"Beverage")&gt;0,"Beverage",""),IF(COUNTIFS(OrderLines!$A$2:$A$925,A299,OrderLines!$F$2:$F$925,"Dessert")&gt;0,"Dessert",""),IF(COUNTIFS(OrderLines!$A$2:$A$925,A299,OrderLines!$F$2:$F$925,"Hot Meal")&gt;0,"Hot Meal",""),IF(COUNTIFS(OrderLines!$A$2:$A$925,A299,OrderLines!$F$2:$F$925,"Snack")&gt;0,"Snack",""))</f>
        <v>Hot Meal</v>
      </c>
    </row>
    <row r="300" spans="1:9">
      <c r="A300" t="str">
        <f>Orders!A300</f>
        <v>O00299</v>
      </c>
      <c r="B300" t="str">
        <f>Orders!C300</f>
        <v>Plant 2 Canteen</v>
      </c>
      <c r="C300" t="str">
        <f>Orders!F300</f>
        <v>Lunch</v>
      </c>
      <c r="D300" t="str">
        <f>Orders!J300</f>
        <v>Combo</v>
      </c>
      <c r="E300" s="24">
        <f>Orders!I300</f>
        <v>453.73690000000005</v>
      </c>
      <c r="F300" s="24">
        <f>SUMIF(OrderLines!$A$2:$A$925,A300,OrderLines!$L$2:$L$925)</f>
        <v>238.36</v>
      </c>
      <c r="G300" s="23">
        <f t="shared" si="10"/>
        <v>215.37690000000003</v>
      </c>
      <c r="H300" s="23">
        <f t="shared" si="11"/>
        <v>0.47467353878426022</v>
      </c>
      <c r="I300" t="str">
        <f>_xlfn.TEXTJOIN(" + ",TRUE,IF(COUNTIFS(OrderLines!$A$2:$A$925,A300,OrderLines!$F$2:$F$925,"Beverage")&gt;0,"Beverage",""),IF(COUNTIFS(OrderLines!$A$2:$A$925,A300,OrderLines!$F$2:$F$925,"Dessert")&gt;0,"Dessert",""),IF(COUNTIFS(OrderLines!$A$2:$A$925,A300,OrderLines!$F$2:$F$925,"Hot Meal")&gt;0,"Hot Meal",""),IF(COUNTIFS(OrderLines!$A$2:$A$925,A300,OrderLines!$F$2:$F$925,"Snack")&gt;0,"Snack",""))</f>
        <v>Beverage + Dessert + Hot Meal + Snack</v>
      </c>
    </row>
    <row r="301" spans="1:9">
      <c r="A301" t="str">
        <f>Orders!A301</f>
        <v>O00300</v>
      </c>
      <c r="B301" t="str">
        <f>Orders!C301</f>
        <v>Head Office Café</v>
      </c>
      <c r="C301" t="str">
        <f>Orders!F301</f>
        <v>Breakfast</v>
      </c>
      <c r="D301" t="str">
        <f>Orders!J301</f>
        <v>Single</v>
      </c>
      <c r="E301" s="24">
        <f>Orders!I301</f>
        <v>376.82670000000002</v>
      </c>
      <c r="F301" s="24">
        <f>SUMIF(OrderLines!$A$2:$A$925,A301,OrderLines!$L$2:$L$925)</f>
        <v>185.63</v>
      </c>
      <c r="G301" s="23">
        <f t="shared" si="10"/>
        <v>191.19670000000002</v>
      </c>
      <c r="H301" s="23">
        <f t="shared" si="11"/>
        <v>0.507386286587442</v>
      </c>
      <c r="I301" t="str">
        <f>_xlfn.TEXTJOIN(" + ",TRUE,IF(COUNTIFS(OrderLines!$A$2:$A$925,A301,OrderLines!$F$2:$F$925,"Beverage")&gt;0,"Beverage",""),IF(COUNTIFS(OrderLines!$A$2:$A$925,A301,OrderLines!$F$2:$F$925,"Dessert")&gt;0,"Dessert",""),IF(COUNTIFS(OrderLines!$A$2:$A$925,A301,OrderLines!$F$2:$F$925,"Hot Meal")&gt;0,"Hot Meal",""),IF(COUNTIFS(OrderLines!$A$2:$A$925,A301,OrderLines!$F$2:$F$925,"Snack")&gt;0,"Snack",""))</f>
        <v>Dessert + Hot Meal + Snack</v>
      </c>
    </row>
    <row r="302" spans="1:9">
      <c r="A302" t="str">
        <f>Orders!A302</f>
        <v>O00301</v>
      </c>
      <c r="B302" t="str">
        <f>Orders!C302</f>
        <v>Plant 2 Canteen</v>
      </c>
      <c r="C302" t="str">
        <f>Orders!F302</f>
        <v>Lunch</v>
      </c>
      <c r="D302" t="str">
        <f>Orders!J302</f>
        <v>Single</v>
      </c>
      <c r="E302" s="24">
        <f>Orders!I302</f>
        <v>349.06619999999998</v>
      </c>
      <c r="F302" s="24">
        <f>SUMIF(OrderLines!$A$2:$A$925,A302,OrderLines!$L$2:$L$925)</f>
        <v>164.47</v>
      </c>
      <c r="G302" s="23">
        <f t="shared" si="10"/>
        <v>184.59619999999998</v>
      </c>
      <c r="H302" s="23">
        <f t="shared" si="11"/>
        <v>0.52882862906806782</v>
      </c>
      <c r="I302" t="str">
        <f>_xlfn.TEXTJOIN(" + ",TRUE,IF(COUNTIFS(OrderLines!$A$2:$A$925,A302,OrderLines!$F$2:$F$925,"Beverage")&gt;0,"Beverage",""),IF(COUNTIFS(OrderLines!$A$2:$A$925,A302,OrderLines!$F$2:$F$925,"Dessert")&gt;0,"Dessert",""),IF(COUNTIFS(OrderLines!$A$2:$A$925,A302,OrderLines!$F$2:$F$925,"Hot Meal")&gt;0,"Hot Meal",""),IF(COUNTIFS(OrderLines!$A$2:$A$925,A302,OrderLines!$F$2:$F$925,"Snack")&gt;0,"Snack",""))</f>
        <v>Dessert + Snack</v>
      </c>
    </row>
    <row r="303" spans="1:9">
      <c r="A303" t="str">
        <f>Orders!A303</f>
        <v>O00302</v>
      </c>
      <c r="B303" t="str">
        <f>Orders!C303</f>
        <v>Plant 2 Canteen</v>
      </c>
      <c r="C303" t="str">
        <f>Orders!F303</f>
        <v>Dinner</v>
      </c>
      <c r="D303" t="str">
        <f>Orders!J303</f>
        <v>Single</v>
      </c>
      <c r="E303" s="24">
        <f>Orders!I303</f>
        <v>63.935999999999993</v>
      </c>
      <c r="F303" s="24">
        <f>SUMIF(OrderLines!$A$2:$A$925,A303,OrderLines!$L$2:$L$925)</f>
        <v>28.14</v>
      </c>
      <c r="G303" s="23">
        <f t="shared" si="10"/>
        <v>35.795999999999992</v>
      </c>
      <c r="H303" s="23">
        <f t="shared" si="11"/>
        <v>0.55987237237237231</v>
      </c>
      <c r="I303" t="str">
        <f>_xlfn.TEXTJOIN(" + ",TRUE,IF(COUNTIFS(OrderLines!$A$2:$A$925,A303,OrderLines!$F$2:$F$925,"Beverage")&gt;0,"Beverage",""),IF(COUNTIFS(OrderLines!$A$2:$A$925,A303,OrderLines!$F$2:$F$925,"Dessert")&gt;0,"Dessert",""),IF(COUNTIFS(OrderLines!$A$2:$A$925,A303,OrderLines!$F$2:$F$925,"Hot Meal")&gt;0,"Hot Meal",""),IF(COUNTIFS(OrderLines!$A$2:$A$925,A303,OrderLines!$F$2:$F$925,"Snack")&gt;0,"Snack",""))</f>
        <v>Beverage</v>
      </c>
    </row>
    <row r="304" spans="1:9">
      <c r="A304" t="str">
        <f>Orders!A304</f>
        <v>O00303</v>
      </c>
      <c r="B304" t="str">
        <f>Orders!C304</f>
        <v>Plant 1 Canteen</v>
      </c>
      <c r="C304" t="str">
        <f>Orders!F304</f>
        <v>Lunch</v>
      </c>
      <c r="D304" t="str">
        <f>Orders!J304</f>
        <v>Single</v>
      </c>
      <c r="E304" s="24">
        <f>Orders!I304</f>
        <v>149.7792</v>
      </c>
      <c r="F304" s="24">
        <f>SUMIF(OrderLines!$A$2:$A$925,A304,OrderLines!$L$2:$L$925)</f>
        <v>70.12</v>
      </c>
      <c r="G304" s="23">
        <f t="shared" si="10"/>
        <v>79.659199999999998</v>
      </c>
      <c r="H304" s="23">
        <f t="shared" si="11"/>
        <v>0.53184420800752041</v>
      </c>
      <c r="I304" t="str">
        <f>_xlfn.TEXTJOIN(" + ",TRUE,IF(COUNTIFS(OrderLines!$A$2:$A$925,A304,OrderLines!$F$2:$F$925,"Beverage")&gt;0,"Beverage",""),IF(COUNTIFS(OrderLines!$A$2:$A$925,A304,OrderLines!$F$2:$F$925,"Dessert")&gt;0,"Dessert",""),IF(COUNTIFS(OrderLines!$A$2:$A$925,A304,OrderLines!$F$2:$F$925,"Hot Meal")&gt;0,"Hot Meal",""),IF(COUNTIFS(OrderLines!$A$2:$A$925,A304,OrderLines!$F$2:$F$925,"Snack")&gt;0,"Snack",""))</f>
        <v>Snack</v>
      </c>
    </row>
    <row r="305" spans="1:9">
      <c r="A305" t="str">
        <f>Orders!A305</f>
        <v>O00304</v>
      </c>
      <c r="B305" t="str">
        <f>Orders!C305</f>
        <v>Plant 2 Canteen</v>
      </c>
      <c r="C305" t="str">
        <f>Orders!F305</f>
        <v>Breakfast</v>
      </c>
      <c r="D305" t="str">
        <f>Orders!J305</f>
        <v>Single</v>
      </c>
      <c r="E305" s="24">
        <f>Orders!I305</f>
        <v>30.671399999999995</v>
      </c>
      <c r="F305" s="24">
        <f>SUMIF(OrderLines!$A$2:$A$925,A305,OrderLines!$L$2:$L$925)</f>
        <v>11.84</v>
      </c>
      <c r="G305" s="23">
        <f t="shared" si="10"/>
        <v>18.831399999999995</v>
      </c>
      <c r="H305" s="23">
        <f t="shared" si="11"/>
        <v>0.61397262596425328</v>
      </c>
      <c r="I305" t="str">
        <f>_xlfn.TEXTJOIN(" + ",TRUE,IF(COUNTIFS(OrderLines!$A$2:$A$925,A305,OrderLines!$F$2:$F$925,"Beverage")&gt;0,"Beverage",""),IF(COUNTIFS(OrderLines!$A$2:$A$925,A305,OrderLines!$F$2:$F$925,"Dessert")&gt;0,"Dessert",""),IF(COUNTIFS(OrderLines!$A$2:$A$925,A305,OrderLines!$F$2:$F$925,"Hot Meal")&gt;0,"Hot Meal",""),IF(COUNTIFS(OrderLines!$A$2:$A$925,A305,OrderLines!$F$2:$F$925,"Snack")&gt;0,"Snack",""))</f>
        <v>Beverage</v>
      </c>
    </row>
    <row r="306" spans="1:9">
      <c r="A306" t="str">
        <f>Orders!A306</f>
        <v>O00305</v>
      </c>
      <c r="B306" t="str">
        <f>Orders!C306</f>
        <v>Head Office Café</v>
      </c>
      <c r="C306" t="str">
        <f>Orders!F306</f>
        <v>Dinner</v>
      </c>
      <c r="D306" t="str">
        <f>Orders!J306</f>
        <v>Single</v>
      </c>
      <c r="E306" s="24">
        <f>Orders!I306</f>
        <v>572.08000000000004</v>
      </c>
      <c r="F306" s="24">
        <f>SUMIF(OrderLines!$A$2:$A$925,A306,OrderLines!$L$2:$L$925)</f>
        <v>255.18</v>
      </c>
      <c r="G306" s="23">
        <f t="shared" si="10"/>
        <v>316.90000000000003</v>
      </c>
      <c r="H306" s="23">
        <f t="shared" si="11"/>
        <v>0.5539435044049783</v>
      </c>
      <c r="I306" t="str">
        <f>_xlfn.TEXTJOIN(" + ",TRUE,IF(COUNTIFS(OrderLines!$A$2:$A$925,A306,OrderLines!$F$2:$F$925,"Beverage")&gt;0,"Beverage",""),IF(COUNTIFS(OrderLines!$A$2:$A$925,A306,OrderLines!$F$2:$F$925,"Dessert")&gt;0,"Dessert",""),IF(COUNTIFS(OrderLines!$A$2:$A$925,A306,OrderLines!$F$2:$F$925,"Hot Meal")&gt;0,"Hot Meal",""),IF(COUNTIFS(OrderLines!$A$2:$A$925,A306,OrderLines!$F$2:$F$925,"Snack")&gt;0,"Snack",""))</f>
        <v>Hot Meal + Snack</v>
      </c>
    </row>
    <row r="307" spans="1:9">
      <c r="A307" t="str">
        <f>Orders!A307</f>
        <v>O00306</v>
      </c>
      <c r="B307" t="str">
        <f>Orders!C307</f>
        <v>Plant 2 Canteen</v>
      </c>
      <c r="C307" t="str">
        <f>Orders!F307</f>
        <v>Lunch</v>
      </c>
      <c r="D307" t="str">
        <f>Orders!J307</f>
        <v>Combo</v>
      </c>
      <c r="E307" s="24">
        <f>Orders!I307</f>
        <v>680.33</v>
      </c>
      <c r="F307" s="24">
        <f>SUMIF(OrderLines!$A$2:$A$925,A307,OrderLines!$L$2:$L$925)</f>
        <v>347.44</v>
      </c>
      <c r="G307" s="23">
        <f t="shared" si="10"/>
        <v>332.89000000000004</v>
      </c>
      <c r="H307" s="23">
        <f t="shared" si="11"/>
        <v>0.48930666000323375</v>
      </c>
      <c r="I307" t="str">
        <f>_xlfn.TEXTJOIN(" + ",TRUE,IF(COUNTIFS(OrderLines!$A$2:$A$925,A307,OrderLines!$F$2:$F$925,"Beverage")&gt;0,"Beverage",""),IF(COUNTIFS(OrderLines!$A$2:$A$925,A307,OrderLines!$F$2:$F$925,"Dessert")&gt;0,"Dessert",""),IF(COUNTIFS(OrderLines!$A$2:$A$925,A307,OrderLines!$F$2:$F$925,"Hot Meal")&gt;0,"Hot Meal",""),IF(COUNTIFS(OrderLines!$A$2:$A$925,A307,OrderLines!$F$2:$F$925,"Snack")&gt;0,"Snack",""))</f>
        <v>Beverage + Hot Meal + Snack</v>
      </c>
    </row>
    <row r="308" spans="1:9">
      <c r="A308" t="str">
        <f>Orders!A308</f>
        <v>O00307</v>
      </c>
      <c r="B308" t="str">
        <f>Orders!C308</f>
        <v>Plant 1 Canteen</v>
      </c>
      <c r="C308" t="str">
        <f>Orders!F308</f>
        <v>Breakfast</v>
      </c>
      <c r="D308" t="str">
        <f>Orders!J308</f>
        <v>Combo</v>
      </c>
      <c r="E308" s="24">
        <f>Orders!I308</f>
        <v>414.88839999999999</v>
      </c>
      <c r="F308" s="24">
        <f>SUMIF(OrderLines!$A$2:$A$925,A308,OrderLines!$L$2:$L$925)</f>
        <v>197.43</v>
      </c>
      <c r="G308" s="23">
        <f t="shared" si="10"/>
        <v>217.45839999999998</v>
      </c>
      <c r="H308" s="23">
        <f t="shared" si="11"/>
        <v>0.52413709325206481</v>
      </c>
      <c r="I308" t="str">
        <f>_xlfn.TEXTJOIN(" + ",TRUE,IF(COUNTIFS(OrderLines!$A$2:$A$925,A308,OrderLines!$F$2:$F$925,"Beverage")&gt;0,"Beverage",""),IF(COUNTIFS(OrderLines!$A$2:$A$925,A308,OrderLines!$F$2:$F$925,"Dessert")&gt;0,"Dessert",""),IF(COUNTIFS(OrderLines!$A$2:$A$925,A308,OrderLines!$F$2:$F$925,"Hot Meal")&gt;0,"Hot Meal",""),IF(COUNTIFS(OrderLines!$A$2:$A$925,A308,OrderLines!$F$2:$F$925,"Snack")&gt;0,"Snack",""))</f>
        <v>Beverage + Dessert + Hot Meal</v>
      </c>
    </row>
    <row r="309" spans="1:9">
      <c r="A309" t="str">
        <f>Orders!A309</f>
        <v>O00308</v>
      </c>
      <c r="B309" t="str">
        <f>Orders!C309</f>
        <v>Plant 2 Canteen</v>
      </c>
      <c r="C309" t="str">
        <f>Orders!F309</f>
        <v>Lunch</v>
      </c>
      <c r="D309" t="str">
        <f>Orders!J309</f>
        <v>Single</v>
      </c>
      <c r="E309" s="24">
        <f>Orders!I309</f>
        <v>977.06549999999993</v>
      </c>
      <c r="F309" s="24">
        <f>SUMIF(OrderLines!$A$2:$A$925,A309,OrderLines!$L$2:$L$925)</f>
        <v>460.21999999999997</v>
      </c>
      <c r="G309" s="23">
        <f t="shared" si="10"/>
        <v>516.8454999999999</v>
      </c>
      <c r="H309" s="23">
        <f t="shared" si="11"/>
        <v>0.52897733058837915</v>
      </c>
      <c r="I309" t="str">
        <f>_xlfn.TEXTJOIN(" + ",TRUE,IF(COUNTIFS(OrderLines!$A$2:$A$925,A309,OrderLines!$F$2:$F$925,"Beverage")&gt;0,"Beverage",""),IF(COUNTIFS(OrderLines!$A$2:$A$925,A309,OrderLines!$F$2:$F$925,"Dessert")&gt;0,"Dessert",""),IF(COUNTIFS(OrderLines!$A$2:$A$925,A309,OrderLines!$F$2:$F$925,"Hot Meal")&gt;0,"Hot Meal",""),IF(COUNTIFS(OrderLines!$A$2:$A$925,A309,OrderLines!$F$2:$F$925,"Snack")&gt;0,"Snack",""))</f>
        <v>Dessert + Hot Meal</v>
      </c>
    </row>
    <row r="310" spans="1:9">
      <c r="A310" t="str">
        <f>Orders!A310</f>
        <v>O00309</v>
      </c>
      <c r="B310" t="str">
        <f>Orders!C310</f>
        <v>Plant 1 Canteen</v>
      </c>
      <c r="C310" t="str">
        <f>Orders!F310</f>
        <v>Dinner</v>
      </c>
      <c r="D310" t="str">
        <f>Orders!J310</f>
        <v>Single</v>
      </c>
      <c r="E310" s="24">
        <f>Orders!I310</f>
        <v>101.46299999999999</v>
      </c>
      <c r="F310" s="24">
        <f>SUMIF(OrderLines!$A$2:$A$925,A310,OrderLines!$L$2:$L$925)</f>
        <v>50.94</v>
      </c>
      <c r="G310" s="23">
        <f t="shared" si="10"/>
        <v>50.522999999999996</v>
      </c>
      <c r="H310" s="23">
        <f t="shared" si="11"/>
        <v>0.49794506371780844</v>
      </c>
      <c r="I310" t="str">
        <f>_xlfn.TEXTJOIN(" + ",TRUE,IF(COUNTIFS(OrderLines!$A$2:$A$925,A310,OrderLines!$F$2:$F$925,"Beverage")&gt;0,"Beverage",""),IF(COUNTIFS(OrderLines!$A$2:$A$925,A310,OrderLines!$F$2:$F$925,"Dessert")&gt;0,"Dessert",""),IF(COUNTIFS(OrderLines!$A$2:$A$925,A310,OrderLines!$F$2:$F$925,"Hot Meal")&gt;0,"Hot Meal",""),IF(COUNTIFS(OrderLines!$A$2:$A$925,A310,OrderLines!$F$2:$F$925,"Snack")&gt;0,"Snack",""))</f>
        <v>Beverage + Snack</v>
      </c>
    </row>
    <row r="311" spans="1:9">
      <c r="A311" t="str">
        <f>Orders!A311</f>
        <v>O00310</v>
      </c>
      <c r="B311" t="str">
        <f>Orders!C311</f>
        <v>Plant 1 Canteen</v>
      </c>
      <c r="C311" t="str">
        <f>Orders!F311</f>
        <v>Breakfast</v>
      </c>
      <c r="D311" t="str">
        <f>Orders!J311</f>
        <v>Single</v>
      </c>
      <c r="E311" s="24">
        <f>Orders!I311</f>
        <v>162.30719999999999</v>
      </c>
      <c r="F311" s="24">
        <f>SUMIF(OrderLines!$A$2:$A$925,A311,OrderLines!$L$2:$L$925)</f>
        <v>88.89</v>
      </c>
      <c r="G311" s="23">
        <f t="shared" si="10"/>
        <v>73.417199999999994</v>
      </c>
      <c r="H311" s="23">
        <f t="shared" si="11"/>
        <v>0.45233483172650379</v>
      </c>
      <c r="I311" t="str">
        <f>_xlfn.TEXTJOIN(" + ",TRUE,IF(COUNTIFS(OrderLines!$A$2:$A$925,A311,OrderLines!$F$2:$F$925,"Beverage")&gt;0,"Beverage",""),IF(COUNTIFS(OrderLines!$A$2:$A$925,A311,OrderLines!$F$2:$F$925,"Dessert")&gt;0,"Dessert",""),IF(COUNTIFS(OrderLines!$A$2:$A$925,A311,OrderLines!$F$2:$F$925,"Hot Meal")&gt;0,"Hot Meal",""),IF(COUNTIFS(OrderLines!$A$2:$A$925,A311,OrderLines!$F$2:$F$925,"Snack")&gt;0,"Snack",""))</f>
        <v>Beverage + Dessert + Snack</v>
      </c>
    </row>
    <row r="312" spans="1:9">
      <c r="A312" t="str">
        <f>Orders!A312</f>
        <v>O00311</v>
      </c>
      <c r="B312" t="str">
        <f>Orders!C312</f>
        <v>Head Office Café</v>
      </c>
      <c r="C312" t="str">
        <f>Orders!F312</f>
        <v>Breakfast</v>
      </c>
      <c r="D312" t="str">
        <f>Orders!J312</f>
        <v>Single</v>
      </c>
      <c r="E312" s="24">
        <f>Orders!I312</f>
        <v>314.87819999999999</v>
      </c>
      <c r="F312" s="24">
        <f>SUMIF(OrderLines!$A$2:$A$925,A312,OrderLines!$L$2:$L$925)</f>
        <v>164.53</v>
      </c>
      <c r="G312" s="23">
        <f t="shared" si="10"/>
        <v>150.34819999999999</v>
      </c>
      <c r="H312" s="23">
        <f t="shared" si="11"/>
        <v>0.47748049880874571</v>
      </c>
      <c r="I312" t="str">
        <f>_xlfn.TEXTJOIN(" + ",TRUE,IF(COUNTIFS(OrderLines!$A$2:$A$925,A312,OrderLines!$F$2:$F$925,"Beverage")&gt;0,"Beverage",""),IF(COUNTIFS(OrderLines!$A$2:$A$925,A312,OrderLines!$F$2:$F$925,"Dessert")&gt;0,"Dessert",""),IF(COUNTIFS(OrderLines!$A$2:$A$925,A312,OrderLines!$F$2:$F$925,"Hot Meal")&gt;0,"Hot Meal",""),IF(COUNTIFS(OrderLines!$A$2:$A$925,A312,OrderLines!$F$2:$F$925,"Snack")&gt;0,"Snack",""))</f>
        <v>Dessert + Snack</v>
      </c>
    </row>
    <row r="313" spans="1:9">
      <c r="A313" t="str">
        <f>Orders!A313</f>
        <v>O00312</v>
      </c>
      <c r="B313" t="str">
        <f>Orders!C313</f>
        <v>Head Office Café</v>
      </c>
      <c r="C313" t="str">
        <f>Orders!F313</f>
        <v>Dinner</v>
      </c>
      <c r="D313" t="str">
        <f>Orders!J313</f>
        <v>Single</v>
      </c>
      <c r="E313" s="24">
        <f>Orders!I313</f>
        <v>260.96500000000003</v>
      </c>
      <c r="F313" s="24">
        <f>SUMIF(OrderLines!$A$2:$A$925,A313,OrderLines!$L$2:$L$925)</f>
        <v>138.99</v>
      </c>
      <c r="G313" s="23">
        <f t="shared" si="10"/>
        <v>121.97500000000002</v>
      </c>
      <c r="H313" s="23">
        <f t="shared" si="11"/>
        <v>0.46739984289080916</v>
      </c>
      <c r="I313" t="str">
        <f>_xlfn.TEXTJOIN(" + ",TRUE,IF(COUNTIFS(OrderLines!$A$2:$A$925,A313,OrderLines!$F$2:$F$925,"Beverage")&gt;0,"Beverage",""),IF(COUNTIFS(OrderLines!$A$2:$A$925,A313,OrderLines!$F$2:$F$925,"Dessert")&gt;0,"Dessert",""),IF(COUNTIFS(OrderLines!$A$2:$A$925,A313,OrderLines!$F$2:$F$925,"Hot Meal")&gt;0,"Hot Meal",""),IF(COUNTIFS(OrderLines!$A$2:$A$925,A313,OrderLines!$F$2:$F$925,"Snack")&gt;0,"Snack",""))</f>
        <v>Dessert + Snack</v>
      </c>
    </row>
    <row r="314" spans="1:9">
      <c r="A314" t="str">
        <f>Orders!A314</f>
        <v>O00313</v>
      </c>
      <c r="B314" t="str">
        <f>Orders!C314</f>
        <v>Plant 2 Canteen</v>
      </c>
      <c r="C314" t="str">
        <f>Orders!F314</f>
        <v>Breakfast</v>
      </c>
      <c r="D314" t="str">
        <f>Orders!J314</f>
        <v>Single</v>
      </c>
      <c r="E314" s="24">
        <f>Orders!I314</f>
        <v>50.948</v>
      </c>
      <c r="F314" s="24">
        <f>SUMIF(OrderLines!$A$2:$A$925,A314,OrderLines!$L$2:$L$925)</f>
        <v>21.95</v>
      </c>
      <c r="G314" s="23">
        <f t="shared" si="10"/>
        <v>28.998000000000001</v>
      </c>
      <c r="H314" s="23">
        <f t="shared" si="11"/>
        <v>0.56916856402606586</v>
      </c>
      <c r="I314" t="str">
        <f>_xlfn.TEXTJOIN(" + ",TRUE,IF(COUNTIFS(OrderLines!$A$2:$A$925,A314,OrderLines!$F$2:$F$925,"Beverage")&gt;0,"Beverage",""),IF(COUNTIFS(OrderLines!$A$2:$A$925,A314,OrderLines!$F$2:$F$925,"Dessert")&gt;0,"Dessert",""),IF(COUNTIFS(OrderLines!$A$2:$A$925,A314,OrderLines!$F$2:$F$925,"Hot Meal")&gt;0,"Hot Meal",""),IF(COUNTIFS(OrderLines!$A$2:$A$925,A314,OrderLines!$F$2:$F$925,"Snack")&gt;0,"Snack",""))</f>
        <v>Dessert</v>
      </c>
    </row>
    <row r="315" spans="1:9">
      <c r="A315" t="str">
        <f>Orders!A315</f>
        <v>O00314</v>
      </c>
      <c r="B315" t="str">
        <f>Orders!C315</f>
        <v>Head Office Café</v>
      </c>
      <c r="C315" t="str">
        <f>Orders!F315</f>
        <v>Breakfast</v>
      </c>
      <c r="D315" t="str">
        <f>Orders!J315</f>
        <v>Single</v>
      </c>
      <c r="E315" s="24">
        <f>Orders!I315</f>
        <v>32.320399999999999</v>
      </c>
      <c r="F315" s="24">
        <f>SUMIF(OrderLines!$A$2:$A$925,A315,OrderLines!$L$2:$L$925)</f>
        <v>11.84</v>
      </c>
      <c r="G315" s="23">
        <f t="shared" si="10"/>
        <v>20.480399999999999</v>
      </c>
      <c r="H315" s="23">
        <f t="shared" si="11"/>
        <v>0.63366790014975061</v>
      </c>
      <c r="I315" t="str">
        <f>_xlfn.TEXTJOIN(" + ",TRUE,IF(COUNTIFS(OrderLines!$A$2:$A$925,A315,OrderLines!$F$2:$F$925,"Beverage")&gt;0,"Beverage",""),IF(COUNTIFS(OrderLines!$A$2:$A$925,A315,OrderLines!$F$2:$F$925,"Dessert")&gt;0,"Dessert",""),IF(COUNTIFS(OrderLines!$A$2:$A$925,A315,OrderLines!$F$2:$F$925,"Hot Meal")&gt;0,"Hot Meal",""),IF(COUNTIFS(OrderLines!$A$2:$A$925,A315,OrderLines!$F$2:$F$925,"Snack")&gt;0,"Snack",""))</f>
        <v>Beverage</v>
      </c>
    </row>
    <row r="316" spans="1:9">
      <c r="A316" t="str">
        <f>Orders!A316</f>
        <v>O00315</v>
      </c>
      <c r="B316" t="str">
        <f>Orders!C316</f>
        <v>Head Office Café</v>
      </c>
      <c r="C316" t="str">
        <f>Orders!F316</f>
        <v>Lunch</v>
      </c>
      <c r="D316" t="str">
        <f>Orders!J316</f>
        <v>Single</v>
      </c>
      <c r="E316" s="24">
        <f>Orders!I316</f>
        <v>325.66299999999995</v>
      </c>
      <c r="F316" s="24">
        <f>SUMIF(OrderLines!$A$2:$A$925,A316,OrderLines!$L$2:$L$925)</f>
        <v>163.66</v>
      </c>
      <c r="G316" s="23">
        <f t="shared" si="10"/>
        <v>162.00299999999996</v>
      </c>
      <c r="H316" s="23">
        <f t="shared" si="11"/>
        <v>0.49745595907425766</v>
      </c>
      <c r="I316" t="str">
        <f>_xlfn.TEXTJOIN(" + ",TRUE,IF(COUNTIFS(OrderLines!$A$2:$A$925,A316,OrderLines!$F$2:$F$925,"Beverage")&gt;0,"Beverage",""),IF(COUNTIFS(OrderLines!$A$2:$A$925,A316,OrderLines!$F$2:$F$925,"Dessert")&gt;0,"Dessert",""),IF(COUNTIFS(OrderLines!$A$2:$A$925,A316,OrderLines!$F$2:$F$925,"Hot Meal")&gt;0,"Hot Meal",""),IF(COUNTIFS(OrderLines!$A$2:$A$925,A316,OrderLines!$F$2:$F$925,"Snack")&gt;0,"Snack",""))</f>
        <v>Dessert</v>
      </c>
    </row>
    <row r="317" spans="1:9">
      <c r="A317" t="str">
        <f>Orders!A317</f>
        <v>O00316</v>
      </c>
      <c r="B317" t="str">
        <f>Orders!C317</f>
        <v>Plant 2 Canteen</v>
      </c>
      <c r="C317" t="str">
        <f>Orders!F317</f>
        <v>Lunch</v>
      </c>
      <c r="D317" t="str">
        <f>Orders!J317</f>
        <v>Single</v>
      </c>
      <c r="E317" s="24">
        <f>Orders!I317</f>
        <v>63.269999999999989</v>
      </c>
      <c r="F317" s="24">
        <f>SUMIF(OrderLines!$A$2:$A$925,A317,OrderLines!$L$2:$L$925)</f>
        <v>28.14</v>
      </c>
      <c r="G317" s="23">
        <f t="shared" si="10"/>
        <v>35.129999999999988</v>
      </c>
      <c r="H317" s="23">
        <f t="shared" si="11"/>
        <v>0.55523944997629204</v>
      </c>
      <c r="I317" t="str">
        <f>_xlfn.TEXTJOIN(" + ",TRUE,IF(COUNTIFS(OrderLines!$A$2:$A$925,A317,OrderLines!$F$2:$F$925,"Beverage")&gt;0,"Beverage",""),IF(COUNTIFS(OrderLines!$A$2:$A$925,A317,OrderLines!$F$2:$F$925,"Dessert")&gt;0,"Dessert",""),IF(COUNTIFS(OrderLines!$A$2:$A$925,A317,OrderLines!$F$2:$F$925,"Hot Meal")&gt;0,"Hot Meal",""),IF(COUNTIFS(OrderLines!$A$2:$A$925,A317,OrderLines!$F$2:$F$925,"Snack")&gt;0,"Snack",""))</f>
        <v>Beverage</v>
      </c>
    </row>
    <row r="318" spans="1:9">
      <c r="A318" t="str">
        <f>Orders!A318</f>
        <v>O00317</v>
      </c>
      <c r="B318" t="str">
        <f>Orders!C318</f>
        <v>Plant 1 Canteen</v>
      </c>
      <c r="C318" t="str">
        <f>Orders!F318</f>
        <v>Breakfast</v>
      </c>
      <c r="D318" t="str">
        <f>Orders!J318</f>
        <v>Single</v>
      </c>
      <c r="E318" s="24">
        <f>Orders!I318</f>
        <v>233.709</v>
      </c>
      <c r="F318" s="24">
        <f>SUMIF(OrderLines!$A$2:$A$925,A318,OrderLines!$L$2:$L$925)</f>
        <v>132.52000000000001</v>
      </c>
      <c r="G318" s="23">
        <f t="shared" si="10"/>
        <v>101.18899999999999</v>
      </c>
      <c r="H318" s="23">
        <f t="shared" si="11"/>
        <v>0.43297006105883812</v>
      </c>
      <c r="I318" t="str">
        <f>_xlfn.TEXTJOIN(" + ",TRUE,IF(COUNTIFS(OrderLines!$A$2:$A$925,A318,OrderLines!$F$2:$F$925,"Beverage")&gt;0,"Beverage",""),IF(COUNTIFS(OrderLines!$A$2:$A$925,A318,OrderLines!$F$2:$F$925,"Dessert")&gt;0,"Dessert",""),IF(COUNTIFS(OrderLines!$A$2:$A$925,A318,OrderLines!$F$2:$F$925,"Hot Meal")&gt;0,"Hot Meal",""),IF(COUNTIFS(OrderLines!$A$2:$A$925,A318,OrderLines!$F$2:$F$925,"Snack")&gt;0,"Snack",""))</f>
        <v>Hot Meal + Snack</v>
      </c>
    </row>
    <row r="319" spans="1:9">
      <c r="A319" t="str">
        <f>Orders!A319</f>
        <v>O00318</v>
      </c>
      <c r="B319" t="str">
        <f>Orders!C319</f>
        <v>Head Office Café</v>
      </c>
      <c r="C319" t="str">
        <f>Orders!F319</f>
        <v>Dinner</v>
      </c>
      <c r="D319" t="str">
        <f>Orders!J319</f>
        <v>Combo</v>
      </c>
      <c r="E319" s="24">
        <f>Orders!I319</f>
        <v>386.19579999999996</v>
      </c>
      <c r="F319" s="24">
        <f>SUMIF(OrderLines!$A$2:$A$925,A319,OrderLines!$L$2:$L$925)</f>
        <v>179.1</v>
      </c>
      <c r="G319" s="23">
        <f t="shared" si="10"/>
        <v>207.09579999999997</v>
      </c>
      <c r="H319" s="23">
        <f t="shared" si="11"/>
        <v>0.53624560391386955</v>
      </c>
      <c r="I319" t="str">
        <f>_xlfn.TEXTJOIN(" + ",TRUE,IF(COUNTIFS(OrderLines!$A$2:$A$925,A319,OrderLines!$F$2:$F$925,"Beverage")&gt;0,"Beverage",""),IF(COUNTIFS(OrderLines!$A$2:$A$925,A319,OrderLines!$F$2:$F$925,"Dessert")&gt;0,"Dessert",""),IF(COUNTIFS(OrderLines!$A$2:$A$925,A319,OrderLines!$F$2:$F$925,"Hot Meal")&gt;0,"Hot Meal",""),IF(COUNTIFS(OrderLines!$A$2:$A$925,A319,OrderLines!$F$2:$F$925,"Snack")&gt;0,"Snack",""))</f>
        <v>Beverage + Dessert + Hot Meal</v>
      </c>
    </row>
    <row r="320" spans="1:9">
      <c r="A320" t="str">
        <f>Orders!A320</f>
        <v>O00319</v>
      </c>
      <c r="B320" t="str">
        <f>Orders!C320</f>
        <v>Plant 2 Canteen</v>
      </c>
      <c r="C320" t="str">
        <f>Orders!F320</f>
        <v>Lunch</v>
      </c>
      <c r="D320" t="str">
        <f>Orders!J320</f>
        <v>Single</v>
      </c>
      <c r="E320" s="24">
        <f>Orders!I320</f>
        <v>89.506799999999998</v>
      </c>
      <c r="F320" s="24">
        <f>SUMIF(OrderLines!$A$2:$A$925,A320,OrderLines!$L$2:$L$925)</f>
        <v>45.14</v>
      </c>
      <c r="G320" s="23">
        <f t="shared" si="10"/>
        <v>44.366799999999998</v>
      </c>
      <c r="H320" s="23">
        <f t="shared" si="11"/>
        <v>0.4956807750919483</v>
      </c>
      <c r="I320" t="str">
        <f>_xlfn.TEXTJOIN(" + ",TRUE,IF(COUNTIFS(OrderLines!$A$2:$A$925,A320,OrderLines!$F$2:$F$925,"Beverage")&gt;0,"Beverage",""),IF(COUNTIFS(OrderLines!$A$2:$A$925,A320,OrderLines!$F$2:$F$925,"Dessert")&gt;0,"Dessert",""),IF(COUNTIFS(OrderLines!$A$2:$A$925,A320,OrderLines!$F$2:$F$925,"Hot Meal")&gt;0,"Hot Meal",""),IF(COUNTIFS(OrderLines!$A$2:$A$925,A320,OrderLines!$F$2:$F$925,"Snack")&gt;0,"Snack",""))</f>
        <v>Beverage + Dessert</v>
      </c>
    </row>
    <row r="321" spans="1:9">
      <c r="A321" t="str">
        <f>Orders!A321</f>
        <v>O00320</v>
      </c>
      <c r="B321" t="str">
        <f>Orders!C321</f>
        <v>Plant 1 Canteen</v>
      </c>
      <c r="C321" t="str">
        <f>Orders!F321</f>
        <v>Dinner</v>
      </c>
      <c r="D321" t="str">
        <f>Orders!J321</f>
        <v>Single</v>
      </c>
      <c r="E321" s="24">
        <f>Orders!I321</f>
        <v>300.66080000000005</v>
      </c>
      <c r="F321" s="24">
        <f>SUMIF(OrderLines!$A$2:$A$925,A321,OrderLines!$L$2:$L$925)</f>
        <v>148.13999999999999</v>
      </c>
      <c r="G321" s="23">
        <f t="shared" si="10"/>
        <v>152.52080000000007</v>
      </c>
      <c r="H321" s="23">
        <f t="shared" si="11"/>
        <v>0.50728528627609604</v>
      </c>
      <c r="I321" t="str">
        <f>_xlfn.TEXTJOIN(" + ",TRUE,IF(COUNTIFS(OrderLines!$A$2:$A$925,A321,OrderLines!$F$2:$F$925,"Beverage")&gt;0,"Beverage",""),IF(COUNTIFS(OrderLines!$A$2:$A$925,A321,OrderLines!$F$2:$F$925,"Dessert")&gt;0,"Dessert",""),IF(COUNTIFS(OrderLines!$A$2:$A$925,A321,OrderLines!$F$2:$F$925,"Hot Meal")&gt;0,"Hot Meal",""),IF(COUNTIFS(OrderLines!$A$2:$A$925,A321,OrderLines!$F$2:$F$925,"Snack")&gt;0,"Snack",""))</f>
        <v>Hot Meal</v>
      </c>
    </row>
    <row r="322" spans="1:9">
      <c r="A322" t="str">
        <f>Orders!A322</f>
        <v>O00321</v>
      </c>
      <c r="B322" t="str">
        <f>Orders!C322</f>
        <v>Head Office Café</v>
      </c>
      <c r="C322" t="str">
        <f>Orders!F322</f>
        <v>Breakfast</v>
      </c>
      <c r="D322" t="str">
        <f>Orders!J322</f>
        <v>Combo</v>
      </c>
      <c r="E322" s="24">
        <f>Orders!I322</f>
        <v>592.32219999999995</v>
      </c>
      <c r="F322" s="24">
        <f>SUMIF(OrderLines!$A$2:$A$925,A322,OrderLines!$L$2:$L$925)</f>
        <v>293.32</v>
      </c>
      <c r="G322" s="23">
        <f t="shared" si="10"/>
        <v>299.00219999999996</v>
      </c>
      <c r="H322" s="23">
        <f t="shared" si="11"/>
        <v>0.50479654485345982</v>
      </c>
      <c r="I322" t="str">
        <f>_xlfn.TEXTJOIN(" + ",TRUE,IF(COUNTIFS(OrderLines!$A$2:$A$925,A322,OrderLines!$F$2:$F$925,"Beverage")&gt;0,"Beverage",""),IF(COUNTIFS(OrderLines!$A$2:$A$925,A322,OrderLines!$F$2:$F$925,"Dessert")&gt;0,"Dessert",""),IF(COUNTIFS(OrderLines!$A$2:$A$925,A322,OrderLines!$F$2:$F$925,"Hot Meal")&gt;0,"Hot Meal",""),IF(COUNTIFS(OrderLines!$A$2:$A$925,A322,OrderLines!$F$2:$F$925,"Snack")&gt;0,"Snack",""))</f>
        <v>Beverage + Dessert + Hot Meal + Snack</v>
      </c>
    </row>
    <row r="323" spans="1:9">
      <c r="A323" t="str">
        <f>Orders!A323</f>
        <v>O00322</v>
      </c>
      <c r="B323" t="str">
        <f>Orders!C323</f>
        <v>Head Office Café</v>
      </c>
      <c r="C323" t="str">
        <f>Orders!F323</f>
        <v>Breakfast</v>
      </c>
      <c r="D323" t="str">
        <f>Orders!J323</f>
        <v>Combo</v>
      </c>
      <c r="E323" s="24">
        <f>Orders!I323</f>
        <v>668.0856</v>
      </c>
      <c r="F323" s="24">
        <f>SUMIF(OrderLines!$A$2:$A$925,A323,OrderLines!$L$2:$L$925)</f>
        <v>319.41999999999996</v>
      </c>
      <c r="G323" s="23">
        <f t="shared" si="10"/>
        <v>348.66560000000004</v>
      </c>
      <c r="H323" s="23">
        <f t="shared" si="11"/>
        <v>0.52188761440150788</v>
      </c>
      <c r="I323" t="str">
        <f>_xlfn.TEXTJOIN(" + ",TRUE,IF(COUNTIFS(OrderLines!$A$2:$A$925,A323,OrderLines!$F$2:$F$925,"Beverage")&gt;0,"Beverage",""),IF(COUNTIFS(OrderLines!$A$2:$A$925,A323,OrderLines!$F$2:$F$925,"Dessert")&gt;0,"Dessert",""),IF(COUNTIFS(OrderLines!$A$2:$A$925,A323,OrderLines!$F$2:$F$925,"Hot Meal")&gt;0,"Hot Meal",""),IF(COUNTIFS(OrderLines!$A$2:$A$925,A323,OrderLines!$F$2:$F$925,"Snack")&gt;0,"Snack",""))</f>
        <v>Beverage + Dessert + Hot Meal</v>
      </c>
    </row>
    <row r="324" spans="1:9">
      <c r="A324" t="str">
        <f>Orders!A324</f>
        <v>O00323</v>
      </c>
      <c r="B324" t="str">
        <f>Orders!C324</f>
        <v>Plant 1 Canteen</v>
      </c>
      <c r="C324" t="str">
        <f>Orders!F324</f>
        <v>Breakfast</v>
      </c>
      <c r="D324" t="str">
        <f>Orders!J324</f>
        <v>Single</v>
      </c>
      <c r="E324" s="24">
        <f>Orders!I324</f>
        <v>158.03059999999999</v>
      </c>
      <c r="F324" s="24">
        <f>SUMIF(OrderLines!$A$2:$A$925,A324,OrderLines!$L$2:$L$925)</f>
        <v>76.75</v>
      </c>
      <c r="G324" s="23">
        <f t="shared" si="10"/>
        <v>81.280599999999993</v>
      </c>
      <c r="H324" s="23">
        <f t="shared" si="11"/>
        <v>0.51433456558413371</v>
      </c>
      <c r="I324" t="str">
        <f>_xlfn.TEXTJOIN(" + ",TRUE,IF(COUNTIFS(OrderLines!$A$2:$A$925,A324,OrderLines!$F$2:$F$925,"Beverage")&gt;0,"Beverage",""),IF(COUNTIFS(OrderLines!$A$2:$A$925,A324,OrderLines!$F$2:$F$925,"Dessert")&gt;0,"Dessert",""),IF(COUNTIFS(OrderLines!$A$2:$A$925,A324,OrderLines!$F$2:$F$925,"Hot Meal")&gt;0,"Hot Meal",""),IF(COUNTIFS(OrderLines!$A$2:$A$925,A324,OrderLines!$F$2:$F$925,"Snack")&gt;0,"Snack",""))</f>
        <v>Beverage + Dessert</v>
      </c>
    </row>
    <row r="325" spans="1:9">
      <c r="A325" t="str">
        <f>Orders!A325</f>
        <v>O00324</v>
      </c>
      <c r="B325" t="str">
        <f>Orders!C325</f>
        <v>Plant 2 Canteen</v>
      </c>
      <c r="C325" t="str">
        <f>Orders!F325</f>
        <v>Lunch</v>
      </c>
      <c r="D325" t="str">
        <f>Orders!J325</f>
        <v>Single</v>
      </c>
      <c r="E325" s="24">
        <f>Orders!I325</f>
        <v>498.4896</v>
      </c>
      <c r="F325" s="24">
        <f>SUMIF(OrderLines!$A$2:$A$925,A325,OrderLines!$L$2:$L$925)</f>
        <v>235.67000000000002</v>
      </c>
      <c r="G325" s="23">
        <f t="shared" si="10"/>
        <v>262.81959999999998</v>
      </c>
      <c r="H325" s="23">
        <f t="shared" si="11"/>
        <v>0.52723186200875605</v>
      </c>
      <c r="I325" t="str">
        <f>_xlfn.TEXTJOIN(" + ",TRUE,IF(COUNTIFS(OrderLines!$A$2:$A$925,A325,OrderLines!$F$2:$F$925,"Beverage")&gt;0,"Beverage",""),IF(COUNTIFS(OrderLines!$A$2:$A$925,A325,OrderLines!$F$2:$F$925,"Dessert")&gt;0,"Dessert",""),IF(COUNTIFS(OrderLines!$A$2:$A$925,A325,OrderLines!$F$2:$F$925,"Hot Meal")&gt;0,"Hot Meal",""),IF(COUNTIFS(OrderLines!$A$2:$A$925,A325,OrderLines!$F$2:$F$925,"Snack")&gt;0,"Snack",""))</f>
        <v>Hot Meal + Snack</v>
      </c>
    </row>
    <row r="326" spans="1:9">
      <c r="A326" t="str">
        <f>Orders!A326</f>
        <v>O00325</v>
      </c>
      <c r="B326" t="str">
        <f>Orders!C326</f>
        <v>Plant 1 Canteen</v>
      </c>
      <c r="C326" t="str">
        <f>Orders!F326</f>
        <v>Breakfast</v>
      </c>
      <c r="D326" t="str">
        <f>Orders!J326</f>
        <v>Single</v>
      </c>
      <c r="E326" s="24">
        <f>Orders!I326</f>
        <v>46.676699999999997</v>
      </c>
      <c r="F326" s="24">
        <f>SUMIF(OrderLines!$A$2:$A$925,A326,OrderLines!$L$2:$L$925)</f>
        <v>22.61</v>
      </c>
      <c r="G326" s="23">
        <f t="shared" si="10"/>
        <v>24.066699999999997</v>
      </c>
      <c r="H326" s="23">
        <f t="shared" si="11"/>
        <v>0.51560414510880159</v>
      </c>
      <c r="I326" t="str">
        <f>_xlfn.TEXTJOIN(" + ",TRUE,IF(COUNTIFS(OrderLines!$A$2:$A$925,A326,OrderLines!$F$2:$F$925,"Beverage")&gt;0,"Beverage",""),IF(COUNTIFS(OrderLines!$A$2:$A$925,A326,OrderLines!$F$2:$F$925,"Dessert")&gt;0,"Dessert",""),IF(COUNTIFS(OrderLines!$A$2:$A$925,A326,OrderLines!$F$2:$F$925,"Hot Meal")&gt;0,"Hot Meal",""),IF(COUNTIFS(OrderLines!$A$2:$A$925,A326,OrderLines!$F$2:$F$925,"Snack")&gt;0,"Snack",""))</f>
        <v>Snack</v>
      </c>
    </row>
    <row r="327" spans="1:9">
      <c r="A327" t="str">
        <f>Orders!A327</f>
        <v>O00326</v>
      </c>
      <c r="B327" t="str">
        <f>Orders!C327</f>
        <v>Plant 2 Canteen</v>
      </c>
      <c r="C327" t="str">
        <f>Orders!F327</f>
        <v>Dinner</v>
      </c>
      <c r="D327" t="str">
        <f>Orders!J327</f>
        <v>Single</v>
      </c>
      <c r="E327" s="24">
        <f>Orders!I327</f>
        <v>18.903399999999998</v>
      </c>
      <c r="F327" s="24">
        <f>SUMIF(OrderLines!$A$2:$A$925,A327,OrderLines!$L$2:$L$925)</f>
        <v>8</v>
      </c>
      <c r="G327" s="23">
        <f t="shared" si="10"/>
        <v>10.903399999999998</v>
      </c>
      <c r="H327" s="23">
        <f t="shared" si="11"/>
        <v>0.57679570870848629</v>
      </c>
      <c r="I327" t="str">
        <f>_xlfn.TEXTJOIN(" + ",TRUE,IF(COUNTIFS(OrderLines!$A$2:$A$925,A327,OrderLines!$F$2:$F$925,"Beverage")&gt;0,"Beverage",""),IF(COUNTIFS(OrderLines!$A$2:$A$925,A327,OrderLines!$F$2:$F$925,"Dessert")&gt;0,"Dessert",""),IF(COUNTIFS(OrderLines!$A$2:$A$925,A327,OrderLines!$F$2:$F$925,"Hot Meal")&gt;0,"Hot Meal",""),IF(COUNTIFS(OrderLines!$A$2:$A$925,A327,OrderLines!$F$2:$F$925,"Snack")&gt;0,"Snack",""))</f>
        <v>Beverage</v>
      </c>
    </row>
    <row r="328" spans="1:9">
      <c r="A328" t="str">
        <f>Orders!A328</f>
        <v>O00327</v>
      </c>
      <c r="B328" t="str">
        <f>Orders!C328</f>
        <v>Plant 1 Canteen</v>
      </c>
      <c r="C328" t="str">
        <f>Orders!F328</f>
        <v>Lunch</v>
      </c>
      <c r="D328" t="str">
        <f>Orders!J328</f>
        <v>Single</v>
      </c>
      <c r="E328" s="24">
        <f>Orders!I328</f>
        <v>109.67920000000001</v>
      </c>
      <c r="F328" s="24">
        <f>SUMIF(OrderLines!$A$2:$A$925,A328,OrderLines!$L$2:$L$925)</f>
        <v>56.05</v>
      </c>
      <c r="G328" s="23">
        <f t="shared" si="10"/>
        <v>53.629200000000012</v>
      </c>
      <c r="H328" s="23">
        <f t="shared" si="11"/>
        <v>0.48896417916979706</v>
      </c>
      <c r="I328" t="str">
        <f>_xlfn.TEXTJOIN(" + ",TRUE,IF(COUNTIFS(OrderLines!$A$2:$A$925,A328,OrderLines!$F$2:$F$925,"Beverage")&gt;0,"Beverage",""),IF(COUNTIFS(OrderLines!$A$2:$A$925,A328,OrderLines!$F$2:$F$925,"Dessert")&gt;0,"Dessert",""),IF(COUNTIFS(OrderLines!$A$2:$A$925,A328,OrderLines!$F$2:$F$925,"Hot Meal")&gt;0,"Hot Meal",""),IF(COUNTIFS(OrderLines!$A$2:$A$925,A328,OrderLines!$F$2:$F$925,"Snack")&gt;0,"Snack",""))</f>
        <v>Beverage + Snack</v>
      </c>
    </row>
    <row r="329" spans="1:9">
      <c r="A329" t="str">
        <f>Orders!A329</f>
        <v>O00328</v>
      </c>
      <c r="B329" t="str">
        <f>Orders!C329</f>
        <v>Plant 1 Canteen</v>
      </c>
      <c r="C329" t="str">
        <f>Orders!F329</f>
        <v>Dinner</v>
      </c>
      <c r="D329" t="str">
        <f>Orders!J329</f>
        <v>Single</v>
      </c>
      <c r="E329" s="24">
        <f>Orders!I329</f>
        <v>284.01600000000002</v>
      </c>
      <c r="F329" s="24">
        <f>SUMIF(OrderLines!$A$2:$A$925,A329,OrderLines!$L$2:$L$925)</f>
        <v>161.84</v>
      </c>
      <c r="G329" s="23">
        <f t="shared" si="10"/>
        <v>122.17600000000002</v>
      </c>
      <c r="H329" s="23">
        <f t="shared" si="11"/>
        <v>0.43017294800292943</v>
      </c>
      <c r="I329" t="str">
        <f>_xlfn.TEXTJOIN(" + ",TRUE,IF(COUNTIFS(OrderLines!$A$2:$A$925,A329,OrderLines!$F$2:$F$925,"Beverage")&gt;0,"Beverage",""),IF(COUNTIFS(OrderLines!$A$2:$A$925,A329,OrderLines!$F$2:$F$925,"Dessert")&gt;0,"Dessert",""),IF(COUNTIFS(OrderLines!$A$2:$A$925,A329,OrderLines!$F$2:$F$925,"Hot Meal")&gt;0,"Hot Meal",""),IF(COUNTIFS(OrderLines!$A$2:$A$925,A329,OrderLines!$F$2:$F$925,"Snack")&gt;0,"Snack",""))</f>
        <v>Hot Meal</v>
      </c>
    </row>
    <row r="330" spans="1:9">
      <c r="A330" t="str">
        <f>Orders!A330</f>
        <v>O00329</v>
      </c>
      <c r="B330" t="str">
        <f>Orders!C330</f>
        <v>Head Office Café</v>
      </c>
      <c r="C330" t="str">
        <f>Orders!F330</f>
        <v>Breakfast</v>
      </c>
      <c r="D330" t="str">
        <f>Orders!J330</f>
        <v>Single</v>
      </c>
      <c r="E330" s="24">
        <f>Orders!I330</f>
        <v>513.09899999999993</v>
      </c>
      <c r="F330" s="24">
        <f>SUMIF(OrderLines!$A$2:$A$925,A330,OrderLines!$L$2:$L$925)</f>
        <v>290.51</v>
      </c>
      <c r="G330" s="23">
        <f t="shared" si="10"/>
        <v>222.58899999999994</v>
      </c>
      <c r="H330" s="23">
        <f t="shared" si="11"/>
        <v>0.43381296786779933</v>
      </c>
      <c r="I330" t="str">
        <f>_xlfn.TEXTJOIN(" + ",TRUE,IF(COUNTIFS(OrderLines!$A$2:$A$925,A330,OrderLines!$F$2:$F$925,"Beverage")&gt;0,"Beverage",""),IF(COUNTIFS(OrderLines!$A$2:$A$925,A330,OrderLines!$F$2:$F$925,"Dessert")&gt;0,"Dessert",""),IF(COUNTIFS(OrderLines!$A$2:$A$925,A330,OrderLines!$F$2:$F$925,"Hot Meal")&gt;0,"Hot Meal",""),IF(COUNTIFS(OrderLines!$A$2:$A$925,A330,OrderLines!$F$2:$F$925,"Snack")&gt;0,"Snack",""))</f>
        <v>Dessert + Hot Meal + Snack</v>
      </c>
    </row>
    <row r="331" spans="1:9">
      <c r="A331" t="str">
        <f>Orders!A331</f>
        <v>O00330</v>
      </c>
      <c r="B331" t="str">
        <f>Orders!C331</f>
        <v>Head Office Café</v>
      </c>
      <c r="C331" t="str">
        <f>Orders!F331</f>
        <v>Dinner</v>
      </c>
      <c r="D331" t="str">
        <f>Orders!J331</f>
        <v>Combo</v>
      </c>
      <c r="E331" s="24">
        <f>Orders!I331</f>
        <v>666.88040000000012</v>
      </c>
      <c r="F331" s="24">
        <f>SUMIF(OrderLines!$A$2:$A$925,A331,OrderLines!$L$2:$L$925)</f>
        <v>332.54999999999995</v>
      </c>
      <c r="G331" s="23">
        <f t="shared" si="10"/>
        <v>334.33040000000017</v>
      </c>
      <c r="H331" s="23">
        <f t="shared" si="11"/>
        <v>0.50133487204002414</v>
      </c>
      <c r="I331" t="str">
        <f>_xlfn.TEXTJOIN(" + ",TRUE,IF(COUNTIFS(OrderLines!$A$2:$A$925,A331,OrderLines!$F$2:$F$925,"Beverage")&gt;0,"Beverage",""),IF(COUNTIFS(OrderLines!$A$2:$A$925,A331,OrderLines!$F$2:$F$925,"Dessert")&gt;0,"Dessert",""),IF(COUNTIFS(OrderLines!$A$2:$A$925,A331,OrderLines!$F$2:$F$925,"Hot Meal")&gt;0,"Hot Meal",""),IF(COUNTIFS(OrderLines!$A$2:$A$925,A331,OrderLines!$F$2:$F$925,"Snack")&gt;0,"Snack",""))</f>
        <v>Beverage + Hot Meal</v>
      </c>
    </row>
    <row r="332" spans="1:9">
      <c r="A332" t="str">
        <f>Orders!A332</f>
        <v>O00331</v>
      </c>
      <c r="B332" t="str">
        <f>Orders!C332</f>
        <v>Plant 1 Canteen</v>
      </c>
      <c r="C332" t="str">
        <f>Orders!F332</f>
        <v>Breakfast</v>
      </c>
      <c r="D332" t="str">
        <f>Orders!J332</f>
        <v>Single</v>
      </c>
      <c r="E332" s="24">
        <f>Orders!I332</f>
        <v>404.07840000000004</v>
      </c>
      <c r="F332" s="24">
        <f>SUMIF(OrderLines!$A$2:$A$925,A332,OrderLines!$L$2:$L$925)</f>
        <v>211.34000000000003</v>
      </c>
      <c r="G332" s="23">
        <f t="shared" si="10"/>
        <v>192.73840000000001</v>
      </c>
      <c r="H332" s="23">
        <f t="shared" si="11"/>
        <v>0.47698268454834503</v>
      </c>
      <c r="I332" t="str">
        <f>_xlfn.TEXTJOIN(" + ",TRUE,IF(COUNTIFS(OrderLines!$A$2:$A$925,A332,OrderLines!$F$2:$F$925,"Beverage")&gt;0,"Beverage",""),IF(COUNTIFS(OrderLines!$A$2:$A$925,A332,OrderLines!$F$2:$F$925,"Dessert")&gt;0,"Dessert",""),IF(COUNTIFS(OrderLines!$A$2:$A$925,A332,OrderLines!$F$2:$F$925,"Hot Meal")&gt;0,"Hot Meal",""),IF(COUNTIFS(OrderLines!$A$2:$A$925,A332,OrderLines!$F$2:$F$925,"Snack")&gt;0,"Snack",""))</f>
        <v>Dessert + Hot Meal + Snack</v>
      </c>
    </row>
    <row r="333" spans="1:9">
      <c r="A333" t="str">
        <f>Orders!A333</f>
        <v>O00332</v>
      </c>
      <c r="B333" t="str">
        <f>Orders!C333</f>
        <v>Plant 1 Canteen</v>
      </c>
      <c r="C333" t="str">
        <f>Orders!F333</f>
        <v>Breakfast</v>
      </c>
      <c r="D333" t="str">
        <f>Orders!J333</f>
        <v>Single</v>
      </c>
      <c r="E333" s="24">
        <f>Orders!I333</f>
        <v>197.39699999999999</v>
      </c>
      <c r="F333" s="24">
        <f>SUMIF(OrderLines!$A$2:$A$925,A333,OrderLines!$L$2:$L$925)</f>
        <v>99.13000000000001</v>
      </c>
      <c r="G333" s="23">
        <f t="shared" si="10"/>
        <v>98.266999999999982</v>
      </c>
      <c r="H333" s="23">
        <f t="shared" si="11"/>
        <v>0.4978140498589137</v>
      </c>
      <c r="I333" t="str">
        <f>_xlfn.TEXTJOIN(" + ",TRUE,IF(COUNTIFS(OrderLines!$A$2:$A$925,A333,OrderLines!$F$2:$F$925,"Beverage")&gt;0,"Beverage",""),IF(COUNTIFS(OrderLines!$A$2:$A$925,A333,OrderLines!$F$2:$F$925,"Dessert")&gt;0,"Dessert",""),IF(COUNTIFS(OrderLines!$A$2:$A$925,A333,OrderLines!$F$2:$F$925,"Hot Meal")&gt;0,"Hot Meal",""),IF(COUNTIFS(OrderLines!$A$2:$A$925,A333,OrderLines!$F$2:$F$925,"Snack")&gt;0,"Snack",""))</f>
        <v>Beverage + Dessert + Snack</v>
      </c>
    </row>
    <row r="334" spans="1:9">
      <c r="A334" t="str">
        <f>Orders!A334</f>
        <v>O00333</v>
      </c>
      <c r="B334" t="str">
        <f>Orders!C334</f>
        <v>Plant 1 Canteen</v>
      </c>
      <c r="C334" t="str">
        <f>Orders!F334</f>
        <v>Breakfast</v>
      </c>
      <c r="D334" t="str">
        <f>Orders!J334</f>
        <v>Single</v>
      </c>
      <c r="E334" s="24">
        <f>Orders!I334</f>
        <v>147.2285</v>
      </c>
      <c r="F334" s="24">
        <f>SUMIF(OrderLines!$A$2:$A$925,A334,OrderLines!$L$2:$L$925)</f>
        <v>84.46</v>
      </c>
      <c r="G334" s="23">
        <f t="shared" si="10"/>
        <v>62.768500000000003</v>
      </c>
      <c r="H334" s="23">
        <f t="shared" si="11"/>
        <v>0.42633389595085192</v>
      </c>
      <c r="I334" t="str">
        <f>_xlfn.TEXTJOIN(" + ",TRUE,IF(COUNTIFS(OrderLines!$A$2:$A$925,A334,OrderLines!$F$2:$F$925,"Beverage")&gt;0,"Beverage",""),IF(COUNTIFS(OrderLines!$A$2:$A$925,A334,OrderLines!$F$2:$F$925,"Dessert")&gt;0,"Dessert",""),IF(COUNTIFS(OrderLines!$A$2:$A$925,A334,OrderLines!$F$2:$F$925,"Hot Meal")&gt;0,"Hot Meal",""),IF(COUNTIFS(OrderLines!$A$2:$A$925,A334,OrderLines!$F$2:$F$925,"Snack")&gt;0,"Snack",""))</f>
        <v>Beverage + Dessert</v>
      </c>
    </row>
    <row r="335" spans="1:9">
      <c r="A335" t="str">
        <f>Orders!A335</f>
        <v>O00334</v>
      </c>
      <c r="B335" t="str">
        <f>Orders!C335</f>
        <v>Plant 1 Canteen</v>
      </c>
      <c r="C335" t="str">
        <f>Orders!F335</f>
        <v>Breakfast</v>
      </c>
      <c r="D335" t="str">
        <f>Orders!J335</f>
        <v>Combo</v>
      </c>
      <c r="E335" s="24">
        <f>Orders!I335</f>
        <v>655.48719999999992</v>
      </c>
      <c r="F335" s="24">
        <f>SUMIF(OrderLines!$A$2:$A$925,A335,OrderLines!$L$2:$L$925)</f>
        <v>283.29000000000002</v>
      </c>
      <c r="G335" s="23">
        <f t="shared" si="10"/>
        <v>372.1971999999999</v>
      </c>
      <c r="H335" s="23">
        <f t="shared" si="11"/>
        <v>0.56781764769777343</v>
      </c>
      <c r="I335" t="str">
        <f>_xlfn.TEXTJOIN(" + ",TRUE,IF(COUNTIFS(OrderLines!$A$2:$A$925,A335,OrderLines!$F$2:$F$925,"Beverage")&gt;0,"Beverage",""),IF(COUNTIFS(OrderLines!$A$2:$A$925,A335,OrderLines!$F$2:$F$925,"Dessert")&gt;0,"Dessert",""),IF(COUNTIFS(OrderLines!$A$2:$A$925,A335,OrderLines!$F$2:$F$925,"Hot Meal")&gt;0,"Hot Meal",""),IF(COUNTIFS(OrderLines!$A$2:$A$925,A335,OrderLines!$F$2:$F$925,"Snack")&gt;0,"Snack",""))</f>
        <v>Beverage + Dessert + Hot Meal + Snack</v>
      </c>
    </row>
    <row r="336" spans="1:9">
      <c r="A336" t="str">
        <f>Orders!A336</f>
        <v>O00335</v>
      </c>
      <c r="B336" t="str">
        <f>Orders!C336</f>
        <v>Head Office Café</v>
      </c>
      <c r="C336" t="str">
        <f>Orders!F336</f>
        <v>Dinner</v>
      </c>
      <c r="D336" t="str">
        <f>Orders!J336</f>
        <v>Single</v>
      </c>
      <c r="E336" s="24">
        <f>Orders!I336</f>
        <v>656.71060000000011</v>
      </c>
      <c r="F336" s="24">
        <f>SUMIF(OrderLines!$A$2:$A$925,A336,OrderLines!$L$2:$L$925)</f>
        <v>327</v>
      </c>
      <c r="G336" s="23">
        <f t="shared" ref="G336:G360" si="12">E336-F336</f>
        <v>329.71060000000011</v>
      </c>
      <c r="H336" s="23">
        <f t="shared" ref="H336:H360" si="13">IFERROR(G336/E336,0)</f>
        <v>0.50206377055585838</v>
      </c>
      <c r="I336" t="str">
        <f>_xlfn.TEXTJOIN(" + ",TRUE,IF(COUNTIFS(OrderLines!$A$2:$A$925,A336,OrderLines!$F$2:$F$925,"Beverage")&gt;0,"Beverage",""),IF(COUNTIFS(OrderLines!$A$2:$A$925,A336,OrderLines!$F$2:$F$925,"Dessert")&gt;0,"Dessert",""),IF(COUNTIFS(OrderLines!$A$2:$A$925,A336,OrderLines!$F$2:$F$925,"Hot Meal")&gt;0,"Hot Meal",""),IF(COUNTIFS(OrderLines!$A$2:$A$925,A336,OrderLines!$F$2:$F$925,"Snack")&gt;0,"Snack",""))</f>
        <v>Dessert + Hot Meal</v>
      </c>
    </row>
    <row r="337" spans="1:9">
      <c r="A337" t="str">
        <f>Orders!A337</f>
        <v>O00336</v>
      </c>
      <c r="B337" t="str">
        <f>Orders!C337</f>
        <v>Plant 2 Canteen</v>
      </c>
      <c r="C337" t="str">
        <f>Orders!F337</f>
        <v>Breakfast</v>
      </c>
      <c r="D337" t="str">
        <f>Orders!J337</f>
        <v>Single</v>
      </c>
      <c r="E337" s="24">
        <f>Orders!I337</f>
        <v>199.50360000000001</v>
      </c>
      <c r="F337" s="24">
        <f>SUMIF(OrderLines!$A$2:$A$925,A337,OrderLines!$L$2:$L$925)</f>
        <v>103.5</v>
      </c>
      <c r="G337" s="23">
        <f t="shared" si="12"/>
        <v>96.003600000000006</v>
      </c>
      <c r="H337" s="23">
        <f t="shared" si="13"/>
        <v>0.48121236910010645</v>
      </c>
      <c r="I337" t="str">
        <f>_xlfn.TEXTJOIN(" + ",TRUE,IF(COUNTIFS(OrderLines!$A$2:$A$925,A337,OrderLines!$F$2:$F$925,"Beverage")&gt;0,"Beverage",""),IF(COUNTIFS(OrderLines!$A$2:$A$925,A337,OrderLines!$F$2:$F$925,"Dessert")&gt;0,"Dessert",""),IF(COUNTIFS(OrderLines!$A$2:$A$925,A337,OrderLines!$F$2:$F$925,"Hot Meal")&gt;0,"Hot Meal",""),IF(COUNTIFS(OrderLines!$A$2:$A$925,A337,OrderLines!$F$2:$F$925,"Snack")&gt;0,"Snack",""))</f>
        <v>Dessert + Snack</v>
      </c>
    </row>
    <row r="338" spans="1:9">
      <c r="A338" t="str">
        <f>Orders!A338</f>
        <v>O00337</v>
      </c>
      <c r="B338" t="str">
        <f>Orders!C338</f>
        <v>Head Office Café</v>
      </c>
      <c r="C338" t="str">
        <f>Orders!F338</f>
        <v>Lunch</v>
      </c>
      <c r="D338" t="str">
        <f>Orders!J338</f>
        <v>Single</v>
      </c>
      <c r="E338" s="24">
        <f>Orders!I338</f>
        <v>124.44</v>
      </c>
      <c r="F338" s="24">
        <f>SUMIF(OrderLines!$A$2:$A$925,A338,OrderLines!$L$2:$L$925)</f>
        <v>80.92</v>
      </c>
      <c r="G338" s="23">
        <f t="shared" si="12"/>
        <v>43.519999999999996</v>
      </c>
      <c r="H338" s="23">
        <f t="shared" si="13"/>
        <v>0.34972677595628415</v>
      </c>
      <c r="I338" t="str">
        <f>_xlfn.TEXTJOIN(" + ",TRUE,IF(COUNTIFS(OrderLines!$A$2:$A$925,A338,OrderLines!$F$2:$F$925,"Beverage")&gt;0,"Beverage",""),IF(COUNTIFS(OrderLines!$A$2:$A$925,A338,OrderLines!$F$2:$F$925,"Dessert")&gt;0,"Dessert",""),IF(COUNTIFS(OrderLines!$A$2:$A$925,A338,OrderLines!$F$2:$F$925,"Hot Meal")&gt;0,"Hot Meal",""),IF(COUNTIFS(OrderLines!$A$2:$A$925,A338,OrderLines!$F$2:$F$925,"Snack")&gt;0,"Snack",""))</f>
        <v>Hot Meal</v>
      </c>
    </row>
    <row r="339" spans="1:9">
      <c r="A339" t="str">
        <f>Orders!A339</f>
        <v>O00338</v>
      </c>
      <c r="B339" t="str">
        <f>Orders!C339</f>
        <v>Plant 2 Canteen</v>
      </c>
      <c r="C339" t="str">
        <f>Orders!F339</f>
        <v>Breakfast</v>
      </c>
      <c r="D339" t="str">
        <f>Orders!J339</f>
        <v>Single</v>
      </c>
      <c r="E339" s="24">
        <f>Orders!I339</f>
        <v>152.9787</v>
      </c>
      <c r="F339" s="24">
        <f>SUMIF(OrderLines!$A$2:$A$925,A339,OrderLines!$L$2:$L$925)</f>
        <v>63.589999999999996</v>
      </c>
      <c r="G339" s="23">
        <f t="shared" si="12"/>
        <v>89.3887</v>
      </c>
      <c r="H339" s="23">
        <f t="shared" si="13"/>
        <v>0.58432121596013042</v>
      </c>
      <c r="I339" t="str">
        <f>_xlfn.TEXTJOIN(" + ",TRUE,IF(COUNTIFS(OrderLines!$A$2:$A$925,A339,OrderLines!$F$2:$F$925,"Beverage")&gt;0,"Beverage",""),IF(COUNTIFS(OrderLines!$A$2:$A$925,A339,OrderLines!$F$2:$F$925,"Dessert")&gt;0,"Dessert",""),IF(COUNTIFS(OrderLines!$A$2:$A$925,A339,OrderLines!$F$2:$F$925,"Hot Meal")&gt;0,"Hot Meal",""),IF(COUNTIFS(OrderLines!$A$2:$A$925,A339,OrderLines!$F$2:$F$925,"Snack")&gt;0,"Snack",""))</f>
        <v>Beverage</v>
      </c>
    </row>
    <row r="340" spans="1:9">
      <c r="A340" t="str">
        <f>Orders!A340</f>
        <v>O00339</v>
      </c>
      <c r="B340" t="str">
        <f>Orders!C340</f>
        <v>Head Office Café</v>
      </c>
      <c r="C340" t="str">
        <f>Orders!F340</f>
        <v>Lunch</v>
      </c>
      <c r="D340" t="str">
        <f>Orders!J340</f>
        <v>Single</v>
      </c>
      <c r="E340" s="24">
        <f>Orders!I340</f>
        <v>392.66570000000002</v>
      </c>
      <c r="F340" s="24">
        <f>SUMIF(OrderLines!$A$2:$A$925,A340,OrderLines!$L$2:$L$925)</f>
        <v>185.36</v>
      </c>
      <c r="G340" s="23">
        <f t="shared" si="12"/>
        <v>207.3057</v>
      </c>
      <c r="H340" s="23">
        <f t="shared" si="13"/>
        <v>0.5279445085221347</v>
      </c>
      <c r="I340" t="str">
        <f>_xlfn.TEXTJOIN(" + ",TRUE,IF(COUNTIFS(OrderLines!$A$2:$A$925,A340,OrderLines!$F$2:$F$925,"Beverage")&gt;0,"Beverage",""),IF(COUNTIFS(OrderLines!$A$2:$A$925,A340,OrderLines!$F$2:$F$925,"Dessert")&gt;0,"Dessert",""),IF(COUNTIFS(OrderLines!$A$2:$A$925,A340,OrderLines!$F$2:$F$925,"Hot Meal")&gt;0,"Hot Meal",""),IF(COUNTIFS(OrderLines!$A$2:$A$925,A340,OrderLines!$F$2:$F$925,"Snack")&gt;0,"Snack",""))</f>
        <v>Dessert</v>
      </c>
    </row>
    <row r="341" spans="1:9">
      <c r="A341" t="str">
        <f>Orders!A341</f>
        <v>O00340</v>
      </c>
      <c r="B341" t="str">
        <f>Orders!C341</f>
        <v>Plant 1 Canteen</v>
      </c>
      <c r="C341" t="str">
        <f>Orders!F341</f>
        <v>Dinner</v>
      </c>
      <c r="D341" t="str">
        <f>Orders!J341</f>
        <v>Single</v>
      </c>
      <c r="E341" s="24">
        <f>Orders!I341</f>
        <v>263.87520000000001</v>
      </c>
      <c r="F341" s="24">
        <f>SUMIF(OrderLines!$A$2:$A$925,A341,OrderLines!$L$2:$L$925)</f>
        <v>125.37</v>
      </c>
      <c r="G341" s="23">
        <f t="shared" si="12"/>
        <v>138.5052</v>
      </c>
      <c r="H341" s="23">
        <f t="shared" si="13"/>
        <v>0.52488903845454216</v>
      </c>
      <c r="I341" t="str">
        <f>_xlfn.TEXTJOIN(" + ",TRUE,IF(COUNTIFS(OrderLines!$A$2:$A$925,A341,OrderLines!$F$2:$F$925,"Beverage")&gt;0,"Beverage",""),IF(COUNTIFS(OrderLines!$A$2:$A$925,A341,OrderLines!$F$2:$F$925,"Dessert")&gt;0,"Dessert",""),IF(COUNTIFS(OrderLines!$A$2:$A$925,A341,OrderLines!$F$2:$F$925,"Hot Meal")&gt;0,"Hot Meal",""),IF(COUNTIFS(OrderLines!$A$2:$A$925,A341,OrderLines!$F$2:$F$925,"Snack")&gt;0,"Snack",""))</f>
        <v>Beverage + Dessert + Snack</v>
      </c>
    </row>
    <row r="342" spans="1:9">
      <c r="A342" t="str">
        <f>Orders!A342</f>
        <v>O00341</v>
      </c>
      <c r="B342" t="str">
        <f>Orders!C342</f>
        <v>Head Office Café</v>
      </c>
      <c r="C342" t="str">
        <f>Orders!F342</f>
        <v>Dinner</v>
      </c>
      <c r="D342" t="str">
        <f>Orders!J342</f>
        <v>Single</v>
      </c>
      <c r="E342" s="24">
        <f>Orders!I342</f>
        <v>416</v>
      </c>
      <c r="F342" s="24">
        <f>SUMIF(OrderLines!$A$2:$A$925,A342,OrderLines!$L$2:$L$925)</f>
        <v>211.12</v>
      </c>
      <c r="G342" s="23">
        <f t="shared" si="12"/>
        <v>204.88</v>
      </c>
      <c r="H342" s="23">
        <f t="shared" si="13"/>
        <v>0.49249999999999999</v>
      </c>
      <c r="I342" t="str">
        <f>_xlfn.TEXTJOIN(" + ",TRUE,IF(COUNTIFS(OrderLines!$A$2:$A$925,A342,OrderLines!$F$2:$F$925,"Beverage")&gt;0,"Beverage",""),IF(COUNTIFS(OrderLines!$A$2:$A$925,A342,OrderLines!$F$2:$F$925,"Dessert")&gt;0,"Dessert",""),IF(COUNTIFS(OrderLines!$A$2:$A$925,A342,OrderLines!$F$2:$F$925,"Hot Meal")&gt;0,"Hot Meal",""),IF(COUNTIFS(OrderLines!$A$2:$A$925,A342,OrderLines!$F$2:$F$925,"Snack")&gt;0,"Snack",""))</f>
        <v>Dessert + Hot Meal + Snack</v>
      </c>
    </row>
    <row r="343" spans="1:9">
      <c r="A343" t="str">
        <f>Orders!A343</f>
        <v>O00342</v>
      </c>
      <c r="B343" t="str">
        <f>Orders!C343</f>
        <v>Plant 1 Canteen</v>
      </c>
      <c r="C343" t="str">
        <f>Orders!F343</f>
        <v>Dinner</v>
      </c>
      <c r="D343" t="str">
        <f>Orders!J343</f>
        <v>Single</v>
      </c>
      <c r="E343" s="24">
        <f>Orders!I343</f>
        <v>104.9376</v>
      </c>
      <c r="F343" s="24">
        <f>SUMIF(OrderLines!$A$2:$A$925,A343,OrderLines!$L$2:$L$925)</f>
        <v>53.58</v>
      </c>
      <c r="G343" s="23">
        <f t="shared" si="12"/>
        <v>51.357600000000005</v>
      </c>
      <c r="H343" s="23">
        <f t="shared" si="13"/>
        <v>0.48941084987649808</v>
      </c>
      <c r="I343" t="str">
        <f>_xlfn.TEXTJOIN(" + ",TRUE,IF(COUNTIFS(OrderLines!$A$2:$A$925,A343,OrderLines!$F$2:$F$925,"Beverage")&gt;0,"Beverage",""),IF(COUNTIFS(OrderLines!$A$2:$A$925,A343,OrderLines!$F$2:$F$925,"Dessert")&gt;0,"Dessert",""),IF(COUNTIFS(OrderLines!$A$2:$A$925,A343,OrderLines!$F$2:$F$925,"Hot Meal")&gt;0,"Hot Meal",""),IF(COUNTIFS(OrderLines!$A$2:$A$925,A343,OrderLines!$F$2:$F$925,"Snack")&gt;0,"Snack",""))</f>
        <v>Beverage + Snack</v>
      </c>
    </row>
    <row r="344" spans="1:9">
      <c r="A344" t="str">
        <f>Orders!A344</f>
        <v>O00343</v>
      </c>
      <c r="B344" t="str">
        <f>Orders!C344</f>
        <v>Head Office Café</v>
      </c>
      <c r="C344" t="str">
        <f>Orders!F344</f>
        <v>Dinner</v>
      </c>
      <c r="D344" t="str">
        <f>Orders!J344</f>
        <v>Single</v>
      </c>
      <c r="E344" s="24">
        <f>Orders!I344</f>
        <v>105.148</v>
      </c>
      <c r="F344" s="24">
        <f>SUMIF(OrderLines!$A$2:$A$925,A344,OrderLines!$L$2:$L$925)</f>
        <v>43.9</v>
      </c>
      <c r="G344" s="23">
        <f t="shared" si="12"/>
        <v>61.247999999999998</v>
      </c>
      <c r="H344" s="23">
        <f t="shared" si="13"/>
        <v>0.58249324761288845</v>
      </c>
      <c r="I344" t="str">
        <f>_xlfn.TEXTJOIN(" + ",TRUE,IF(COUNTIFS(OrderLines!$A$2:$A$925,A344,OrderLines!$F$2:$F$925,"Beverage")&gt;0,"Beverage",""),IF(COUNTIFS(OrderLines!$A$2:$A$925,A344,OrderLines!$F$2:$F$925,"Dessert")&gt;0,"Dessert",""),IF(COUNTIFS(OrderLines!$A$2:$A$925,A344,OrderLines!$F$2:$F$925,"Hot Meal")&gt;0,"Hot Meal",""),IF(COUNTIFS(OrderLines!$A$2:$A$925,A344,OrderLines!$F$2:$F$925,"Snack")&gt;0,"Snack",""))</f>
        <v>Dessert</v>
      </c>
    </row>
    <row r="345" spans="1:9">
      <c r="A345" t="str">
        <f>Orders!A345</f>
        <v>O00344</v>
      </c>
      <c r="B345" t="str">
        <f>Orders!C345</f>
        <v>Head Office Café</v>
      </c>
      <c r="C345" t="str">
        <f>Orders!F345</f>
        <v>Breakfast</v>
      </c>
      <c r="D345" t="str">
        <f>Orders!J345</f>
        <v>Single</v>
      </c>
      <c r="E345" s="24">
        <f>Orders!I345</f>
        <v>214.55099999999999</v>
      </c>
      <c r="F345" s="24">
        <f>SUMIF(OrderLines!$A$2:$A$925,A345,OrderLines!$L$2:$L$925)</f>
        <v>106.27</v>
      </c>
      <c r="G345" s="23">
        <f t="shared" si="12"/>
        <v>108.28099999999999</v>
      </c>
      <c r="H345" s="23">
        <f t="shared" si="13"/>
        <v>0.5046865314074509</v>
      </c>
      <c r="I345" t="str">
        <f>_xlfn.TEXTJOIN(" + ",TRUE,IF(COUNTIFS(OrderLines!$A$2:$A$925,A345,OrderLines!$F$2:$F$925,"Beverage")&gt;0,"Beverage",""),IF(COUNTIFS(OrderLines!$A$2:$A$925,A345,OrderLines!$F$2:$F$925,"Dessert")&gt;0,"Dessert",""),IF(COUNTIFS(OrderLines!$A$2:$A$925,A345,OrderLines!$F$2:$F$925,"Hot Meal")&gt;0,"Hot Meal",""),IF(COUNTIFS(OrderLines!$A$2:$A$925,A345,OrderLines!$F$2:$F$925,"Snack")&gt;0,"Snack",""))</f>
        <v>Dessert + Snack</v>
      </c>
    </row>
    <row r="346" spans="1:9">
      <c r="A346" t="str">
        <f>Orders!A346</f>
        <v>O00345</v>
      </c>
      <c r="B346" t="str">
        <f>Orders!C346</f>
        <v>Head Office Café</v>
      </c>
      <c r="C346" t="str">
        <f>Orders!F346</f>
        <v>Breakfast</v>
      </c>
      <c r="D346" t="str">
        <f>Orders!J346</f>
        <v>Combo</v>
      </c>
      <c r="E346" s="24">
        <f>Orders!I346</f>
        <v>595.21860000000004</v>
      </c>
      <c r="F346" s="24">
        <f>SUMIF(OrderLines!$A$2:$A$925,A346,OrderLines!$L$2:$L$925)</f>
        <v>267.66999999999996</v>
      </c>
      <c r="G346" s="23">
        <f t="shared" si="12"/>
        <v>327.54860000000008</v>
      </c>
      <c r="H346" s="23">
        <f t="shared" si="13"/>
        <v>0.55029967141483827</v>
      </c>
      <c r="I346" t="str">
        <f>_xlfn.TEXTJOIN(" + ",TRUE,IF(COUNTIFS(OrderLines!$A$2:$A$925,A346,OrderLines!$F$2:$F$925,"Beverage")&gt;0,"Beverage",""),IF(COUNTIFS(OrderLines!$A$2:$A$925,A346,OrderLines!$F$2:$F$925,"Dessert")&gt;0,"Dessert",""),IF(COUNTIFS(OrderLines!$A$2:$A$925,A346,OrderLines!$F$2:$F$925,"Hot Meal")&gt;0,"Hot Meal",""),IF(COUNTIFS(OrderLines!$A$2:$A$925,A346,OrderLines!$F$2:$F$925,"Snack")&gt;0,"Snack",""))</f>
        <v>Beverage + Dessert + Hot Meal</v>
      </c>
    </row>
    <row r="347" spans="1:9">
      <c r="A347" t="str">
        <f>Orders!A347</f>
        <v>O00346</v>
      </c>
      <c r="B347" t="str">
        <f>Orders!C347</f>
        <v>Plant 1 Canteen</v>
      </c>
      <c r="C347" t="str">
        <f>Orders!F347</f>
        <v>Breakfast</v>
      </c>
      <c r="D347" t="str">
        <f>Orders!J347</f>
        <v>Single</v>
      </c>
      <c r="E347" s="24">
        <f>Orders!I347</f>
        <v>66.194199999999995</v>
      </c>
      <c r="F347" s="24">
        <f>SUMIF(OrderLines!$A$2:$A$925,A347,OrderLines!$L$2:$L$925)</f>
        <v>35.78</v>
      </c>
      <c r="G347" s="23">
        <f t="shared" si="12"/>
        <v>30.414199999999994</v>
      </c>
      <c r="H347" s="23">
        <f t="shared" si="13"/>
        <v>0.45946925863595295</v>
      </c>
      <c r="I347" t="str">
        <f>_xlfn.TEXTJOIN(" + ",TRUE,IF(COUNTIFS(OrderLines!$A$2:$A$925,A347,OrderLines!$F$2:$F$925,"Beverage")&gt;0,"Beverage",""),IF(COUNTIFS(OrderLines!$A$2:$A$925,A347,OrderLines!$F$2:$F$925,"Dessert")&gt;0,"Dessert",""),IF(COUNTIFS(OrderLines!$A$2:$A$925,A347,OrderLines!$F$2:$F$925,"Hot Meal")&gt;0,"Hot Meal",""),IF(COUNTIFS(OrderLines!$A$2:$A$925,A347,OrderLines!$F$2:$F$925,"Snack")&gt;0,"Snack",""))</f>
        <v>Beverage</v>
      </c>
    </row>
    <row r="348" spans="1:9">
      <c r="A348" t="str">
        <f>Orders!A348</f>
        <v>O00347</v>
      </c>
      <c r="B348" t="str">
        <f>Orders!C348</f>
        <v>Plant 1 Canteen</v>
      </c>
      <c r="C348" t="str">
        <f>Orders!F348</f>
        <v>Dinner</v>
      </c>
      <c r="D348" t="str">
        <f>Orders!J348</f>
        <v>Single</v>
      </c>
      <c r="E348" s="24">
        <f>Orders!I348</f>
        <v>494.73900000000003</v>
      </c>
      <c r="F348" s="24">
        <f>SUMIF(OrderLines!$A$2:$A$925,A348,OrderLines!$L$2:$L$925)</f>
        <v>283.08</v>
      </c>
      <c r="G348" s="23">
        <f t="shared" si="12"/>
        <v>211.65900000000005</v>
      </c>
      <c r="H348" s="23">
        <f t="shared" si="13"/>
        <v>0.42781951695742609</v>
      </c>
      <c r="I348" t="str">
        <f>_xlfn.TEXTJOIN(" + ",TRUE,IF(COUNTIFS(OrderLines!$A$2:$A$925,A348,OrderLines!$F$2:$F$925,"Beverage")&gt;0,"Beverage",""),IF(COUNTIFS(OrderLines!$A$2:$A$925,A348,OrderLines!$F$2:$F$925,"Dessert")&gt;0,"Dessert",""),IF(COUNTIFS(OrderLines!$A$2:$A$925,A348,OrderLines!$F$2:$F$925,"Hot Meal")&gt;0,"Hot Meal",""),IF(COUNTIFS(OrderLines!$A$2:$A$925,A348,OrderLines!$F$2:$F$925,"Snack")&gt;0,"Snack",""))</f>
        <v>Hot Meal</v>
      </c>
    </row>
    <row r="349" spans="1:9">
      <c r="A349" t="str">
        <f>Orders!A349</f>
        <v>O00348</v>
      </c>
      <c r="B349" t="str">
        <f>Orders!C349</f>
        <v>Plant 2 Canteen</v>
      </c>
      <c r="C349" t="str">
        <f>Orders!F349</f>
        <v>Dinner</v>
      </c>
      <c r="D349" t="str">
        <f>Orders!J349</f>
        <v>Single</v>
      </c>
      <c r="E349" s="24">
        <f>Orders!I349</f>
        <v>1245.1872000000001</v>
      </c>
      <c r="F349" s="24">
        <f>SUMIF(OrderLines!$A$2:$A$925,A349,OrderLines!$L$2:$L$925)</f>
        <v>605.94999999999993</v>
      </c>
      <c r="G349" s="23">
        <f t="shared" si="12"/>
        <v>639.23720000000014</v>
      </c>
      <c r="H349" s="23">
        <f t="shared" si="13"/>
        <v>0.5133663436309015</v>
      </c>
      <c r="I349" t="str">
        <f>_xlfn.TEXTJOIN(" + ",TRUE,IF(COUNTIFS(OrderLines!$A$2:$A$925,A349,OrderLines!$F$2:$F$925,"Beverage")&gt;0,"Beverage",""),IF(COUNTIFS(OrderLines!$A$2:$A$925,A349,OrderLines!$F$2:$F$925,"Dessert")&gt;0,"Dessert",""),IF(COUNTIFS(OrderLines!$A$2:$A$925,A349,OrderLines!$F$2:$F$925,"Hot Meal")&gt;0,"Hot Meal",""),IF(COUNTIFS(OrderLines!$A$2:$A$925,A349,OrderLines!$F$2:$F$925,"Snack")&gt;0,"Snack",""))</f>
        <v>Dessert + Hot Meal + Snack</v>
      </c>
    </row>
    <row r="350" spans="1:9">
      <c r="A350" t="str">
        <f>Orders!A350</f>
        <v>O00349</v>
      </c>
      <c r="B350" t="str">
        <f>Orders!C350</f>
        <v>Plant 2 Canteen</v>
      </c>
      <c r="C350" t="str">
        <f>Orders!F350</f>
        <v>Breakfast</v>
      </c>
      <c r="D350" t="str">
        <f>Orders!J350</f>
        <v>Single</v>
      </c>
      <c r="E350" s="24">
        <f>Orders!I350</f>
        <v>915.51600000000008</v>
      </c>
      <c r="F350" s="24">
        <f>SUMIF(OrderLines!$A$2:$A$925,A350,OrderLines!$L$2:$L$925)</f>
        <v>423.88</v>
      </c>
      <c r="G350" s="23">
        <f t="shared" si="12"/>
        <v>491.63600000000008</v>
      </c>
      <c r="H350" s="23">
        <f t="shared" si="13"/>
        <v>0.53700426863102346</v>
      </c>
      <c r="I350" t="str">
        <f>_xlfn.TEXTJOIN(" + ",TRUE,IF(COUNTIFS(OrderLines!$A$2:$A$925,A350,OrderLines!$F$2:$F$925,"Beverage")&gt;0,"Beverage",""),IF(COUNTIFS(OrderLines!$A$2:$A$925,A350,OrderLines!$F$2:$F$925,"Dessert")&gt;0,"Dessert",""),IF(COUNTIFS(OrderLines!$A$2:$A$925,A350,OrderLines!$F$2:$F$925,"Hot Meal")&gt;0,"Hot Meal",""),IF(COUNTIFS(OrderLines!$A$2:$A$925,A350,OrderLines!$F$2:$F$925,"Snack")&gt;0,"Snack",""))</f>
        <v>Dessert + Hot Meal</v>
      </c>
    </row>
    <row r="351" spans="1:9">
      <c r="A351" t="str">
        <f>Orders!A351</f>
        <v>O00350</v>
      </c>
      <c r="B351" t="str">
        <f>Orders!C351</f>
        <v>Plant 2 Canteen</v>
      </c>
      <c r="C351" t="str">
        <f>Orders!F351</f>
        <v>Breakfast</v>
      </c>
      <c r="D351" t="str">
        <f>Orders!J351</f>
        <v>Combo</v>
      </c>
      <c r="E351" s="24">
        <f>Orders!I351</f>
        <v>356.21480000000003</v>
      </c>
      <c r="F351" s="24">
        <f>SUMIF(OrderLines!$A$2:$A$925,A351,OrderLines!$L$2:$L$925)</f>
        <v>199.41000000000003</v>
      </c>
      <c r="G351" s="23">
        <f t="shared" si="12"/>
        <v>156.8048</v>
      </c>
      <c r="H351" s="23">
        <f t="shared" si="13"/>
        <v>0.44019731914563909</v>
      </c>
      <c r="I351" t="str">
        <f>_xlfn.TEXTJOIN(" + ",TRUE,IF(COUNTIFS(OrderLines!$A$2:$A$925,A351,OrderLines!$F$2:$F$925,"Beverage")&gt;0,"Beverage",""),IF(COUNTIFS(OrderLines!$A$2:$A$925,A351,OrderLines!$F$2:$F$925,"Dessert")&gt;0,"Dessert",""),IF(COUNTIFS(OrderLines!$A$2:$A$925,A351,OrderLines!$F$2:$F$925,"Hot Meal")&gt;0,"Hot Meal",""),IF(COUNTIFS(OrderLines!$A$2:$A$925,A351,OrderLines!$F$2:$F$925,"Snack")&gt;0,"Snack",""))</f>
        <v>Beverage + Hot Meal</v>
      </c>
    </row>
    <row r="352" spans="1:9">
      <c r="A352" t="str">
        <f>Orders!A352</f>
        <v>O00351</v>
      </c>
      <c r="B352" t="str">
        <f>Orders!C352</f>
        <v>Plant 1 Canteen</v>
      </c>
      <c r="C352" t="str">
        <f>Orders!F352</f>
        <v>Dinner</v>
      </c>
      <c r="D352" t="str">
        <f>Orders!J352</f>
        <v>Single</v>
      </c>
      <c r="E352" s="24">
        <f>Orders!I352</f>
        <v>60.0732</v>
      </c>
      <c r="F352" s="24">
        <f>SUMIF(OrderLines!$A$2:$A$925,A352,OrderLines!$L$2:$L$925)</f>
        <v>28.36</v>
      </c>
      <c r="G352" s="23">
        <f t="shared" si="12"/>
        <v>31.713200000000001</v>
      </c>
      <c r="H352" s="23">
        <f t="shared" si="13"/>
        <v>0.527909284006845</v>
      </c>
      <c r="I352" t="str">
        <f>_xlfn.TEXTJOIN(" + ",TRUE,IF(COUNTIFS(OrderLines!$A$2:$A$925,A352,OrderLines!$F$2:$F$925,"Beverage")&gt;0,"Beverage",""),IF(COUNTIFS(OrderLines!$A$2:$A$925,A352,OrderLines!$F$2:$F$925,"Dessert")&gt;0,"Dessert",""),IF(COUNTIFS(OrderLines!$A$2:$A$925,A352,OrderLines!$F$2:$F$925,"Hot Meal")&gt;0,"Hot Meal",""),IF(COUNTIFS(OrderLines!$A$2:$A$925,A352,OrderLines!$F$2:$F$925,"Snack")&gt;0,"Snack",""))</f>
        <v>Beverage</v>
      </c>
    </row>
    <row r="353" spans="1:9">
      <c r="A353" t="str">
        <f>Orders!A353</f>
        <v>O00352</v>
      </c>
      <c r="B353" t="str">
        <f>Orders!C353</f>
        <v>Plant 2 Canteen</v>
      </c>
      <c r="C353" t="str">
        <f>Orders!F353</f>
        <v>Dinner</v>
      </c>
      <c r="D353" t="str">
        <f>Orders!J353</f>
        <v>Single</v>
      </c>
      <c r="E353" s="24">
        <f>Orders!I353</f>
        <v>204.4239</v>
      </c>
      <c r="F353" s="24">
        <f>SUMIF(OrderLines!$A$2:$A$925,A353,OrderLines!$L$2:$L$925)</f>
        <v>105.18</v>
      </c>
      <c r="G353" s="23">
        <f t="shared" si="12"/>
        <v>99.243899999999996</v>
      </c>
      <c r="H353" s="23">
        <f t="shared" si="13"/>
        <v>0.48548090511921549</v>
      </c>
      <c r="I353" t="str">
        <f>_xlfn.TEXTJOIN(" + ",TRUE,IF(COUNTIFS(OrderLines!$A$2:$A$925,A353,OrderLines!$F$2:$F$925,"Beverage")&gt;0,"Beverage",""),IF(COUNTIFS(OrderLines!$A$2:$A$925,A353,OrderLines!$F$2:$F$925,"Dessert")&gt;0,"Dessert",""),IF(COUNTIFS(OrderLines!$A$2:$A$925,A353,OrderLines!$F$2:$F$925,"Hot Meal")&gt;0,"Hot Meal",""),IF(COUNTIFS(OrderLines!$A$2:$A$925,A353,OrderLines!$F$2:$F$925,"Snack")&gt;0,"Snack",""))</f>
        <v>Beverage + Dessert + Snack</v>
      </c>
    </row>
    <row r="354" spans="1:9">
      <c r="A354" t="str">
        <f>Orders!A354</f>
        <v>O00353</v>
      </c>
      <c r="B354" t="str">
        <f>Orders!C354</f>
        <v>Plant 2 Canteen</v>
      </c>
      <c r="C354" t="str">
        <f>Orders!F354</f>
        <v>Lunch</v>
      </c>
      <c r="D354" t="str">
        <f>Orders!J354</f>
        <v>Single</v>
      </c>
      <c r="E354" s="24">
        <f>Orders!I354</f>
        <v>204.38849999999999</v>
      </c>
      <c r="F354" s="24">
        <f>SUMIF(OrderLines!$A$2:$A$925,A354,OrderLines!$L$2:$L$925)</f>
        <v>114.69</v>
      </c>
      <c r="G354" s="23">
        <f t="shared" si="12"/>
        <v>89.698499999999996</v>
      </c>
      <c r="H354" s="23">
        <f t="shared" si="13"/>
        <v>0.43886275401991792</v>
      </c>
      <c r="I354" t="str">
        <f>_xlfn.TEXTJOIN(" + ",TRUE,IF(COUNTIFS(OrderLines!$A$2:$A$925,A354,OrderLines!$F$2:$F$925,"Beverage")&gt;0,"Beverage",""),IF(COUNTIFS(OrderLines!$A$2:$A$925,A354,OrderLines!$F$2:$F$925,"Dessert")&gt;0,"Dessert",""),IF(COUNTIFS(OrderLines!$A$2:$A$925,A354,OrderLines!$F$2:$F$925,"Hot Meal")&gt;0,"Hot Meal",""),IF(COUNTIFS(OrderLines!$A$2:$A$925,A354,OrderLines!$F$2:$F$925,"Snack")&gt;0,"Snack",""))</f>
        <v>Dessert</v>
      </c>
    </row>
    <row r="355" spans="1:9">
      <c r="A355" t="str">
        <f>Orders!A355</f>
        <v>O00354</v>
      </c>
      <c r="B355" t="str">
        <f>Orders!C355</f>
        <v>Plant 1 Canteen</v>
      </c>
      <c r="C355" t="str">
        <f>Orders!F355</f>
        <v>Lunch</v>
      </c>
      <c r="D355" t="str">
        <f>Orders!J355</f>
        <v>Single</v>
      </c>
      <c r="E355" s="24">
        <f>Orders!I355</f>
        <v>183.5136</v>
      </c>
      <c r="F355" s="24">
        <f>SUMIF(OrderLines!$A$2:$A$925,A355,OrderLines!$L$2:$L$925)</f>
        <v>96.009999999999991</v>
      </c>
      <c r="G355" s="23">
        <f t="shared" si="12"/>
        <v>87.503600000000006</v>
      </c>
      <c r="H355" s="23">
        <f t="shared" si="13"/>
        <v>0.47682351607728257</v>
      </c>
      <c r="I355" t="str">
        <f>_xlfn.TEXTJOIN(" + ",TRUE,IF(COUNTIFS(OrderLines!$A$2:$A$925,A355,OrderLines!$F$2:$F$925,"Beverage")&gt;0,"Beverage",""),IF(COUNTIFS(OrderLines!$A$2:$A$925,A355,OrderLines!$F$2:$F$925,"Dessert")&gt;0,"Dessert",""),IF(COUNTIFS(OrderLines!$A$2:$A$925,A355,OrderLines!$F$2:$F$925,"Hot Meal")&gt;0,"Hot Meal",""),IF(COUNTIFS(OrderLines!$A$2:$A$925,A355,OrderLines!$F$2:$F$925,"Snack")&gt;0,"Snack",""))</f>
        <v>Dessert + Snack</v>
      </c>
    </row>
    <row r="356" spans="1:9">
      <c r="A356" t="str">
        <f>Orders!A356</f>
        <v>O00355</v>
      </c>
      <c r="B356" t="str">
        <f>Orders!C356</f>
        <v>Plant 2 Canteen</v>
      </c>
      <c r="C356" t="str">
        <f>Orders!F356</f>
        <v>Breakfast</v>
      </c>
      <c r="D356" t="str">
        <f>Orders!J356</f>
        <v>Single</v>
      </c>
      <c r="E356" s="24">
        <f>Orders!I356</f>
        <v>87.41</v>
      </c>
      <c r="F356" s="24">
        <f>SUMIF(OrderLines!$A$2:$A$925,A356,OrderLines!$L$2:$L$925)</f>
        <v>43.32</v>
      </c>
      <c r="G356" s="23">
        <f t="shared" si="12"/>
        <v>44.089999999999996</v>
      </c>
      <c r="H356" s="23">
        <f t="shared" si="13"/>
        <v>0.50440453037409905</v>
      </c>
      <c r="I356" t="str">
        <f>_xlfn.TEXTJOIN(" + ",TRUE,IF(COUNTIFS(OrderLines!$A$2:$A$925,A356,OrderLines!$F$2:$F$925,"Beverage")&gt;0,"Beverage",""),IF(COUNTIFS(OrderLines!$A$2:$A$925,A356,OrderLines!$F$2:$F$925,"Dessert")&gt;0,"Dessert",""),IF(COUNTIFS(OrderLines!$A$2:$A$925,A356,OrderLines!$F$2:$F$925,"Hot Meal")&gt;0,"Hot Meal",""),IF(COUNTIFS(OrderLines!$A$2:$A$925,A356,OrderLines!$F$2:$F$925,"Snack")&gt;0,"Snack",""))</f>
        <v>Beverage + Dessert</v>
      </c>
    </row>
    <row r="357" spans="1:9">
      <c r="A357" t="str">
        <f>Orders!A357</f>
        <v>O00356</v>
      </c>
      <c r="B357" t="str">
        <f>Orders!C357</f>
        <v>Head Office Café</v>
      </c>
      <c r="C357" t="str">
        <f>Orders!F357</f>
        <v>Breakfast</v>
      </c>
      <c r="D357" t="str">
        <f>Orders!J357</f>
        <v>Combo</v>
      </c>
      <c r="E357" s="24">
        <f>Orders!I357</f>
        <v>700.52790000000005</v>
      </c>
      <c r="F357" s="24">
        <f>SUMIF(OrderLines!$A$2:$A$925,A357,OrderLines!$L$2:$L$925)</f>
        <v>340.09000000000003</v>
      </c>
      <c r="G357" s="23">
        <f t="shared" si="12"/>
        <v>360.43790000000001</v>
      </c>
      <c r="H357" s="23">
        <f t="shared" si="13"/>
        <v>0.51452326167166218</v>
      </c>
      <c r="I357" t="str">
        <f>_xlfn.TEXTJOIN(" + ",TRUE,IF(COUNTIFS(OrderLines!$A$2:$A$925,A357,OrderLines!$F$2:$F$925,"Beverage")&gt;0,"Beverage",""),IF(COUNTIFS(OrderLines!$A$2:$A$925,A357,OrderLines!$F$2:$F$925,"Dessert")&gt;0,"Dessert",""),IF(COUNTIFS(OrderLines!$A$2:$A$925,A357,OrderLines!$F$2:$F$925,"Hot Meal")&gt;0,"Hot Meal",""),IF(COUNTIFS(OrderLines!$A$2:$A$925,A357,OrderLines!$F$2:$F$925,"Snack")&gt;0,"Snack",""))</f>
        <v>Beverage + Hot Meal + Snack</v>
      </c>
    </row>
    <row r="358" spans="1:9">
      <c r="A358" t="str">
        <f>Orders!A358</f>
        <v>O00357</v>
      </c>
      <c r="B358" t="str">
        <f>Orders!C358</f>
        <v>Head Office Café</v>
      </c>
      <c r="C358" t="str">
        <f>Orders!F358</f>
        <v>Dinner</v>
      </c>
      <c r="D358" t="str">
        <f>Orders!J358</f>
        <v>Single</v>
      </c>
      <c r="E358" s="24">
        <f>Orders!I358</f>
        <v>93.417199999999994</v>
      </c>
      <c r="F358" s="24">
        <f>SUMIF(OrderLines!$A$2:$A$925,A358,OrderLines!$L$2:$L$925)</f>
        <v>46.52</v>
      </c>
      <c r="G358" s="23">
        <f t="shared" si="12"/>
        <v>46.897199999999991</v>
      </c>
      <c r="H358" s="23">
        <f t="shared" si="13"/>
        <v>0.50201890015971351</v>
      </c>
      <c r="I358" t="str">
        <f>_xlfn.TEXTJOIN(" + ",TRUE,IF(COUNTIFS(OrderLines!$A$2:$A$925,A358,OrderLines!$F$2:$F$925,"Beverage")&gt;0,"Beverage",""),IF(COUNTIFS(OrderLines!$A$2:$A$925,A358,OrderLines!$F$2:$F$925,"Dessert")&gt;0,"Dessert",""),IF(COUNTIFS(OrderLines!$A$2:$A$925,A358,OrderLines!$F$2:$F$925,"Hot Meal")&gt;0,"Hot Meal",""),IF(COUNTIFS(OrderLines!$A$2:$A$925,A358,OrderLines!$F$2:$F$925,"Snack")&gt;0,"Snack",""))</f>
        <v>Beverage + Dessert</v>
      </c>
    </row>
    <row r="359" spans="1:9">
      <c r="A359" t="str">
        <f>Orders!A359</f>
        <v>O00358</v>
      </c>
      <c r="B359" t="str">
        <f>Orders!C359</f>
        <v>Plant 2 Canteen</v>
      </c>
      <c r="C359" t="str">
        <f>Orders!F359</f>
        <v>Breakfast</v>
      </c>
      <c r="D359" t="str">
        <f>Orders!J359</f>
        <v>Single</v>
      </c>
      <c r="E359" s="24">
        <f>Orders!I359</f>
        <v>89.783200000000008</v>
      </c>
      <c r="F359" s="24">
        <f>SUMIF(OrderLines!$A$2:$A$925,A359,OrderLines!$L$2:$L$925)</f>
        <v>49.99</v>
      </c>
      <c r="G359" s="23">
        <f t="shared" si="12"/>
        <v>39.793200000000006</v>
      </c>
      <c r="H359" s="23">
        <f t="shared" si="13"/>
        <v>0.44321432071924372</v>
      </c>
      <c r="I359" t="str">
        <f>_xlfn.TEXTJOIN(" + ",TRUE,IF(COUNTIFS(OrderLines!$A$2:$A$925,A359,OrderLines!$F$2:$F$925,"Beverage")&gt;0,"Beverage",""),IF(COUNTIFS(OrderLines!$A$2:$A$925,A359,OrderLines!$F$2:$F$925,"Dessert")&gt;0,"Dessert",""),IF(COUNTIFS(OrderLines!$A$2:$A$925,A359,OrderLines!$F$2:$F$925,"Hot Meal")&gt;0,"Hot Meal",""),IF(COUNTIFS(OrderLines!$A$2:$A$925,A359,OrderLines!$F$2:$F$925,"Snack")&gt;0,"Snack",""))</f>
        <v>Beverage + Snack</v>
      </c>
    </row>
    <row r="360" spans="1:9">
      <c r="A360" t="str">
        <f>Orders!A360</f>
        <v>O00359</v>
      </c>
      <c r="B360" t="str">
        <f>Orders!C360</f>
        <v>Plant 2 Canteen</v>
      </c>
      <c r="C360" t="str">
        <f>Orders!F360</f>
        <v>Lunch</v>
      </c>
      <c r="D360" t="str">
        <f>Orders!J360</f>
        <v>Single</v>
      </c>
      <c r="E360" s="24">
        <f>Orders!I360</f>
        <v>455.22</v>
      </c>
      <c r="F360" s="24">
        <f>SUMIF(OrderLines!$A$2:$A$925,A360,OrderLines!$L$2:$L$925)</f>
        <v>192.44</v>
      </c>
      <c r="G360" s="23">
        <f t="shared" si="12"/>
        <v>262.78000000000003</v>
      </c>
      <c r="H360" s="23">
        <f t="shared" si="13"/>
        <v>0.57725934712886084</v>
      </c>
      <c r="I360" t="str">
        <f>_xlfn.TEXTJOIN(" + ",TRUE,IF(COUNTIFS(OrderLines!$A$2:$A$925,A360,OrderLines!$F$2:$F$925,"Beverage")&gt;0,"Beverage",""),IF(COUNTIFS(OrderLines!$A$2:$A$925,A360,OrderLines!$F$2:$F$925,"Dessert")&gt;0,"Dessert",""),IF(COUNTIFS(OrderLines!$A$2:$A$925,A360,OrderLines!$F$2:$F$925,"Hot Meal")&gt;0,"Hot Meal",""),IF(COUNTIFS(OrderLines!$A$2:$A$925,A360,OrderLines!$F$2:$F$925,"Snack")&gt;0,"Snack",""))</f>
        <v>Hot Meal</v>
      </c>
    </row>
    <row r="361" spans="1:9">
      <c r="A361" t="str">
        <f>Orders!A361</f>
        <v>O00360</v>
      </c>
      <c r="B361" t="str">
        <f>Orders!C361</f>
        <v>Plant 2 Canteen</v>
      </c>
      <c r="C361" t="str">
        <f>Orders!F361</f>
        <v>Dinner</v>
      </c>
      <c r="D361" t="str">
        <f>Orders!J361</f>
        <v>Combo</v>
      </c>
      <c r="E361" s="24">
        <f>Orders!I361</f>
        <v>962.15039999999999</v>
      </c>
      <c r="F361" s="24">
        <f>SUMIF(OrderLines!$A$2:$A$925,A361,OrderLines!$L$2:$L$925)</f>
        <v>466.15</v>
      </c>
      <c r="G361" s="23">
        <f>E361-F361</f>
        <v>496.00040000000001</v>
      </c>
      <c r="H361" s="23">
        <f>IFERROR(G361/E361,0)</f>
        <v>0.51551233570136235</v>
      </c>
      <c r="I361" t="str">
        <f>_xlfn.TEXTJOIN(" + ",TRUE,IF(COUNTIFS(OrderLines!$A$2:$A$925,A361,OrderLines!$F$2:$F$925,"Beverage")&gt;0,"Beverage",""),IF(COUNTIFS(OrderLines!$A$2:$A$925,A361,OrderLines!$F$2:$F$925,"Dessert")&gt;0,"Dessert",""),IF(COUNTIFS(OrderLines!$A$2:$A$925,A361,OrderLines!$F$2:$F$925,"Hot Meal")&gt;0,"Hot Meal",""),IF(COUNTIFS(OrderLines!$A$2:$A$925,A361,OrderLines!$F$2:$F$925,"Snack")&gt;0,"Snack",""))</f>
        <v>Beverage + Hot Meal</v>
      </c>
    </row>
    <row r="362" spans="1:9">
      <c r="I362" t="str">
        <f>_xlfn.TEXTJOIN(" + ",TRUE,IF(COUNTIFS(OrderLines!$A$2:$A$925,A362,OrderLines!$F$2:$F$925,"Beverage")&gt;0,"Beverage",""),IF(COUNTIFS(OrderLines!$A$2:$A$925,A362,OrderLines!$F$2:$F$925,"Dessert")&gt;0,"Dessert",""),IF(COUNTIFS(OrderLines!$A$2:$A$925,A362,OrderLines!$F$2:$F$925,"Hot Meal")&gt;0,"Hot Meal",""),IF(COUNTIFS(OrderLines!$A$2:$A$925,A362,OrderLines!$F$2:$F$925,"Snack")&gt;0,"Snack",""))</f>
        <v/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E6" sqref="E6"/>
    </sheetView>
  </sheetViews>
  <sheetFormatPr defaultRowHeight="14.4"/>
  <cols>
    <col min="1" max="1" width="8.6640625" bestFit="1" customWidth="1"/>
    <col min="2" max="2" width="25.109375" bestFit="1" customWidth="1"/>
    <col min="3" max="3" width="10.44140625" customWidth="1"/>
    <col min="4" max="4" width="11.5546875" customWidth="1"/>
    <col min="5" max="5" width="10.109375" customWidth="1"/>
    <col min="6" max="6" width="10.5546875" customWidth="1"/>
  </cols>
  <sheetData>
    <row r="1" spans="1:6">
      <c r="A1" s="19" t="s">
        <v>398</v>
      </c>
      <c r="B1" s="19" t="s">
        <v>420</v>
      </c>
      <c r="C1" s="19" t="s">
        <v>421</v>
      </c>
      <c r="D1" s="19" t="s">
        <v>422</v>
      </c>
      <c r="E1" s="19" t="s">
        <v>423</v>
      </c>
      <c r="F1" s="19" t="s">
        <v>400</v>
      </c>
    </row>
    <row r="2" spans="1:6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31"/>
  <sheetViews>
    <sheetView workbookViewId="0">
      <selection activeCell="D9" sqref="D9"/>
    </sheetView>
  </sheetViews>
  <sheetFormatPr defaultRowHeight="14.4"/>
  <cols>
    <col min="2" max="2" width="11.88671875" customWidth="1"/>
    <col min="3" max="3" width="8.109375" bestFit="1" customWidth="1"/>
    <col min="4" max="4" width="14.77734375" bestFit="1" customWidth="1"/>
    <col min="5" max="5" width="15.21875" customWidth="1"/>
    <col min="10" max="10" width="8.6640625" bestFit="1" customWidth="1"/>
    <col min="11" max="11" width="10" bestFit="1" customWidth="1"/>
  </cols>
  <sheetData>
    <row r="1" spans="1:5">
      <c r="A1" s="19" t="s">
        <v>6</v>
      </c>
      <c r="B1" s="19" t="s">
        <v>456</v>
      </c>
      <c r="C1" s="19" t="s">
        <v>457</v>
      </c>
      <c r="D1" s="19" t="s">
        <v>2</v>
      </c>
      <c r="E1" s="19" t="s">
        <v>458</v>
      </c>
    </row>
    <row r="2" spans="1:5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  <row r="20" spans="1:5">
      <c r="E20" s="7"/>
    </row>
    <row r="21" spans="1:5">
      <c r="E21" s="7"/>
    </row>
    <row r="22" spans="1:5">
      <c r="E22" s="7"/>
    </row>
    <row r="23" spans="1:5">
      <c r="E23" s="7"/>
    </row>
    <row r="28" spans="1:5">
      <c r="B28" s="2"/>
    </row>
    <row r="29" spans="1:5">
      <c r="B29" s="7"/>
      <c r="D29" s="7"/>
      <c r="E29" s="17"/>
    </row>
    <row r="30" spans="1:5">
      <c r="B30" s="7"/>
      <c r="D30" s="7"/>
    </row>
    <row r="31" spans="1:5">
      <c r="B31" s="7"/>
      <c r="D31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E7" sqref="E7"/>
    </sheetView>
  </sheetViews>
  <sheetFormatPr defaultRowHeight="14.4"/>
  <cols>
    <col min="1" max="1" width="8.88671875" bestFit="1" customWidth="1"/>
    <col min="2" max="2" width="15.33203125" bestFit="1" customWidth="1"/>
    <col min="3" max="3" width="16.5546875" bestFit="1" customWidth="1"/>
    <col min="4" max="4" width="17.6640625" bestFit="1" customWidth="1"/>
    <col min="5" max="5" width="19.33203125" bestFit="1" customWidth="1"/>
  </cols>
  <sheetData>
    <row r="1" spans="1:5">
      <c r="A1" s="19" t="s">
        <v>398</v>
      </c>
      <c r="B1" s="19" t="s">
        <v>475</v>
      </c>
      <c r="C1" s="19" t="s">
        <v>476</v>
      </c>
      <c r="D1" s="19" t="s">
        <v>477</v>
      </c>
      <c r="E1" s="19" t="s">
        <v>478</v>
      </c>
    </row>
    <row r="2" spans="1:5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conditionalFormatting sqref="A1:E20">
    <cfRule type="expression" dxfId="1" priority="1">
      <formula>$B1048572&lt;$C1048572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B10" sqref="A2:D11"/>
    </sheetView>
  </sheetViews>
  <sheetFormatPr defaultRowHeight="14.4"/>
  <cols>
    <col min="1" max="1" width="14.109375" bestFit="1" customWidth="1"/>
    <col min="2" max="2" width="17.33203125" bestFit="1" customWidth="1"/>
    <col min="3" max="3" width="10.6640625" bestFit="1" customWidth="1"/>
    <col min="4" max="4" width="14.77734375" bestFit="1" customWidth="1"/>
  </cols>
  <sheetData>
    <row r="1" spans="1:4">
      <c r="A1" s="19" t="s">
        <v>422</v>
      </c>
      <c r="B1" s="19" t="s">
        <v>479</v>
      </c>
      <c r="C1" s="19" t="s">
        <v>480</v>
      </c>
      <c r="D1" s="19" t="s">
        <v>481</v>
      </c>
    </row>
    <row r="2" spans="1:4">
      <c r="A2" t="s">
        <v>428</v>
      </c>
      <c r="B2" t="s">
        <v>482</v>
      </c>
      <c r="C2" t="s">
        <v>483</v>
      </c>
      <c r="D2" t="s">
        <v>484</v>
      </c>
    </row>
    <row r="3" spans="1:4">
      <c r="A3" t="s">
        <v>451</v>
      </c>
      <c r="B3" t="s">
        <v>485</v>
      </c>
      <c r="C3" t="s">
        <v>486</v>
      </c>
      <c r="D3" t="s">
        <v>487</v>
      </c>
    </row>
    <row r="4" spans="1:4">
      <c r="A4" t="s">
        <v>432</v>
      </c>
      <c r="B4" t="s">
        <v>488</v>
      </c>
      <c r="C4" t="s">
        <v>486</v>
      </c>
      <c r="D4" t="s">
        <v>489</v>
      </c>
    </row>
    <row r="5" spans="1:4">
      <c r="A5" t="s">
        <v>439</v>
      </c>
      <c r="B5" t="s">
        <v>490</v>
      </c>
      <c r="C5" t="s">
        <v>491</v>
      </c>
      <c r="D5" t="s">
        <v>492</v>
      </c>
    </row>
    <row r="6" spans="1:4">
      <c r="A6" t="s">
        <v>430</v>
      </c>
      <c r="B6" t="s">
        <v>493</v>
      </c>
      <c r="C6" t="s">
        <v>486</v>
      </c>
      <c r="D6" t="s">
        <v>494</v>
      </c>
    </row>
    <row r="7" spans="1:4">
      <c r="A7" t="s">
        <v>434</v>
      </c>
      <c r="B7" t="s">
        <v>495</v>
      </c>
      <c r="C7" t="s">
        <v>483</v>
      </c>
      <c r="D7" t="s">
        <v>496</v>
      </c>
    </row>
    <row r="8" spans="1:4">
      <c r="A8" t="s">
        <v>437</v>
      </c>
      <c r="B8" t="s">
        <v>497</v>
      </c>
      <c r="C8" t="s">
        <v>483</v>
      </c>
      <c r="D8" t="s">
        <v>498</v>
      </c>
    </row>
    <row r="9" spans="1:4">
      <c r="A9" t="s">
        <v>499</v>
      </c>
      <c r="B9" t="s">
        <v>500</v>
      </c>
      <c r="C9" t="s">
        <v>501</v>
      </c>
      <c r="D9" t="s">
        <v>502</v>
      </c>
    </row>
    <row r="10" spans="1:4">
      <c r="A10" t="s">
        <v>426</v>
      </c>
      <c r="B10" t="s">
        <v>503</v>
      </c>
      <c r="C10" t="s">
        <v>483</v>
      </c>
      <c r="D10" t="s">
        <v>504</v>
      </c>
    </row>
    <row r="11" spans="1:4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C26" sqref="A2:D121"/>
    </sheetView>
  </sheetViews>
  <sheetFormatPr defaultRowHeight="14.4"/>
  <cols>
    <col min="1" max="1" width="10.33203125" bestFit="1" customWidth="1"/>
    <col min="3" max="3" width="8.44140625" bestFit="1" customWidth="1"/>
    <col min="4" max="4" width="13.88671875" bestFit="1" customWidth="1"/>
  </cols>
  <sheetData>
    <row r="1" spans="1:4">
      <c r="A1" s="19" t="s">
        <v>507</v>
      </c>
      <c r="B1" s="19" t="s">
        <v>398</v>
      </c>
      <c r="C1" s="19" t="s">
        <v>399</v>
      </c>
      <c r="D1" s="19" t="s">
        <v>508</v>
      </c>
    </row>
    <row r="2" spans="1:4">
      <c r="A2" s="3">
        <v>45867</v>
      </c>
      <c r="B2" t="s">
        <v>411</v>
      </c>
      <c r="C2">
        <v>2</v>
      </c>
      <c r="D2" t="s">
        <v>509</v>
      </c>
    </row>
    <row r="3" spans="1:4">
      <c r="A3" s="3">
        <v>45860</v>
      </c>
      <c r="B3" t="s">
        <v>407</v>
      </c>
      <c r="C3">
        <v>4</v>
      </c>
      <c r="D3" t="s">
        <v>510</v>
      </c>
    </row>
    <row r="4" spans="1:4">
      <c r="A4" s="3">
        <v>45853</v>
      </c>
      <c r="B4" t="s">
        <v>409</v>
      </c>
      <c r="C4">
        <v>2</v>
      </c>
      <c r="D4" t="s">
        <v>511</v>
      </c>
    </row>
    <row r="5" spans="1:4">
      <c r="A5" s="3">
        <v>45879</v>
      </c>
      <c r="B5" t="s">
        <v>414</v>
      </c>
      <c r="C5">
        <v>2</v>
      </c>
      <c r="D5" t="s">
        <v>510</v>
      </c>
    </row>
    <row r="6" spans="1:4">
      <c r="A6" s="3">
        <v>45891</v>
      </c>
      <c r="B6" t="s">
        <v>408</v>
      </c>
      <c r="C6">
        <v>2</v>
      </c>
      <c r="D6" t="s">
        <v>509</v>
      </c>
    </row>
    <row r="7" spans="1:4">
      <c r="A7" s="3">
        <v>45896</v>
      </c>
      <c r="B7" t="s">
        <v>417</v>
      </c>
      <c r="C7">
        <v>1</v>
      </c>
      <c r="D7" t="s">
        <v>510</v>
      </c>
    </row>
    <row r="8" spans="1:4">
      <c r="A8" s="3">
        <v>45890</v>
      </c>
      <c r="B8" t="s">
        <v>411</v>
      </c>
      <c r="C8">
        <v>3</v>
      </c>
      <c r="D8" t="s">
        <v>512</v>
      </c>
    </row>
    <row r="9" spans="1:4">
      <c r="A9" s="3">
        <v>45893</v>
      </c>
      <c r="B9" t="s">
        <v>405</v>
      </c>
      <c r="C9">
        <v>1</v>
      </c>
      <c r="D9" t="s">
        <v>512</v>
      </c>
    </row>
    <row r="10" spans="1:4">
      <c r="A10" s="3">
        <v>45892</v>
      </c>
      <c r="B10" t="s">
        <v>413</v>
      </c>
      <c r="C10">
        <v>2</v>
      </c>
      <c r="D10" t="s">
        <v>509</v>
      </c>
    </row>
    <row r="11" spans="1:4">
      <c r="A11" s="3">
        <v>45894</v>
      </c>
      <c r="B11" t="s">
        <v>414</v>
      </c>
      <c r="C11">
        <v>1</v>
      </c>
      <c r="D11" t="s">
        <v>509</v>
      </c>
    </row>
    <row r="12" spans="1:4">
      <c r="A12" s="3">
        <v>45854</v>
      </c>
      <c r="B12" t="s">
        <v>402</v>
      </c>
      <c r="C12">
        <v>1</v>
      </c>
      <c r="D12" t="s">
        <v>510</v>
      </c>
    </row>
    <row r="13" spans="1:4">
      <c r="A13" s="3">
        <v>45850</v>
      </c>
      <c r="B13" t="s">
        <v>408</v>
      </c>
      <c r="C13">
        <v>4</v>
      </c>
      <c r="D13" t="s">
        <v>510</v>
      </c>
    </row>
    <row r="14" spans="1:4">
      <c r="A14" s="3">
        <v>45847</v>
      </c>
      <c r="B14" t="s">
        <v>413</v>
      </c>
      <c r="C14">
        <v>1</v>
      </c>
      <c r="D14" t="s">
        <v>510</v>
      </c>
    </row>
    <row r="15" spans="1:4">
      <c r="A15" s="3">
        <v>45844</v>
      </c>
      <c r="B15" t="s">
        <v>409</v>
      </c>
      <c r="C15">
        <v>4</v>
      </c>
      <c r="D15" t="s">
        <v>509</v>
      </c>
    </row>
    <row r="16" spans="1:4">
      <c r="A16" s="3">
        <v>45888</v>
      </c>
      <c r="B16" t="s">
        <v>410</v>
      </c>
      <c r="C16">
        <v>2</v>
      </c>
      <c r="D16" t="s">
        <v>510</v>
      </c>
    </row>
    <row r="17" spans="1:4">
      <c r="A17" s="3">
        <v>45893</v>
      </c>
      <c r="B17" t="s">
        <v>415</v>
      </c>
      <c r="C17">
        <v>1</v>
      </c>
      <c r="D17" t="s">
        <v>510</v>
      </c>
    </row>
    <row r="18" spans="1:4">
      <c r="A18" s="3">
        <v>45868</v>
      </c>
      <c r="B18" t="s">
        <v>416</v>
      </c>
      <c r="C18">
        <v>3</v>
      </c>
      <c r="D18" t="s">
        <v>510</v>
      </c>
    </row>
    <row r="19" spans="1:4">
      <c r="A19" s="3">
        <v>45863</v>
      </c>
      <c r="B19" t="s">
        <v>416</v>
      </c>
      <c r="C19">
        <v>2</v>
      </c>
      <c r="D19" t="s">
        <v>509</v>
      </c>
    </row>
    <row r="20" spans="1:4">
      <c r="A20" s="3">
        <v>45895</v>
      </c>
      <c r="B20" t="s">
        <v>417</v>
      </c>
      <c r="C20">
        <v>4</v>
      </c>
      <c r="D20" t="s">
        <v>512</v>
      </c>
    </row>
    <row r="21" spans="1:4">
      <c r="A21" s="3">
        <v>45880</v>
      </c>
      <c r="B21" t="s">
        <v>411</v>
      </c>
      <c r="C21">
        <v>2</v>
      </c>
      <c r="D21" t="s">
        <v>512</v>
      </c>
    </row>
    <row r="22" spans="1:4">
      <c r="A22" s="3">
        <v>45891</v>
      </c>
      <c r="B22" t="s">
        <v>415</v>
      </c>
      <c r="C22">
        <v>1</v>
      </c>
      <c r="D22" t="s">
        <v>512</v>
      </c>
    </row>
    <row r="23" spans="1:4">
      <c r="A23" s="3">
        <v>45884</v>
      </c>
      <c r="B23" t="s">
        <v>415</v>
      </c>
      <c r="C23">
        <v>2</v>
      </c>
      <c r="D23" t="s">
        <v>511</v>
      </c>
    </row>
    <row r="24" spans="1:4">
      <c r="A24" s="3">
        <v>45878</v>
      </c>
      <c r="B24" t="s">
        <v>418</v>
      </c>
      <c r="C24">
        <v>4</v>
      </c>
      <c r="D24" t="s">
        <v>509</v>
      </c>
    </row>
    <row r="25" spans="1:4">
      <c r="A25" s="3">
        <v>45879</v>
      </c>
      <c r="B25" t="s">
        <v>411</v>
      </c>
      <c r="C25">
        <v>1</v>
      </c>
      <c r="D25" t="s">
        <v>510</v>
      </c>
    </row>
    <row r="26" spans="1:4">
      <c r="A26" s="3">
        <v>45882</v>
      </c>
      <c r="B26" t="s">
        <v>404</v>
      </c>
      <c r="C26">
        <v>4</v>
      </c>
      <c r="D26" t="s">
        <v>510</v>
      </c>
    </row>
    <row r="27" spans="1:4">
      <c r="A27" s="3">
        <v>45846</v>
      </c>
      <c r="B27" t="s">
        <v>414</v>
      </c>
      <c r="C27">
        <v>1</v>
      </c>
      <c r="D27" t="s">
        <v>509</v>
      </c>
    </row>
    <row r="28" spans="1:4">
      <c r="A28" s="3">
        <v>45872</v>
      </c>
      <c r="B28" t="s">
        <v>405</v>
      </c>
      <c r="C28">
        <v>1</v>
      </c>
      <c r="D28" t="s">
        <v>509</v>
      </c>
    </row>
    <row r="29" spans="1:4">
      <c r="A29" s="3">
        <v>45891</v>
      </c>
      <c r="B29" t="s">
        <v>404</v>
      </c>
      <c r="C29">
        <v>2</v>
      </c>
      <c r="D29" t="s">
        <v>509</v>
      </c>
    </row>
    <row r="30" spans="1:4">
      <c r="A30" s="3">
        <v>45860</v>
      </c>
      <c r="B30" t="s">
        <v>416</v>
      </c>
      <c r="C30">
        <v>3</v>
      </c>
      <c r="D30" t="s">
        <v>512</v>
      </c>
    </row>
    <row r="31" spans="1:4">
      <c r="A31" s="3">
        <v>45867</v>
      </c>
      <c r="B31" t="s">
        <v>409</v>
      </c>
      <c r="C31">
        <v>2</v>
      </c>
      <c r="D31" t="s">
        <v>510</v>
      </c>
    </row>
    <row r="32" spans="1:4">
      <c r="A32" s="3">
        <v>45890</v>
      </c>
      <c r="B32" t="s">
        <v>404</v>
      </c>
      <c r="C32">
        <v>1</v>
      </c>
      <c r="D32" t="s">
        <v>509</v>
      </c>
    </row>
    <row r="33" spans="1:4">
      <c r="A33" s="3">
        <v>45863</v>
      </c>
      <c r="B33" t="s">
        <v>409</v>
      </c>
      <c r="C33">
        <v>1</v>
      </c>
      <c r="D33" t="s">
        <v>511</v>
      </c>
    </row>
    <row r="34" spans="1:4">
      <c r="A34" s="3">
        <v>45854</v>
      </c>
      <c r="B34" t="s">
        <v>419</v>
      </c>
      <c r="C34">
        <v>4</v>
      </c>
      <c r="D34" t="s">
        <v>509</v>
      </c>
    </row>
    <row r="35" spans="1:4">
      <c r="A35" s="3">
        <v>45849</v>
      </c>
      <c r="B35" t="s">
        <v>415</v>
      </c>
      <c r="C35">
        <v>2</v>
      </c>
      <c r="D35" t="s">
        <v>510</v>
      </c>
    </row>
    <row r="36" spans="1:4">
      <c r="A36" s="3">
        <v>45840</v>
      </c>
      <c r="B36" t="s">
        <v>406</v>
      </c>
      <c r="C36">
        <v>3</v>
      </c>
      <c r="D36" t="s">
        <v>509</v>
      </c>
    </row>
    <row r="37" spans="1:4">
      <c r="A37" s="3">
        <v>45845</v>
      </c>
      <c r="B37" t="s">
        <v>405</v>
      </c>
      <c r="C37">
        <v>1</v>
      </c>
      <c r="D37" t="s">
        <v>512</v>
      </c>
    </row>
    <row r="38" spans="1:4">
      <c r="A38" s="3">
        <v>45882</v>
      </c>
      <c r="B38" t="s">
        <v>415</v>
      </c>
      <c r="C38">
        <v>2</v>
      </c>
      <c r="D38" t="s">
        <v>509</v>
      </c>
    </row>
    <row r="39" spans="1:4">
      <c r="A39" s="3">
        <v>45843</v>
      </c>
      <c r="B39" t="s">
        <v>404</v>
      </c>
      <c r="C39">
        <v>2</v>
      </c>
      <c r="D39" t="s">
        <v>510</v>
      </c>
    </row>
    <row r="40" spans="1:4">
      <c r="A40" s="3">
        <v>45861</v>
      </c>
      <c r="B40" t="s">
        <v>414</v>
      </c>
      <c r="C40">
        <v>1</v>
      </c>
      <c r="D40" t="s">
        <v>509</v>
      </c>
    </row>
    <row r="41" spans="1:4">
      <c r="A41" s="3">
        <v>45844</v>
      </c>
      <c r="B41" t="s">
        <v>407</v>
      </c>
      <c r="C41">
        <v>1</v>
      </c>
      <c r="D41" t="s">
        <v>511</v>
      </c>
    </row>
    <row r="42" spans="1:4">
      <c r="A42" s="3">
        <v>45861</v>
      </c>
      <c r="B42" t="s">
        <v>412</v>
      </c>
      <c r="C42">
        <v>3</v>
      </c>
      <c r="D42" t="s">
        <v>511</v>
      </c>
    </row>
    <row r="43" spans="1:4">
      <c r="A43" s="3">
        <v>45895</v>
      </c>
      <c r="B43" t="s">
        <v>402</v>
      </c>
      <c r="C43">
        <v>1</v>
      </c>
      <c r="D43" t="s">
        <v>509</v>
      </c>
    </row>
    <row r="44" spans="1:4">
      <c r="A44" s="3">
        <v>45868</v>
      </c>
      <c r="B44" t="s">
        <v>407</v>
      </c>
      <c r="C44">
        <v>1</v>
      </c>
      <c r="D44" t="s">
        <v>509</v>
      </c>
    </row>
    <row r="45" spans="1:4">
      <c r="A45" s="3">
        <v>45879</v>
      </c>
      <c r="B45" t="s">
        <v>401</v>
      </c>
      <c r="C45">
        <v>1</v>
      </c>
      <c r="D45" t="s">
        <v>511</v>
      </c>
    </row>
    <row r="46" spans="1:4">
      <c r="A46" s="3">
        <v>45844</v>
      </c>
      <c r="B46" t="s">
        <v>414</v>
      </c>
      <c r="C46">
        <v>1</v>
      </c>
      <c r="D46" t="s">
        <v>509</v>
      </c>
    </row>
    <row r="47" spans="1:4">
      <c r="A47" s="3">
        <v>45880</v>
      </c>
      <c r="B47" t="s">
        <v>414</v>
      </c>
      <c r="C47">
        <v>2</v>
      </c>
      <c r="D47" t="s">
        <v>510</v>
      </c>
    </row>
    <row r="48" spans="1:4">
      <c r="A48" s="3">
        <v>45843</v>
      </c>
      <c r="B48" t="s">
        <v>411</v>
      </c>
      <c r="C48">
        <v>4</v>
      </c>
      <c r="D48" t="s">
        <v>510</v>
      </c>
    </row>
    <row r="49" spans="1:4">
      <c r="A49" s="3">
        <v>45889</v>
      </c>
      <c r="B49" t="s">
        <v>402</v>
      </c>
      <c r="C49">
        <v>4</v>
      </c>
      <c r="D49" t="s">
        <v>510</v>
      </c>
    </row>
    <row r="50" spans="1:4">
      <c r="A50" s="3">
        <v>45878</v>
      </c>
      <c r="B50" t="s">
        <v>407</v>
      </c>
      <c r="C50">
        <v>3</v>
      </c>
      <c r="D50" t="s">
        <v>511</v>
      </c>
    </row>
    <row r="51" spans="1:4">
      <c r="A51" s="3">
        <v>45875</v>
      </c>
      <c r="B51" t="s">
        <v>418</v>
      </c>
      <c r="C51">
        <v>3</v>
      </c>
      <c r="D51" t="s">
        <v>510</v>
      </c>
    </row>
    <row r="52" spans="1:4">
      <c r="A52" s="3">
        <v>45862</v>
      </c>
      <c r="B52" t="s">
        <v>406</v>
      </c>
      <c r="C52">
        <v>1</v>
      </c>
      <c r="D52" t="s">
        <v>511</v>
      </c>
    </row>
    <row r="53" spans="1:4">
      <c r="A53" s="3">
        <v>45853</v>
      </c>
      <c r="B53" t="s">
        <v>409</v>
      </c>
      <c r="C53">
        <v>1</v>
      </c>
      <c r="D53" t="s">
        <v>512</v>
      </c>
    </row>
    <row r="54" spans="1:4">
      <c r="A54" s="3">
        <v>45893</v>
      </c>
      <c r="B54" t="s">
        <v>410</v>
      </c>
      <c r="C54">
        <v>2</v>
      </c>
      <c r="D54" t="s">
        <v>510</v>
      </c>
    </row>
    <row r="55" spans="1:4">
      <c r="A55" s="3">
        <v>45893</v>
      </c>
      <c r="B55" t="s">
        <v>413</v>
      </c>
      <c r="C55">
        <v>1</v>
      </c>
      <c r="D55" t="s">
        <v>509</v>
      </c>
    </row>
    <row r="56" spans="1:4">
      <c r="A56" s="3">
        <v>45876</v>
      </c>
      <c r="B56" t="s">
        <v>406</v>
      </c>
      <c r="C56">
        <v>4</v>
      </c>
      <c r="D56" t="s">
        <v>511</v>
      </c>
    </row>
    <row r="57" spans="1:4">
      <c r="A57" s="3">
        <v>45858</v>
      </c>
      <c r="B57" t="s">
        <v>402</v>
      </c>
      <c r="C57">
        <v>1</v>
      </c>
      <c r="D57" t="s">
        <v>512</v>
      </c>
    </row>
    <row r="58" spans="1:4">
      <c r="A58" s="3">
        <v>45882</v>
      </c>
      <c r="B58" t="s">
        <v>411</v>
      </c>
      <c r="C58">
        <v>1</v>
      </c>
      <c r="D58" t="s">
        <v>512</v>
      </c>
    </row>
    <row r="59" spans="1:4">
      <c r="A59" s="3">
        <v>45891</v>
      </c>
      <c r="B59" t="s">
        <v>408</v>
      </c>
      <c r="C59">
        <v>1</v>
      </c>
      <c r="D59" t="s">
        <v>512</v>
      </c>
    </row>
    <row r="60" spans="1:4">
      <c r="A60" s="3">
        <v>45865</v>
      </c>
      <c r="B60" t="s">
        <v>404</v>
      </c>
      <c r="C60">
        <v>4</v>
      </c>
      <c r="D60" t="s">
        <v>512</v>
      </c>
    </row>
    <row r="61" spans="1:4">
      <c r="A61" s="3">
        <v>45846</v>
      </c>
      <c r="B61" t="s">
        <v>408</v>
      </c>
      <c r="C61">
        <v>1</v>
      </c>
      <c r="D61" t="s">
        <v>509</v>
      </c>
    </row>
    <row r="62" spans="1:4">
      <c r="A62" s="3">
        <v>45885</v>
      </c>
      <c r="B62" t="s">
        <v>408</v>
      </c>
      <c r="C62">
        <v>1</v>
      </c>
      <c r="D62" t="s">
        <v>511</v>
      </c>
    </row>
    <row r="63" spans="1:4">
      <c r="A63" s="3">
        <v>45868</v>
      </c>
      <c r="B63" t="s">
        <v>416</v>
      </c>
      <c r="C63">
        <v>4</v>
      </c>
      <c r="D63" t="s">
        <v>509</v>
      </c>
    </row>
    <row r="64" spans="1:4">
      <c r="A64" s="3">
        <v>45857</v>
      </c>
      <c r="B64" t="s">
        <v>405</v>
      </c>
      <c r="C64">
        <v>2</v>
      </c>
      <c r="D64" t="s">
        <v>510</v>
      </c>
    </row>
    <row r="65" spans="1:4">
      <c r="A65" s="3">
        <v>45862</v>
      </c>
      <c r="B65" t="s">
        <v>408</v>
      </c>
      <c r="C65">
        <v>4</v>
      </c>
      <c r="D65" t="s">
        <v>510</v>
      </c>
    </row>
    <row r="66" spans="1:4">
      <c r="A66" s="3">
        <v>45862</v>
      </c>
      <c r="B66" t="s">
        <v>414</v>
      </c>
      <c r="C66">
        <v>1</v>
      </c>
      <c r="D66" t="s">
        <v>511</v>
      </c>
    </row>
    <row r="67" spans="1:4">
      <c r="A67" s="3">
        <v>45866</v>
      </c>
      <c r="B67" t="s">
        <v>404</v>
      </c>
      <c r="C67">
        <v>1</v>
      </c>
      <c r="D67" t="s">
        <v>510</v>
      </c>
    </row>
    <row r="68" spans="1:4">
      <c r="A68" s="3">
        <v>45890</v>
      </c>
      <c r="B68" t="s">
        <v>411</v>
      </c>
      <c r="C68">
        <v>1</v>
      </c>
      <c r="D68" t="s">
        <v>511</v>
      </c>
    </row>
    <row r="69" spans="1:4">
      <c r="A69" s="3">
        <v>45864</v>
      </c>
      <c r="B69" t="s">
        <v>411</v>
      </c>
      <c r="C69">
        <v>3</v>
      </c>
      <c r="D69" t="s">
        <v>510</v>
      </c>
    </row>
    <row r="70" spans="1:4">
      <c r="A70" s="3">
        <v>45884</v>
      </c>
      <c r="B70" t="s">
        <v>405</v>
      </c>
      <c r="C70">
        <v>2</v>
      </c>
      <c r="D70" t="s">
        <v>510</v>
      </c>
    </row>
    <row r="71" spans="1:4">
      <c r="A71" s="3">
        <v>45870</v>
      </c>
      <c r="B71" t="s">
        <v>408</v>
      </c>
      <c r="C71">
        <v>1</v>
      </c>
      <c r="D71" t="s">
        <v>511</v>
      </c>
    </row>
    <row r="72" spans="1:4">
      <c r="A72" s="3">
        <v>45869</v>
      </c>
      <c r="B72" t="s">
        <v>410</v>
      </c>
      <c r="C72">
        <v>4</v>
      </c>
      <c r="D72" t="s">
        <v>512</v>
      </c>
    </row>
    <row r="73" spans="1:4">
      <c r="A73" s="3">
        <v>45893</v>
      </c>
      <c r="B73" t="s">
        <v>406</v>
      </c>
      <c r="C73">
        <v>1</v>
      </c>
      <c r="D73" t="s">
        <v>509</v>
      </c>
    </row>
    <row r="74" spans="1:4">
      <c r="A74" s="3">
        <v>45840</v>
      </c>
      <c r="B74" t="s">
        <v>419</v>
      </c>
      <c r="C74">
        <v>1</v>
      </c>
      <c r="D74" t="s">
        <v>510</v>
      </c>
    </row>
    <row r="75" spans="1:4">
      <c r="A75" s="3">
        <v>45867</v>
      </c>
      <c r="B75" t="s">
        <v>407</v>
      </c>
      <c r="C75">
        <v>1</v>
      </c>
      <c r="D75" t="s">
        <v>509</v>
      </c>
    </row>
    <row r="76" spans="1:4">
      <c r="A76" s="3">
        <v>45871</v>
      </c>
      <c r="B76" t="s">
        <v>406</v>
      </c>
      <c r="C76">
        <v>3</v>
      </c>
      <c r="D76" t="s">
        <v>510</v>
      </c>
    </row>
    <row r="77" spans="1:4">
      <c r="A77" s="3">
        <v>45894</v>
      </c>
      <c r="B77" t="s">
        <v>406</v>
      </c>
      <c r="C77">
        <v>2</v>
      </c>
      <c r="D77" t="s">
        <v>510</v>
      </c>
    </row>
    <row r="78" spans="1:4">
      <c r="A78" s="3">
        <v>45892</v>
      </c>
      <c r="B78" t="s">
        <v>402</v>
      </c>
      <c r="C78">
        <v>2</v>
      </c>
      <c r="D78" t="s">
        <v>511</v>
      </c>
    </row>
    <row r="79" spans="1:4">
      <c r="A79" s="3">
        <v>45886</v>
      </c>
      <c r="B79" t="s">
        <v>403</v>
      </c>
      <c r="C79">
        <v>1</v>
      </c>
      <c r="D79" t="s">
        <v>510</v>
      </c>
    </row>
    <row r="80" spans="1:4">
      <c r="A80" s="3">
        <v>45855</v>
      </c>
      <c r="B80" t="s">
        <v>411</v>
      </c>
      <c r="C80">
        <v>2</v>
      </c>
      <c r="D80" t="s">
        <v>509</v>
      </c>
    </row>
    <row r="81" spans="1:4">
      <c r="A81" s="3">
        <v>45852</v>
      </c>
      <c r="B81" t="s">
        <v>414</v>
      </c>
      <c r="C81">
        <v>1</v>
      </c>
      <c r="D81" t="s">
        <v>510</v>
      </c>
    </row>
    <row r="82" spans="1:4">
      <c r="A82" s="3">
        <v>45856</v>
      </c>
      <c r="B82" t="s">
        <v>414</v>
      </c>
      <c r="C82">
        <v>1</v>
      </c>
      <c r="D82" t="s">
        <v>512</v>
      </c>
    </row>
    <row r="83" spans="1:4">
      <c r="A83" s="3">
        <v>45889</v>
      </c>
      <c r="B83" t="s">
        <v>415</v>
      </c>
      <c r="C83">
        <v>1</v>
      </c>
      <c r="D83" t="s">
        <v>512</v>
      </c>
    </row>
    <row r="84" spans="1:4">
      <c r="A84" s="3">
        <v>45843</v>
      </c>
      <c r="B84" t="s">
        <v>416</v>
      </c>
      <c r="C84">
        <v>2</v>
      </c>
      <c r="D84" t="s">
        <v>510</v>
      </c>
    </row>
    <row r="85" spans="1:4">
      <c r="A85" s="3">
        <v>45852</v>
      </c>
      <c r="B85" t="s">
        <v>406</v>
      </c>
      <c r="C85">
        <v>3</v>
      </c>
      <c r="D85" t="s">
        <v>512</v>
      </c>
    </row>
    <row r="86" spans="1:4">
      <c r="A86" s="3">
        <v>45853</v>
      </c>
      <c r="B86" t="s">
        <v>416</v>
      </c>
      <c r="C86">
        <v>2</v>
      </c>
      <c r="D86" t="s">
        <v>509</v>
      </c>
    </row>
    <row r="87" spans="1:4">
      <c r="A87" s="3">
        <v>45888</v>
      </c>
      <c r="B87" t="s">
        <v>409</v>
      </c>
      <c r="C87">
        <v>4</v>
      </c>
      <c r="D87" t="s">
        <v>511</v>
      </c>
    </row>
    <row r="88" spans="1:4">
      <c r="A88" s="3">
        <v>45844</v>
      </c>
      <c r="B88" t="s">
        <v>403</v>
      </c>
      <c r="C88">
        <v>1</v>
      </c>
      <c r="D88" t="s">
        <v>510</v>
      </c>
    </row>
    <row r="89" spans="1:4">
      <c r="A89" s="3">
        <v>45840</v>
      </c>
      <c r="B89" t="s">
        <v>416</v>
      </c>
      <c r="C89">
        <v>1</v>
      </c>
      <c r="D89" t="s">
        <v>510</v>
      </c>
    </row>
    <row r="90" spans="1:4">
      <c r="A90" s="3">
        <v>45840</v>
      </c>
      <c r="B90" t="s">
        <v>416</v>
      </c>
      <c r="C90">
        <v>2</v>
      </c>
      <c r="D90" t="s">
        <v>511</v>
      </c>
    </row>
    <row r="91" spans="1:4">
      <c r="A91" s="3">
        <v>45891</v>
      </c>
      <c r="B91" t="s">
        <v>401</v>
      </c>
      <c r="C91">
        <v>2</v>
      </c>
      <c r="D91" t="s">
        <v>512</v>
      </c>
    </row>
    <row r="92" spans="1:4">
      <c r="A92" s="3">
        <v>45887</v>
      </c>
      <c r="B92" t="s">
        <v>410</v>
      </c>
      <c r="C92">
        <v>3</v>
      </c>
      <c r="D92" t="s">
        <v>509</v>
      </c>
    </row>
    <row r="93" spans="1:4">
      <c r="A93" s="3">
        <v>45849</v>
      </c>
      <c r="B93" t="s">
        <v>405</v>
      </c>
      <c r="C93">
        <v>2</v>
      </c>
      <c r="D93" t="s">
        <v>509</v>
      </c>
    </row>
    <row r="94" spans="1:4">
      <c r="A94" s="3">
        <v>45862</v>
      </c>
      <c r="B94" t="s">
        <v>408</v>
      </c>
      <c r="C94">
        <v>1</v>
      </c>
      <c r="D94" t="s">
        <v>511</v>
      </c>
    </row>
    <row r="95" spans="1:4">
      <c r="A95" s="3">
        <v>45873</v>
      </c>
      <c r="B95" t="s">
        <v>419</v>
      </c>
      <c r="C95">
        <v>4</v>
      </c>
      <c r="D95" t="s">
        <v>510</v>
      </c>
    </row>
    <row r="96" spans="1:4">
      <c r="A96" s="3">
        <v>45846</v>
      </c>
      <c r="B96" t="s">
        <v>411</v>
      </c>
      <c r="C96">
        <v>3</v>
      </c>
      <c r="D96" t="s">
        <v>510</v>
      </c>
    </row>
    <row r="97" spans="1:4">
      <c r="A97" s="3">
        <v>45883</v>
      </c>
      <c r="B97" t="s">
        <v>412</v>
      </c>
      <c r="C97">
        <v>1</v>
      </c>
      <c r="D97" t="s">
        <v>509</v>
      </c>
    </row>
    <row r="98" spans="1:4">
      <c r="A98" s="3">
        <v>45860</v>
      </c>
      <c r="B98" t="s">
        <v>401</v>
      </c>
      <c r="C98">
        <v>1</v>
      </c>
      <c r="D98" t="s">
        <v>512</v>
      </c>
    </row>
    <row r="99" spans="1:4">
      <c r="A99" s="3">
        <v>45842</v>
      </c>
      <c r="B99" t="s">
        <v>417</v>
      </c>
      <c r="C99">
        <v>1</v>
      </c>
      <c r="D99" t="s">
        <v>510</v>
      </c>
    </row>
    <row r="100" spans="1:4">
      <c r="A100" s="3">
        <v>45875</v>
      </c>
      <c r="B100" t="s">
        <v>404</v>
      </c>
      <c r="C100">
        <v>2</v>
      </c>
      <c r="D100" t="s">
        <v>510</v>
      </c>
    </row>
    <row r="101" spans="1:4">
      <c r="A101" s="3">
        <v>45844</v>
      </c>
      <c r="B101" t="s">
        <v>416</v>
      </c>
      <c r="C101">
        <v>3</v>
      </c>
      <c r="D101" t="s">
        <v>509</v>
      </c>
    </row>
    <row r="102" spans="1:4">
      <c r="A102" s="3">
        <v>45847</v>
      </c>
      <c r="B102" t="s">
        <v>403</v>
      </c>
      <c r="C102">
        <v>1</v>
      </c>
      <c r="D102" t="s">
        <v>510</v>
      </c>
    </row>
    <row r="103" spans="1:4">
      <c r="A103" s="3">
        <v>45871</v>
      </c>
      <c r="B103" t="s">
        <v>412</v>
      </c>
      <c r="C103">
        <v>2</v>
      </c>
      <c r="D103" t="s">
        <v>512</v>
      </c>
    </row>
    <row r="104" spans="1:4">
      <c r="A104" s="3">
        <v>45890</v>
      </c>
      <c r="B104" t="s">
        <v>415</v>
      </c>
      <c r="C104">
        <v>2</v>
      </c>
      <c r="D104" t="s">
        <v>509</v>
      </c>
    </row>
    <row r="105" spans="1:4">
      <c r="A105" s="3">
        <v>45859</v>
      </c>
      <c r="B105" t="s">
        <v>412</v>
      </c>
      <c r="C105">
        <v>2</v>
      </c>
      <c r="D105" t="s">
        <v>510</v>
      </c>
    </row>
    <row r="106" spans="1:4">
      <c r="A106" s="3">
        <v>45865</v>
      </c>
      <c r="B106" t="s">
        <v>415</v>
      </c>
      <c r="C106">
        <v>1</v>
      </c>
      <c r="D106" t="s">
        <v>512</v>
      </c>
    </row>
    <row r="107" spans="1:4">
      <c r="A107" s="3">
        <v>45866</v>
      </c>
      <c r="B107" t="s">
        <v>414</v>
      </c>
      <c r="C107">
        <v>3</v>
      </c>
      <c r="D107" t="s">
        <v>512</v>
      </c>
    </row>
    <row r="108" spans="1:4">
      <c r="A108" s="3">
        <v>45856</v>
      </c>
      <c r="B108" t="s">
        <v>402</v>
      </c>
      <c r="C108">
        <v>4</v>
      </c>
      <c r="D108" t="s">
        <v>512</v>
      </c>
    </row>
    <row r="109" spans="1:4">
      <c r="A109" s="3">
        <v>45859</v>
      </c>
      <c r="B109" t="s">
        <v>412</v>
      </c>
      <c r="C109">
        <v>2</v>
      </c>
      <c r="D109" t="s">
        <v>509</v>
      </c>
    </row>
    <row r="110" spans="1:4">
      <c r="A110" s="3">
        <v>45877</v>
      </c>
      <c r="B110" t="s">
        <v>417</v>
      </c>
      <c r="C110">
        <v>1</v>
      </c>
      <c r="D110" t="s">
        <v>511</v>
      </c>
    </row>
    <row r="111" spans="1:4">
      <c r="A111" s="3">
        <v>45854</v>
      </c>
      <c r="B111" t="s">
        <v>412</v>
      </c>
      <c r="C111">
        <v>2</v>
      </c>
      <c r="D111" t="s">
        <v>509</v>
      </c>
    </row>
    <row r="112" spans="1:4">
      <c r="A112" s="3">
        <v>45894</v>
      </c>
      <c r="B112" t="s">
        <v>404</v>
      </c>
      <c r="C112">
        <v>3</v>
      </c>
      <c r="D112" t="s">
        <v>511</v>
      </c>
    </row>
    <row r="113" spans="1:4">
      <c r="A113" s="3">
        <v>45876</v>
      </c>
      <c r="B113" t="s">
        <v>407</v>
      </c>
      <c r="C113">
        <v>4</v>
      </c>
      <c r="D113" t="s">
        <v>512</v>
      </c>
    </row>
    <row r="114" spans="1:4">
      <c r="A114" s="3">
        <v>45887</v>
      </c>
      <c r="B114" t="s">
        <v>411</v>
      </c>
      <c r="C114">
        <v>1</v>
      </c>
      <c r="D114" t="s">
        <v>512</v>
      </c>
    </row>
    <row r="115" spans="1:4">
      <c r="A115" s="3">
        <v>45848</v>
      </c>
      <c r="B115" t="s">
        <v>410</v>
      </c>
      <c r="C115">
        <v>1</v>
      </c>
      <c r="D115" t="s">
        <v>509</v>
      </c>
    </row>
    <row r="116" spans="1:4">
      <c r="A116" s="3">
        <v>45846</v>
      </c>
      <c r="B116" t="s">
        <v>402</v>
      </c>
      <c r="C116">
        <v>2</v>
      </c>
      <c r="D116" t="s">
        <v>510</v>
      </c>
    </row>
    <row r="117" spans="1:4">
      <c r="A117" s="3">
        <v>45870</v>
      </c>
      <c r="B117" t="s">
        <v>416</v>
      </c>
      <c r="C117">
        <v>1</v>
      </c>
      <c r="D117" t="s">
        <v>511</v>
      </c>
    </row>
    <row r="118" spans="1:4">
      <c r="A118" s="3">
        <v>45882</v>
      </c>
      <c r="B118" t="s">
        <v>403</v>
      </c>
      <c r="C118">
        <v>2</v>
      </c>
      <c r="D118" t="s">
        <v>509</v>
      </c>
    </row>
    <row r="119" spans="1:4">
      <c r="A119" s="3">
        <v>45873</v>
      </c>
      <c r="B119" t="s">
        <v>414</v>
      </c>
      <c r="C119">
        <v>4</v>
      </c>
      <c r="D119" t="s">
        <v>510</v>
      </c>
    </row>
    <row r="120" spans="1:4">
      <c r="A120" s="3">
        <v>45880</v>
      </c>
      <c r="B120" t="s">
        <v>418</v>
      </c>
      <c r="C120">
        <v>4</v>
      </c>
      <c r="D120" t="s">
        <v>510</v>
      </c>
    </row>
    <row r="121" spans="1:4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D26" sqref="D26"/>
    </sheetView>
  </sheetViews>
  <sheetFormatPr defaultRowHeight="14.4"/>
  <cols>
    <col min="1" max="1" width="10.33203125" bestFit="1" customWidth="1"/>
    <col min="2" max="2" width="15" bestFit="1" customWidth="1"/>
    <col min="3" max="3" width="10.77734375" bestFit="1" customWidth="1"/>
    <col min="4" max="4" width="13.77734375" bestFit="1" customWidth="1"/>
  </cols>
  <sheetData>
    <row r="1" spans="1:4">
      <c r="A1" s="19" t="s">
        <v>507</v>
      </c>
      <c r="B1" s="19" t="s">
        <v>2</v>
      </c>
      <c r="C1" s="19" t="s">
        <v>513</v>
      </c>
      <c r="D1" s="19" t="s">
        <v>514</v>
      </c>
    </row>
    <row r="2" spans="1:4">
      <c r="A2" s="3">
        <v>45846</v>
      </c>
      <c r="B2" t="s">
        <v>27</v>
      </c>
      <c r="C2">
        <v>4</v>
      </c>
      <c r="D2" t="s">
        <v>515</v>
      </c>
    </row>
    <row r="3" spans="1:4">
      <c r="A3" s="3">
        <v>45875</v>
      </c>
      <c r="B3" t="s">
        <v>9</v>
      </c>
      <c r="C3">
        <v>3</v>
      </c>
      <c r="D3" t="s">
        <v>516</v>
      </c>
    </row>
    <row r="4" spans="1:4">
      <c r="A4" s="3">
        <v>45869</v>
      </c>
      <c r="B4" t="s">
        <v>15</v>
      </c>
      <c r="C4">
        <v>2</v>
      </c>
      <c r="D4" t="s">
        <v>517</v>
      </c>
    </row>
    <row r="5" spans="1:4">
      <c r="A5" s="3">
        <v>45839</v>
      </c>
      <c r="B5" t="s">
        <v>15</v>
      </c>
      <c r="C5">
        <v>5</v>
      </c>
      <c r="D5" t="s">
        <v>518</v>
      </c>
    </row>
    <row r="6" spans="1:4">
      <c r="A6" s="3">
        <v>45865</v>
      </c>
      <c r="B6" t="s">
        <v>27</v>
      </c>
      <c r="C6">
        <v>3</v>
      </c>
      <c r="D6" t="s">
        <v>517</v>
      </c>
    </row>
    <row r="7" spans="1:4">
      <c r="A7" s="3">
        <v>45857</v>
      </c>
      <c r="B7" t="s">
        <v>15</v>
      </c>
      <c r="C7">
        <v>5</v>
      </c>
      <c r="D7" t="s">
        <v>516</v>
      </c>
    </row>
    <row r="8" spans="1:4">
      <c r="A8" s="3">
        <v>45849</v>
      </c>
      <c r="B8" t="s">
        <v>27</v>
      </c>
      <c r="C8">
        <v>2</v>
      </c>
      <c r="D8" t="s">
        <v>518</v>
      </c>
    </row>
    <row r="9" spans="1:4">
      <c r="A9" s="3">
        <v>45892</v>
      </c>
      <c r="B9" t="s">
        <v>27</v>
      </c>
      <c r="C9">
        <v>4</v>
      </c>
      <c r="D9" t="s">
        <v>516</v>
      </c>
    </row>
    <row r="10" spans="1:4">
      <c r="A10" s="3">
        <v>45840</v>
      </c>
      <c r="B10" t="s">
        <v>15</v>
      </c>
      <c r="C10">
        <v>5</v>
      </c>
      <c r="D10" t="s">
        <v>516</v>
      </c>
    </row>
    <row r="11" spans="1:4">
      <c r="A11" s="3">
        <v>45847</v>
      </c>
      <c r="B11" t="s">
        <v>9</v>
      </c>
      <c r="C11">
        <v>3</v>
      </c>
      <c r="D11" t="s">
        <v>515</v>
      </c>
    </row>
    <row r="12" spans="1:4">
      <c r="A12" s="3">
        <v>45875</v>
      </c>
      <c r="B12" t="s">
        <v>27</v>
      </c>
      <c r="C12">
        <v>3</v>
      </c>
      <c r="D12" t="s">
        <v>519</v>
      </c>
    </row>
    <row r="13" spans="1:4">
      <c r="A13" s="3">
        <v>45868</v>
      </c>
      <c r="B13" t="s">
        <v>15</v>
      </c>
      <c r="C13">
        <v>5</v>
      </c>
      <c r="D13" t="s">
        <v>515</v>
      </c>
    </row>
    <row r="14" spans="1:4">
      <c r="A14" s="3">
        <v>45845</v>
      </c>
      <c r="B14" t="s">
        <v>27</v>
      </c>
      <c r="C14">
        <v>5</v>
      </c>
      <c r="D14" t="s">
        <v>519</v>
      </c>
    </row>
    <row r="15" spans="1:4">
      <c r="A15" s="3">
        <v>45879</v>
      </c>
      <c r="B15" t="s">
        <v>15</v>
      </c>
      <c r="C15">
        <v>5</v>
      </c>
      <c r="D15" t="s">
        <v>517</v>
      </c>
    </row>
    <row r="16" spans="1:4">
      <c r="A16" s="3">
        <v>45874</v>
      </c>
      <c r="B16" t="s">
        <v>15</v>
      </c>
      <c r="C16">
        <v>3</v>
      </c>
      <c r="D16" t="s">
        <v>520</v>
      </c>
    </row>
    <row r="17" spans="1:4">
      <c r="A17" s="3">
        <v>45896</v>
      </c>
      <c r="B17" t="s">
        <v>9</v>
      </c>
      <c r="C17">
        <v>3</v>
      </c>
      <c r="D17" t="s">
        <v>520</v>
      </c>
    </row>
    <row r="18" spans="1:4">
      <c r="A18" s="3">
        <v>45849</v>
      </c>
      <c r="B18" t="s">
        <v>27</v>
      </c>
      <c r="C18">
        <v>4</v>
      </c>
    </row>
    <row r="19" spans="1:4">
      <c r="A19" s="3">
        <v>45877</v>
      </c>
      <c r="B19" t="s">
        <v>15</v>
      </c>
      <c r="C19">
        <v>5</v>
      </c>
      <c r="D19" t="s">
        <v>518</v>
      </c>
    </row>
    <row r="20" spans="1:4">
      <c r="A20" s="3">
        <v>45881</v>
      </c>
      <c r="B20" t="s">
        <v>15</v>
      </c>
      <c r="C20">
        <v>5</v>
      </c>
      <c r="D20" t="s">
        <v>515</v>
      </c>
    </row>
    <row r="21" spans="1:4">
      <c r="A21" s="3">
        <v>45868</v>
      </c>
      <c r="B21" t="s">
        <v>15</v>
      </c>
      <c r="C21">
        <v>3</v>
      </c>
      <c r="D21" t="s">
        <v>520</v>
      </c>
    </row>
    <row r="22" spans="1:4">
      <c r="A22" s="3">
        <v>45869</v>
      </c>
      <c r="B22" t="s">
        <v>27</v>
      </c>
      <c r="C22">
        <v>5</v>
      </c>
      <c r="D22" t="s">
        <v>518</v>
      </c>
    </row>
    <row r="23" spans="1:4">
      <c r="A23" s="3">
        <v>45867</v>
      </c>
      <c r="B23" t="s">
        <v>9</v>
      </c>
      <c r="C23">
        <v>5</v>
      </c>
      <c r="D23" t="s">
        <v>521</v>
      </c>
    </row>
    <row r="24" spans="1:4">
      <c r="A24" s="3">
        <v>45870</v>
      </c>
      <c r="B24" t="s">
        <v>15</v>
      </c>
      <c r="C24">
        <v>4</v>
      </c>
      <c r="D24" t="s">
        <v>516</v>
      </c>
    </row>
    <row r="25" spans="1:4">
      <c r="A25" s="3">
        <v>45874</v>
      </c>
      <c r="B25" t="s">
        <v>27</v>
      </c>
      <c r="C25">
        <v>3</v>
      </c>
      <c r="D25" t="s">
        <v>515</v>
      </c>
    </row>
    <row r="26" spans="1:4">
      <c r="A26" s="3">
        <v>45892</v>
      </c>
      <c r="B26" t="s">
        <v>27</v>
      </c>
      <c r="C26">
        <v>5</v>
      </c>
      <c r="D26" t="s">
        <v>521</v>
      </c>
    </row>
    <row r="27" spans="1:4">
      <c r="A27" s="3">
        <v>45881</v>
      </c>
      <c r="B27" t="s">
        <v>15</v>
      </c>
      <c r="C27">
        <v>2</v>
      </c>
      <c r="D27" t="s">
        <v>516</v>
      </c>
    </row>
    <row r="28" spans="1:4">
      <c r="A28" s="3">
        <v>45887</v>
      </c>
      <c r="B28" t="s">
        <v>27</v>
      </c>
      <c r="C28">
        <v>4</v>
      </c>
      <c r="D28" t="s">
        <v>521</v>
      </c>
    </row>
    <row r="29" spans="1:4">
      <c r="A29" s="3">
        <v>45863</v>
      </c>
      <c r="B29" t="s">
        <v>9</v>
      </c>
      <c r="C29">
        <v>3</v>
      </c>
      <c r="D29" t="s">
        <v>516</v>
      </c>
    </row>
    <row r="30" spans="1:4">
      <c r="A30" s="3">
        <v>45875</v>
      </c>
      <c r="B30" t="s">
        <v>27</v>
      </c>
      <c r="C30">
        <v>5</v>
      </c>
      <c r="D30" t="s">
        <v>520</v>
      </c>
    </row>
    <row r="31" spans="1:4">
      <c r="A31" s="3">
        <v>45895</v>
      </c>
      <c r="B31" t="s">
        <v>15</v>
      </c>
      <c r="C31">
        <v>5</v>
      </c>
    </row>
    <row r="32" spans="1:4">
      <c r="A32" s="3">
        <v>45873</v>
      </c>
      <c r="B32" t="s">
        <v>9</v>
      </c>
      <c r="C32">
        <v>2</v>
      </c>
      <c r="D32" t="s">
        <v>517</v>
      </c>
    </row>
    <row r="33" spans="1:4">
      <c r="A33" s="3">
        <v>45863</v>
      </c>
      <c r="B33" t="s">
        <v>9</v>
      </c>
      <c r="C33">
        <v>4</v>
      </c>
      <c r="D33" t="s">
        <v>515</v>
      </c>
    </row>
    <row r="34" spans="1:4">
      <c r="A34" s="3">
        <v>45843</v>
      </c>
      <c r="B34" t="s">
        <v>9</v>
      </c>
      <c r="C34">
        <v>5</v>
      </c>
      <c r="D34" t="s">
        <v>518</v>
      </c>
    </row>
    <row r="35" spans="1:4">
      <c r="A35" s="3">
        <v>45880</v>
      </c>
      <c r="B35" t="s">
        <v>27</v>
      </c>
      <c r="C35">
        <v>2</v>
      </c>
      <c r="D35" t="s">
        <v>517</v>
      </c>
    </row>
    <row r="36" spans="1:4">
      <c r="A36" s="3">
        <v>45864</v>
      </c>
      <c r="B36" t="s">
        <v>27</v>
      </c>
      <c r="C36">
        <v>3</v>
      </c>
      <c r="D36" t="s">
        <v>520</v>
      </c>
    </row>
    <row r="37" spans="1:4">
      <c r="A37" s="3">
        <v>45875</v>
      </c>
      <c r="B37" t="s">
        <v>15</v>
      </c>
      <c r="C37">
        <v>5</v>
      </c>
      <c r="D37" t="s">
        <v>515</v>
      </c>
    </row>
    <row r="38" spans="1:4">
      <c r="A38" s="3">
        <v>45872</v>
      </c>
      <c r="B38" t="s">
        <v>27</v>
      </c>
      <c r="C38">
        <v>5</v>
      </c>
      <c r="D38" t="s">
        <v>517</v>
      </c>
    </row>
    <row r="39" spans="1:4">
      <c r="A39" s="3">
        <v>45867</v>
      </c>
      <c r="B39" t="s">
        <v>15</v>
      </c>
      <c r="C39">
        <v>2</v>
      </c>
      <c r="D39" t="s">
        <v>517</v>
      </c>
    </row>
    <row r="40" spans="1:4">
      <c r="A40" s="3">
        <v>45852</v>
      </c>
      <c r="B40" t="s">
        <v>15</v>
      </c>
      <c r="C40">
        <v>4</v>
      </c>
      <c r="D40" t="s">
        <v>518</v>
      </c>
    </row>
    <row r="41" spans="1:4">
      <c r="A41" s="3">
        <v>45883</v>
      </c>
      <c r="B41" t="s">
        <v>27</v>
      </c>
      <c r="C41">
        <v>5</v>
      </c>
      <c r="D41" t="s">
        <v>518</v>
      </c>
    </row>
    <row r="42" spans="1:4">
      <c r="A42" s="3">
        <v>45885</v>
      </c>
      <c r="B42" t="s">
        <v>27</v>
      </c>
      <c r="C42">
        <v>5</v>
      </c>
      <c r="D42" t="s">
        <v>520</v>
      </c>
    </row>
    <row r="43" spans="1:4">
      <c r="A43" s="3">
        <v>45869</v>
      </c>
      <c r="B43" t="s">
        <v>27</v>
      </c>
      <c r="C43">
        <v>4</v>
      </c>
    </row>
    <row r="44" spans="1:4">
      <c r="A44" s="3">
        <v>45850</v>
      </c>
      <c r="B44" t="s">
        <v>27</v>
      </c>
      <c r="C44">
        <v>4</v>
      </c>
      <c r="D44" t="s">
        <v>517</v>
      </c>
    </row>
    <row r="45" spans="1:4">
      <c r="A45" s="3">
        <v>45854</v>
      </c>
      <c r="B45" t="s">
        <v>9</v>
      </c>
      <c r="C45">
        <v>3</v>
      </c>
      <c r="D45" t="s">
        <v>515</v>
      </c>
    </row>
    <row r="46" spans="1:4">
      <c r="A46" s="3">
        <v>45892</v>
      </c>
      <c r="B46" t="s">
        <v>27</v>
      </c>
      <c r="C46">
        <v>4</v>
      </c>
      <c r="D46" t="s">
        <v>516</v>
      </c>
    </row>
    <row r="47" spans="1:4">
      <c r="A47" s="3">
        <v>45883</v>
      </c>
      <c r="B47" t="s">
        <v>27</v>
      </c>
      <c r="C47">
        <v>5</v>
      </c>
      <c r="D47" t="s">
        <v>515</v>
      </c>
    </row>
    <row r="48" spans="1:4">
      <c r="A48" s="3">
        <v>45857</v>
      </c>
      <c r="B48" t="s">
        <v>9</v>
      </c>
      <c r="C48">
        <v>5</v>
      </c>
      <c r="D48" t="s">
        <v>516</v>
      </c>
    </row>
    <row r="49" spans="1:4">
      <c r="A49" s="3">
        <v>45841</v>
      </c>
      <c r="B49" t="s">
        <v>9</v>
      </c>
      <c r="C49">
        <v>3</v>
      </c>
      <c r="D49" t="s">
        <v>520</v>
      </c>
    </row>
    <row r="50" spans="1:4">
      <c r="A50" s="3">
        <v>45896</v>
      </c>
      <c r="B50" t="s">
        <v>15</v>
      </c>
      <c r="C50">
        <v>5</v>
      </c>
    </row>
    <row r="51" spans="1:4">
      <c r="A51" s="3">
        <v>45859</v>
      </c>
      <c r="B51" t="s">
        <v>27</v>
      </c>
      <c r="C51">
        <v>4</v>
      </c>
      <c r="D51" t="s">
        <v>517</v>
      </c>
    </row>
    <row r="52" spans="1:4">
      <c r="A52" s="3">
        <v>45895</v>
      </c>
      <c r="B52" t="s">
        <v>27</v>
      </c>
      <c r="C52">
        <v>3</v>
      </c>
      <c r="D52" t="s">
        <v>518</v>
      </c>
    </row>
    <row r="53" spans="1:4">
      <c r="A53" s="3">
        <v>45870</v>
      </c>
      <c r="B53" t="s">
        <v>27</v>
      </c>
      <c r="C53">
        <v>5</v>
      </c>
      <c r="D53" t="s">
        <v>517</v>
      </c>
    </row>
    <row r="54" spans="1:4">
      <c r="A54" s="3">
        <v>45864</v>
      </c>
      <c r="B54" t="s">
        <v>9</v>
      </c>
      <c r="C54">
        <v>5</v>
      </c>
      <c r="D54" t="s">
        <v>518</v>
      </c>
    </row>
    <row r="55" spans="1:4">
      <c r="A55" s="3">
        <v>45896</v>
      </c>
      <c r="B55" t="s">
        <v>15</v>
      </c>
      <c r="C55">
        <v>5</v>
      </c>
      <c r="D55" t="s">
        <v>517</v>
      </c>
    </row>
    <row r="56" spans="1:4">
      <c r="A56" s="3">
        <v>45872</v>
      </c>
      <c r="B56" t="s">
        <v>15</v>
      </c>
      <c r="C56">
        <v>5</v>
      </c>
      <c r="D56" t="s">
        <v>515</v>
      </c>
    </row>
    <row r="57" spans="1:4">
      <c r="A57" s="3">
        <v>45867</v>
      </c>
      <c r="B57" t="s">
        <v>9</v>
      </c>
      <c r="C57">
        <v>2</v>
      </c>
      <c r="D57" t="s">
        <v>515</v>
      </c>
    </row>
    <row r="58" spans="1:4">
      <c r="A58" s="3">
        <v>45869</v>
      </c>
      <c r="B58" t="s">
        <v>27</v>
      </c>
      <c r="C58">
        <v>3</v>
      </c>
      <c r="D58" t="s">
        <v>519</v>
      </c>
    </row>
    <row r="59" spans="1:4">
      <c r="A59" s="3">
        <v>45850</v>
      </c>
      <c r="B59" t="s">
        <v>27</v>
      </c>
      <c r="C59">
        <v>4</v>
      </c>
      <c r="D59" t="s">
        <v>515</v>
      </c>
    </row>
    <row r="60" spans="1:4">
      <c r="A60" s="3">
        <v>45888</v>
      </c>
      <c r="B60" t="s">
        <v>15</v>
      </c>
      <c r="C60">
        <v>5</v>
      </c>
      <c r="D60" t="s">
        <v>515</v>
      </c>
    </row>
    <row r="61" spans="1:4">
      <c r="A61" s="3">
        <v>45894</v>
      </c>
      <c r="B61" t="s">
        <v>15</v>
      </c>
      <c r="C61">
        <v>5</v>
      </c>
      <c r="D61" t="s">
        <v>515</v>
      </c>
    </row>
    <row r="62" spans="1:4">
      <c r="A62" s="3">
        <v>45886</v>
      </c>
      <c r="B62" t="s">
        <v>9</v>
      </c>
      <c r="C62">
        <v>3</v>
      </c>
      <c r="D62" t="s">
        <v>515</v>
      </c>
    </row>
    <row r="63" spans="1:4">
      <c r="A63" s="3">
        <v>45886</v>
      </c>
      <c r="B63" t="s">
        <v>15</v>
      </c>
      <c r="C63">
        <v>3</v>
      </c>
      <c r="D63" t="s">
        <v>515</v>
      </c>
    </row>
    <row r="64" spans="1:4">
      <c r="A64" s="3">
        <v>45869</v>
      </c>
      <c r="B64" t="s">
        <v>15</v>
      </c>
      <c r="C64">
        <v>2</v>
      </c>
      <c r="D64" t="s">
        <v>518</v>
      </c>
    </row>
    <row r="65" spans="1:4">
      <c r="A65" s="3">
        <v>45839</v>
      </c>
      <c r="B65" t="s">
        <v>15</v>
      </c>
      <c r="C65">
        <v>3</v>
      </c>
      <c r="D65" t="s">
        <v>521</v>
      </c>
    </row>
    <row r="66" spans="1:4">
      <c r="A66" s="3">
        <v>45876</v>
      </c>
      <c r="B66" t="s">
        <v>9</v>
      </c>
      <c r="C66">
        <v>5</v>
      </c>
      <c r="D66" t="s">
        <v>516</v>
      </c>
    </row>
    <row r="67" spans="1:4">
      <c r="A67" s="3">
        <v>45886</v>
      </c>
      <c r="B67" t="s">
        <v>15</v>
      </c>
      <c r="C67">
        <v>5</v>
      </c>
      <c r="D67" t="s">
        <v>520</v>
      </c>
    </row>
    <row r="68" spans="1:4">
      <c r="A68" s="3">
        <v>45855</v>
      </c>
      <c r="B68" t="s">
        <v>27</v>
      </c>
      <c r="C68">
        <v>2</v>
      </c>
      <c r="D68" t="s">
        <v>521</v>
      </c>
    </row>
    <row r="69" spans="1:4">
      <c r="A69" s="3">
        <v>45867</v>
      </c>
      <c r="B69" t="s">
        <v>27</v>
      </c>
      <c r="C69">
        <v>4</v>
      </c>
      <c r="D69" t="s">
        <v>521</v>
      </c>
    </row>
    <row r="70" spans="1:4">
      <c r="A70" s="3">
        <v>45891</v>
      </c>
      <c r="B70" t="s">
        <v>15</v>
      </c>
      <c r="C70">
        <v>3</v>
      </c>
      <c r="D70" t="s">
        <v>520</v>
      </c>
    </row>
    <row r="71" spans="1:4">
      <c r="A71" s="3">
        <v>45893</v>
      </c>
      <c r="B71" t="s">
        <v>9</v>
      </c>
      <c r="C71">
        <v>5</v>
      </c>
      <c r="D71" t="s">
        <v>517</v>
      </c>
    </row>
    <row r="72" spans="1:4">
      <c r="A72" s="3">
        <v>45894</v>
      </c>
      <c r="B72" t="s">
        <v>27</v>
      </c>
      <c r="C72">
        <v>4</v>
      </c>
      <c r="D72" t="s">
        <v>518</v>
      </c>
    </row>
    <row r="73" spans="1:4">
      <c r="A73" s="3">
        <v>45891</v>
      </c>
      <c r="B73" t="s">
        <v>27</v>
      </c>
      <c r="C73">
        <v>5</v>
      </c>
      <c r="D73" t="s">
        <v>521</v>
      </c>
    </row>
    <row r="74" spans="1:4">
      <c r="A74" s="3">
        <v>45880</v>
      </c>
      <c r="B74" t="s">
        <v>27</v>
      </c>
      <c r="C74">
        <v>3</v>
      </c>
      <c r="D74" t="s">
        <v>519</v>
      </c>
    </row>
    <row r="75" spans="1:4">
      <c r="A75" s="3">
        <v>45842</v>
      </c>
      <c r="B75" t="s">
        <v>15</v>
      </c>
      <c r="C75">
        <v>4</v>
      </c>
      <c r="D75" t="s">
        <v>518</v>
      </c>
    </row>
    <row r="76" spans="1:4">
      <c r="A76" s="3">
        <v>45847</v>
      </c>
      <c r="B76" t="s">
        <v>15</v>
      </c>
      <c r="C76">
        <v>2</v>
      </c>
      <c r="D76" t="s">
        <v>521</v>
      </c>
    </row>
    <row r="77" spans="1:4">
      <c r="A77" s="3">
        <v>45859</v>
      </c>
      <c r="B77" t="s">
        <v>9</v>
      </c>
      <c r="C77">
        <v>4</v>
      </c>
      <c r="D77" t="s">
        <v>516</v>
      </c>
    </row>
    <row r="78" spans="1:4">
      <c r="A78" s="3">
        <v>45855</v>
      </c>
      <c r="B78" t="s">
        <v>9</v>
      </c>
      <c r="C78">
        <v>3</v>
      </c>
      <c r="D78" t="s">
        <v>521</v>
      </c>
    </row>
    <row r="79" spans="1:4">
      <c r="A79" s="3">
        <v>45859</v>
      </c>
      <c r="B79" t="s">
        <v>27</v>
      </c>
      <c r="C79">
        <v>4</v>
      </c>
      <c r="D79" t="s">
        <v>519</v>
      </c>
    </row>
    <row r="80" spans="1:4">
      <c r="A80" s="3">
        <v>45896</v>
      </c>
      <c r="B80" t="s">
        <v>9</v>
      </c>
      <c r="C80">
        <v>3</v>
      </c>
      <c r="D80" t="s">
        <v>518</v>
      </c>
    </row>
    <row r="81" spans="1:4">
      <c r="A81" s="3">
        <v>45867</v>
      </c>
      <c r="B81" t="s">
        <v>15</v>
      </c>
      <c r="C81">
        <v>4</v>
      </c>
      <c r="D81" t="s">
        <v>517</v>
      </c>
    </row>
    <row r="82" spans="1:4">
      <c r="A82" s="3">
        <v>45852</v>
      </c>
      <c r="B82" t="s">
        <v>15</v>
      </c>
      <c r="C82">
        <v>2</v>
      </c>
      <c r="D82" t="s">
        <v>519</v>
      </c>
    </row>
    <row r="83" spans="1:4">
      <c r="A83" s="3">
        <v>45851</v>
      </c>
      <c r="B83" t="s">
        <v>9</v>
      </c>
      <c r="C83">
        <v>3</v>
      </c>
      <c r="D83" t="s">
        <v>521</v>
      </c>
    </row>
    <row r="84" spans="1:4">
      <c r="A84" s="3">
        <v>45853</v>
      </c>
      <c r="B84" t="s">
        <v>9</v>
      </c>
      <c r="C84">
        <v>4</v>
      </c>
      <c r="D84" t="s">
        <v>521</v>
      </c>
    </row>
    <row r="85" spans="1:4">
      <c r="A85" s="3">
        <v>45877</v>
      </c>
      <c r="B85" t="s">
        <v>15</v>
      </c>
      <c r="C85">
        <v>3</v>
      </c>
      <c r="D85" t="s">
        <v>519</v>
      </c>
    </row>
    <row r="86" spans="1:4">
      <c r="A86" s="3">
        <v>45879</v>
      </c>
      <c r="B86" t="s">
        <v>15</v>
      </c>
      <c r="C86">
        <v>5</v>
      </c>
      <c r="D86" t="s">
        <v>517</v>
      </c>
    </row>
    <row r="87" spans="1:4">
      <c r="A87" s="3">
        <v>45848</v>
      </c>
      <c r="B87" t="s">
        <v>15</v>
      </c>
      <c r="C87">
        <v>4</v>
      </c>
      <c r="D87" t="s">
        <v>518</v>
      </c>
    </row>
    <row r="88" spans="1:4">
      <c r="A88" s="3">
        <v>45883</v>
      </c>
      <c r="B88" t="s">
        <v>15</v>
      </c>
      <c r="C88">
        <v>4</v>
      </c>
    </row>
    <row r="89" spans="1:4">
      <c r="A89" s="3">
        <v>45848</v>
      </c>
      <c r="B89" t="s">
        <v>9</v>
      </c>
      <c r="C89">
        <v>5</v>
      </c>
      <c r="D89" t="s">
        <v>518</v>
      </c>
    </row>
    <row r="90" spans="1:4">
      <c r="A90" s="3">
        <v>45845</v>
      </c>
      <c r="B90" t="s">
        <v>9</v>
      </c>
      <c r="C90">
        <v>5</v>
      </c>
      <c r="D90" t="s">
        <v>521</v>
      </c>
    </row>
    <row r="91" spans="1:4">
      <c r="A91" s="3">
        <v>45880</v>
      </c>
      <c r="B91" t="s">
        <v>27</v>
      </c>
      <c r="C91">
        <v>5</v>
      </c>
      <c r="D91" t="s">
        <v>519</v>
      </c>
    </row>
    <row r="92" spans="1:4">
      <c r="A92" s="3">
        <v>45870</v>
      </c>
      <c r="B92" t="s">
        <v>15</v>
      </c>
      <c r="C92">
        <v>4</v>
      </c>
      <c r="D92" t="s">
        <v>515</v>
      </c>
    </row>
    <row r="93" spans="1:4">
      <c r="A93" s="3">
        <v>45893</v>
      </c>
      <c r="B93" t="s">
        <v>15</v>
      </c>
      <c r="C93">
        <v>4</v>
      </c>
    </row>
    <row r="94" spans="1:4">
      <c r="A94" s="3">
        <v>45843</v>
      </c>
      <c r="B94" t="s">
        <v>27</v>
      </c>
      <c r="C94">
        <v>5</v>
      </c>
    </row>
    <row r="95" spans="1:4">
      <c r="A95" s="3">
        <v>45851</v>
      </c>
      <c r="B95" t="s">
        <v>27</v>
      </c>
      <c r="C95">
        <v>5</v>
      </c>
      <c r="D95" t="s">
        <v>520</v>
      </c>
    </row>
    <row r="96" spans="1:4">
      <c r="A96" s="3">
        <v>45839</v>
      </c>
      <c r="B96" t="s">
        <v>15</v>
      </c>
      <c r="C96">
        <v>3</v>
      </c>
      <c r="D96" t="s">
        <v>515</v>
      </c>
    </row>
    <row r="97" spans="1:4">
      <c r="A97" s="3">
        <v>45868</v>
      </c>
      <c r="B97" t="s">
        <v>27</v>
      </c>
      <c r="C97">
        <v>4</v>
      </c>
      <c r="D97" t="s">
        <v>517</v>
      </c>
    </row>
    <row r="98" spans="1:4">
      <c r="A98" s="3">
        <v>45873</v>
      </c>
      <c r="B98" t="s">
        <v>15</v>
      </c>
      <c r="C98">
        <v>2</v>
      </c>
      <c r="D98" t="s">
        <v>518</v>
      </c>
    </row>
    <row r="99" spans="1:4">
      <c r="A99" s="3">
        <v>45855</v>
      </c>
      <c r="B99" t="s">
        <v>27</v>
      </c>
      <c r="C99">
        <v>5</v>
      </c>
      <c r="D99" t="s">
        <v>519</v>
      </c>
    </row>
    <row r="100" spans="1:4">
      <c r="A100" s="3">
        <v>45861</v>
      </c>
      <c r="B100" t="s">
        <v>15</v>
      </c>
      <c r="C100">
        <v>2</v>
      </c>
      <c r="D100" t="s">
        <v>517</v>
      </c>
    </row>
    <row r="101" spans="1:4">
      <c r="A101" s="3">
        <v>45839</v>
      </c>
      <c r="B101" t="s">
        <v>27</v>
      </c>
      <c r="C101">
        <v>5</v>
      </c>
      <c r="D101" t="s">
        <v>517</v>
      </c>
    </row>
    <row r="102" spans="1:4">
      <c r="A102" s="3">
        <v>45851</v>
      </c>
      <c r="B102" t="s">
        <v>9</v>
      </c>
      <c r="C102">
        <v>3</v>
      </c>
      <c r="D102" t="s">
        <v>520</v>
      </c>
    </row>
    <row r="103" spans="1:4">
      <c r="A103" s="3">
        <v>45839</v>
      </c>
      <c r="B103" t="s">
        <v>27</v>
      </c>
      <c r="C103">
        <v>4</v>
      </c>
      <c r="D103" t="s">
        <v>517</v>
      </c>
    </row>
    <row r="104" spans="1:4">
      <c r="A104" s="3">
        <v>45880</v>
      </c>
      <c r="B104" t="s">
        <v>9</v>
      </c>
      <c r="C104">
        <v>3</v>
      </c>
      <c r="D104" t="s">
        <v>520</v>
      </c>
    </row>
    <row r="105" spans="1:4">
      <c r="A105" s="3">
        <v>45845</v>
      </c>
      <c r="B105" t="s">
        <v>27</v>
      </c>
      <c r="C105">
        <v>5</v>
      </c>
      <c r="D105" t="s">
        <v>517</v>
      </c>
    </row>
    <row r="106" spans="1:4">
      <c r="A106" s="3">
        <v>45848</v>
      </c>
      <c r="B106" t="s">
        <v>27</v>
      </c>
      <c r="C106">
        <v>4</v>
      </c>
      <c r="D106" t="s">
        <v>518</v>
      </c>
    </row>
    <row r="107" spans="1:4">
      <c r="A107" s="3">
        <v>45868</v>
      </c>
      <c r="B107" t="s">
        <v>27</v>
      </c>
      <c r="C107">
        <v>5</v>
      </c>
      <c r="D107" t="s">
        <v>515</v>
      </c>
    </row>
    <row r="108" spans="1:4">
      <c r="A108" s="3">
        <v>45852</v>
      </c>
      <c r="B108" t="s">
        <v>27</v>
      </c>
      <c r="C108">
        <v>2</v>
      </c>
      <c r="D108" t="s">
        <v>515</v>
      </c>
    </row>
    <row r="109" spans="1:4">
      <c r="A109" s="3">
        <v>45881</v>
      </c>
      <c r="B109" t="s">
        <v>15</v>
      </c>
      <c r="C109">
        <v>3</v>
      </c>
      <c r="D109" t="s">
        <v>515</v>
      </c>
    </row>
    <row r="110" spans="1:4">
      <c r="A110" s="3">
        <v>45878</v>
      </c>
      <c r="B110" t="s">
        <v>9</v>
      </c>
      <c r="C110">
        <v>5</v>
      </c>
      <c r="D110" t="s">
        <v>521</v>
      </c>
    </row>
    <row r="111" spans="1:4">
      <c r="A111" s="3">
        <v>45847</v>
      </c>
      <c r="B111" t="s">
        <v>27</v>
      </c>
      <c r="C111">
        <v>3</v>
      </c>
      <c r="D111" t="s">
        <v>517</v>
      </c>
    </row>
    <row r="112" spans="1:4">
      <c r="A112" s="3">
        <v>45896</v>
      </c>
      <c r="B112" t="s">
        <v>9</v>
      </c>
      <c r="C112">
        <v>5</v>
      </c>
      <c r="D112" t="s">
        <v>518</v>
      </c>
    </row>
    <row r="113" spans="1:4">
      <c r="A113" s="3">
        <v>45880</v>
      </c>
      <c r="B113" t="s">
        <v>15</v>
      </c>
      <c r="C113">
        <v>3</v>
      </c>
      <c r="D113" t="s">
        <v>521</v>
      </c>
    </row>
    <row r="114" spans="1:4">
      <c r="A114" s="3">
        <v>45865</v>
      </c>
      <c r="B114" t="s">
        <v>9</v>
      </c>
      <c r="C114">
        <v>2</v>
      </c>
      <c r="D114" t="s">
        <v>521</v>
      </c>
    </row>
    <row r="115" spans="1:4">
      <c r="A115" s="3">
        <v>45892</v>
      </c>
      <c r="B115" t="s">
        <v>9</v>
      </c>
      <c r="C115">
        <v>4</v>
      </c>
    </row>
    <row r="116" spans="1:4">
      <c r="A116" s="3">
        <v>45868</v>
      </c>
      <c r="B116" t="s">
        <v>27</v>
      </c>
      <c r="C116">
        <v>3</v>
      </c>
      <c r="D116" t="s">
        <v>516</v>
      </c>
    </row>
    <row r="117" spans="1:4">
      <c r="A117" s="3">
        <v>45867</v>
      </c>
      <c r="B117" t="s">
        <v>9</v>
      </c>
      <c r="C117">
        <v>2</v>
      </c>
      <c r="D117" t="s">
        <v>521</v>
      </c>
    </row>
    <row r="118" spans="1:4">
      <c r="A118" s="3">
        <v>45887</v>
      </c>
      <c r="B118" t="s">
        <v>15</v>
      </c>
      <c r="C118">
        <v>2</v>
      </c>
      <c r="D118" t="s">
        <v>521</v>
      </c>
    </row>
    <row r="119" spans="1:4">
      <c r="A119" s="3">
        <v>45887</v>
      </c>
      <c r="B119" t="s">
        <v>9</v>
      </c>
      <c r="C119">
        <v>2</v>
      </c>
    </row>
    <row r="120" spans="1:4">
      <c r="A120" s="3">
        <v>45874</v>
      </c>
      <c r="B120" t="s">
        <v>15</v>
      </c>
      <c r="C120">
        <v>3</v>
      </c>
      <c r="D120" t="s">
        <v>516</v>
      </c>
    </row>
    <row r="121" spans="1:4">
      <c r="A121" s="3">
        <v>45894</v>
      </c>
      <c r="B121" t="s">
        <v>15</v>
      </c>
      <c r="C121">
        <v>4</v>
      </c>
      <c r="D121" t="s">
        <v>515</v>
      </c>
    </row>
    <row r="122" spans="1:4">
      <c r="A122" s="3">
        <v>45884</v>
      </c>
      <c r="B122" t="s">
        <v>27</v>
      </c>
      <c r="C122">
        <v>2</v>
      </c>
      <c r="D122" t="s">
        <v>517</v>
      </c>
    </row>
    <row r="123" spans="1:4">
      <c r="A123" s="3">
        <v>45840</v>
      </c>
      <c r="B123" t="s">
        <v>15</v>
      </c>
      <c r="C123">
        <v>3</v>
      </c>
    </row>
    <row r="124" spans="1:4">
      <c r="A124" s="3">
        <v>45844</v>
      </c>
      <c r="B124" t="s">
        <v>15</v>
      </c>
      <c r="C124">
        <v>4</v>
      </c>
      <c r="D124" t="s">
        <v>516</v>
      </c>
    </row>
    <row r="125" spans="1:4">
      <c r="A125" s="3">
        <v>45880</v>
      </c>
      <c r="B125" t="s">
        <v>9</v>
      </c>
      <c r="C125">
        <v>5</v>
      </c>
      <c r="D125" t="s">
        <v>517</v>
      </c>
    </row>
    <row r="126" spans="1:4">
      <c r="A126" s="3">
        <v>45891</v>
      </c>
      <c r="B126" t="s">
        <v>9</v>
      </c>
      <c r="C126">
        <v>3</v>
      </c>
      <c r="D126" t="s">
        <v>519</v>
      </c>
    </row>
    <row r="127" spans="1:4">
      <c r="A127" s="3">
        <v>45847</v>
      </c>
      <c r="B127" t="s">
        <v>15</v>
      </c>
      <c r="C127">
        <v>2</v>
      </c>
      <c r="D127" t="s">
        <v>521</v>
      </c>
    </row>
    <row r="128" spans="1:4">
      <c r="A128" s="3">
        <v>45854</v>
      </c>
      <c r="B128" t="s">
        <v>9</v>
      </c>
      <c r="C128">
        <v>4</v>
      </c>
      <c r="D128" t="s">
        <v>516</v>
      </c>
    </row>
    <row r="129" spans="1:4">
      <c r="A129" s="3">
        <v>45895</v>
      </c>
      <c r="B129" t="s">
        <v>9</v>
      </c>
      <c r="C129">
        <v>2</v>
      </c>
      <c r="D129" t="s">
        <v>519</v>
      </c>
    </row>
    <row r="130" spans="1:4">
      <c r="A130" s="3">
        <v>45881</v>
      </c>
      <c r="B130" t="s">
        <v>9</v>
      </c>
      <c r="C130">
        <v>3</v>
      </c>
    </row>
    <row r="131" spans="1:4">
      <c r="A131" s="3">
        <v>45862</v>
      </c>
      <c r="B131" t="s">
        <v>27</v>
      </c>
      <c r="C131">
        <v>5</v>
      </c>
      <c r="D131" t="s">
        <v>517</v>
      </c>
    </row>
    <row r="132" spans="1:4">
      <c r="A132" s="3">
        <v>45883</v>
      </c>
      <c r="B132" t="s">
        <v>9</v>
      </c>
      <c r="C132">
        <v>2</v>
      </c>
      <c r="D132" t="s">
        <v>519</v>
      </c>
    </row>
    <row r="133" spans="1:4">
      <c r="A133" s="3">
        <v>45856</v>
      </c>
      <c r="B133" t="s">
        <v>27</v>
      </c>
      <c r="C133">
        <v>2</v>
      </c>
      <c r="D133" t="s">
        <v>515</v>
      </c>
    </row>
    <row r="134" spans="1:4">
      <c r="A134" s="3">
        <v>45840</v>
      </c>
      <c r="B134" t="s">
        <v>27</v>
      </c>
      <c r="C134">
        <v>5</v>
      </c>
      <c r="D134" t="s">
        <v>518</v>
      </c>
    </row>
    <row r="135" spans="1:4">
      <c r="A135" s="3">
        <v>45889</v>
      </c>
      <c r="B135" t="s">
        <v>9</v>
      </c>
      <c r="C135">
        <v>4</v>
      </c>
      <c r="D135" t="s">
        <v>515</v>
      </c>
    </row>
    <row r="136" spans="1:4">
      <c r="A136" s="3">
        <v>45875</v>
      </c>
      <c r="B136" t="s">
        <v>27</v>
      </c>
      <c r="C136">
        <v>4</v>
      </c>
      <c r="D136" t="s">
        <v>517</v>
      </c>
    </row>
    <row r="137" spans="1:4">
      <c r="A137" s="3">
        <v>45841</v>
      </c>
      <c r="B137" t="s">
        <v>15</v>
      </c>
      <c r="C137">
        <v>5</v>
      </c>
      <c r="D137" t="s">
        <v>519</v>
      </c>
    </row>
    <row r="138" spans="1:4">
      <c r="A138" s="3">
        <v>45889</v>
      </c>
      <c r="B138" t="s">
        <v>27</v>
      </c>
      <c r="C138">
        <v>4</v>
      </c>
      <c r="D138" t="s">
        <v>517</v>
      </c>
    </row>
    <row r="139" spans="1:4">
      <c r="A139" s="3">
        <v>45887</v>
      </c>
      <c r="B139" t="s">
        <v>15</v>
      </c>
      <c r="C139">
        <v>4</v>
      </c>
    </row>
    <row r="140" spans="1:4">
      <c r="A140" s="3">
        <v>45887</v>
      </c>
      <c r="B140" t="s">
        <v>9</v>
      </c>
      <c r="C140">
        <v>3</v>
      </c>
      <c r="D140" t="s">
        <v>518</v>
      </c>
    </row>
    <row r="141" spans="1:4">
      <c r="A141" s="3">
        <v>45854</v>
      </c>
      <c r="B141" t="s">
        <v>15</v>
      </c>
      <c r="C141">
        <v>2</v>
      </c>
      <c r="D141" t="s">
        <v>517</v>
      </c>
    </row>
    <row r="142" spans="1:4">
      <c r="A142" s="3">
        <v>45861</v>
      </c>
      <c r="B142" t="s">
        <v>9</v>
      </c>
      <c r="C142">
        <v>2</v>
      </c>
    </row>
    <row r="143" spans="1:4">
      <c r="A143" s="3">
        <v>45840</v>
      </c>
      <c r="B143" t="s">
        <v>27</v>
      </c>
      <c r="C143">
        <v>2</v>
      </c>
      <c r="D143" t="s">
        <v>520</v>
      </c>
    </row>
    <row r="144" spans="1:4">
      <c r="A144" s="3">
        <v>45874</v>
      </c>
      <c r="B144" t="s">
        <v>15</v>
      </c>
      <c r="C144">
        <v>3</v>
      </c>
      <c r="D144" t="s">
        <v>515</v>
      </c>
    </row>
    <row r="145" spans="1:4">
      <c r="A145" s="3">
        <v>45842</v>
      </c>
      <c r="B145" t="s">
        <v>9</v>
      </c>
      <c r="C145">
        <v>5</v>
      </c>
      <c r="D145" t="s">
        <v>521</v>
      </c>
    </row>
    <row r="146" spans="1:4">
      <c r="A146" s="3">
        <v>45870</v>
      </c>
      <c r="B146" t="s">
        <v>27</v>
      </c>
      <c r="C146">
        <v>5</v>
      </c>
      <c r="D146" t="s">
        <v>518</v>
      </c>
    </row>
    <row r="147" spans="1:4">
      <c r="A147" s="3">
        <v>45865</v>
      </c>
      <c r="B147" t="s">
        <v>27</v>
      </c>
      <c r="C147">
        <v>4</v>
      </c>
      <c r="D147" t="s">
        <v>517</v>
      </c>
    </row>
    <row r="148" spans="1:4">
      <c r="A148" s="3">
        <v>45887</v>
      </c>
      <c r="B148" t="s">
        <v>9</v>
      </c>
      <c r="C148">
        <v>2</v>
      </c>
      <c r="D148" t="s">
        <v>515</v>
      </c>
    </row>
    <row r="149" spans="1:4">
      <c r="A149" s="3">
        <v>45860</v>
      </c>
      <c r="B149" t="s">
        <v>9</v>
      </c>
      <c r="C149">
        <v>2</v>
      </c>
      <c r="D149" t="s">
        <v>516</v>
      </c>
    </row>
    <row r="150" spans="1:4">
      <c r="A150" s="3">
        <v>45845</v>
      </c>
      <c r="B150" t="s">
        <v>15</v>
      </c>
      <c r="C150">
        <v>4</v>
      </c>
      <c r="D150" t="s">
        <v>519</v>
      </c>
    </row>
    <row r="151" spans="1:4">
      <c r="A151" s="3">
        <v>45870</v>
      </c>
      <c r="B151" t="s">
        <v>27</v>
      </c>
      <c r="C151">
        <v>5</v>
      </c>
    </row>
    <row r="152" spans="1:4">
      <c r="A152" s="3">
        <v>45874</v>
      </c>
      <c r="B152" t="s">
        <v>27</v>
      </c>
      <c r="C152">
        <v>4</v>
      </c>
      <c r="D152" t="s">
        <v>519</v>
      </c>
    </row>
    <row r="153" spans="1:4">
      <c r="A153" s="3">
        <v>45862</v>
      </c>
      <c r="B153" t="s">
        <v>15</v>
      </c>
      <c r="C153">
        <v>4</v>
      </c>
      <c r="D153" t="s">
        <v>520</v>
      </c>
    </row>
    <row r="154" spans="1:4">
      <c r="A154" s="3">
        <v>45857</v>
      </c>
      <c r="B154" t="s">
        <v>9</v>
      </c>
      <c r="C154">
        <v>3</v>
      </c>
      <c r="D154" t="s">
        <v>515</v>
      </c>
    </row>
    <row r="155" spans="1:4">
      <c r="A155" s="3">
        <v>45839</v>
      </c>
      <c r="B155" t="s">
        <v>15</v>
      </c>
      <c r="C155">
        <v>2</v>
      </c>
      <c r="D155" t="s">
        <v>521</v>
      </c>
    </row>
    <row r="156" spans="1:4">
      <c r="A156" s="3">
        <v>45891</v>
      </c>
      <c r="B156" t="s">
        <v>15</v>
      </c>
      <c r="C156">
        <v>2</v>
      </c>
      <c r="D156" t="s">
        <v>518</v>
      </c>
    </row>
    <row r="157" spans="1:4">
      <c r="A157" s="3">
        <v>45839</v>
      </c>
      <c r="B157" t="s">
        <v>9</v>
      </c>
      <c r="C157">
        <v>5</v>
      </c>
      <c r="D157" t="s">
        <v>519</v>
      </c>
    </row>
    <row r="158" spans="1:4">
      <c r="A158" s="3">
        <v>45849</v>
      </c>
      <c r="B158" t="s">
        <v>27</v>
      </c>
      <c r="C158">
        <v>3</v>
      </c>
      <c r="D158" t="s">
        <v>516</v>
      </c>
    </row>
    <row r="159" spans="1:4">
      <c r="A159" s="3">
        <v>45886</v>
      </c>
      <c r="B159" t="s">
        <v>27</v>
      </c>
      <c r="C159">
        <v>3</v>
      </c>
      <c r="D159" t="s">
        <v>519</v>
      </c>
    </row>
    <row r="160" spans="1:4">
      <c r="A160" s="3">
        <v>45848</v>
      </c>
      <c r="B160" t="s">
        <v>27</v>
      </c>
      <c r="C160">
        <v>3</v>
      </c>
      <c r="D160" t="s">
        <v>516</v>
      </c>
    </row>
    <row r="161" spans="1:4">
      <c r="A161" s="3">
        <v>45875</v>
      </c>
      <c r="B161" t="s">
        <v>15</v>
      </c>
      <c r="C161">
        <v>2</v>
      </c>
      <c r="D161" t="s">
        <v>517</v>
      </c>
    </row>
    <row r="162" spans="1:4">
      <c r="A162" s="3">
        <v>45888</v>
      </c>
      <c r="B162" t="s">
        <v>27</v>
      </c>
      <c r="C162">
        <v>5</v>
      </c>
      <c r="D162" t="s">
        <v>517</v>
      </c>
    </row>
    <row r="163" spans="1:4">
      <c r="A163" s="3">
        <v>45896</v>
      </c>
      <c r="B163" t="s">
        <v>9</v>
      </c>
      <c r="C163">
        <v>2</v>
      </c>
      <c r="D163" t="s">
        <v>516</v>
      </c>
    </row>
    <row r="164" spans="1:4">
      <c r="A164" s="3">
        <v>45851</v>
      </c>
      <c r="B164" t="s">
        <v>27</v>
      </c>
      <c r="C164">
        <v>4</v>
      </c>
      <c r="D164" t="s">
        <v>519</v>
      </c>
    </row>
    <row r="165" spans="1:4">
      <c r="A165" s="3">
        <v>45869</v>
      </c>
      <c r="B165" t="s">
        <v>15</v>
      </c>
      <c r="C165">
        <v>4</v>
      </c>
      <c r="D165" t="s">
        <v>518</v>
      </c>
    </row>
    <row r="166" spans="1:4">
      <c r="A166" s="3">
        <v>45882</v>
      </c>
      <c r="B166" t="s">
        <v>15</v>
      </c>
      <c r="C166">
        <v>3</v>
      </c>
      <c r="D166" t="s">
        <v>517</v>
      </c>
    </row>
    <row r="167" spans="1:4">
      <c r="A167" s="3">
        <v>45858</v>
      </c>
      <c r="B167" t="s">
        <v>27</v>
      </c>
      <c r="C167">
        <v>2</v>
      </c>
      <c r="D167" t="s">
        <v>515</v>
      </c>
    </row>
    <row r="168" spans="1:4">
      <c r="A168" s="3">
        <v>45849</v>
      </c>
      <c r="B168" t="s">
        <v>27</v>
      </c>
      <c r="C168">
        <v>5</v>
      </c>
      <c r="D168" t="s">
        <v>520</v>
      </c>
    </row>
    <row r="169" spans="1:4">
      <c r="A169" s="3">
        <v>45869</v>
      </c>
      <c r="B169" t="s">
        <v>15</v>
      </c>
      <c r="C169">
        <v>2</v>
      </c>
      <c r="D169" t="s">
        <v>518</v>
      </c>
    </row>
    <row r="170" spans="1:4">
      <c r="A170" s="3">
        <v>45859</v>
      </c>
      <c r="B170" t="s">
        <v>15</v>
      </c>
      <c r="C170">
        <v>4</v>
      </c>
      <c r="D170" t="s">
        <v>520</v>
      </c>
    </row>
    <row r="171" spans="1:4">
      <c r="A171" s="3">
        <v>45864</v>
      </c>
      <c r="B171" t="s">
        <v>27</v>
      </c>
      <c r="C171">
        <v>2</v>
      </c>
      <c r="D171" t="s">
        <v>515</v>
      </c>
    </row>
    <row r="172" spans="1:4">
      <c r="A172" s="3">
        <v>45868</v>
      </c>
      <c r="B172" t="s">
        <v>9</v>
      </c>
      <c r="C172">
        <v>2</v>
      </c>
      <c r="D172" t="s">
        <v>521</v>
      </c>
    </row>
    <row r="173" spans="1:4">
      <c r="A173" s="3">
        <v>45870</v>
      </c>
      <c r="B173" t="s">
        <v>27</v>
      </c>
      <c r="C173">
        <v>2</v>
      </c>
      <c r="D173" t="s">
        <v>521</v>
      </c>
    </row>
    <row r="174" spans="1:4">
      <c r="A174" s="3">
        <v>45873</v>
      </c>
      <c r="B174" t="s">
        <v>15</v>
      </c>
      <c r="C174">
        <v>2</v>
      </c>
      <c r="D174" t="s">
        <v>519</v>
      </c>
    </row>
    <row r="175" spans="1:4">
      <c r="A175" s="3">
        <v>45864</v>
      </c>
      <c r="B175" t="s">
        <v>27</v>
      </c>
      <c r="C175">
        <v>2</v>
      </c>
      <c r="D175" t="s">
        <v>516</v>
      </c>
    </row>
    <row r="176" spans="1:4">
      <c r="A176" s="3">
        <v>45882</v>
      </c>
      <c r="B176" t="s">
        <v>9</v>
      </c>
      <c r="C176">
        <v>3</v>
      </c>
      <c r="D176" t="s">
        <v>517</v>
      </c>
    </row>
    <row r="177" spans="1:4">
      <c r="A177" s="3">
        <v>45883</v>
      </c>
      <c r="B177" t="s">
        <v>27</v>
      </c>
      <c r="C177">
        <v>3</v>
      </c>
      <c r="D177" t="s">
        <v>517</v>
      </c>
    </row>
    <row r="178" spans="1:4">
      <c r="A178" s="3">
        <v>45840</v>
      </c>
      <c r="B178" t="s">
        <v>27</v>
      </c>
      <c r="C178">
        <v>3</v>
      </c>
      <c r="D178" t="s">
        <v>515</v>
      </c>
    </row>
    <row r="179" spans="1:4">
      <c r="A179" s="3">
        <v>45858</v>
      </c>
      <c r="B179" t="s">
        <v>15</v>
      </c>
      <c r="C179">
        <v>4</v>
      </c>
      <c r="D179" t="s">
        <v>517</v>
      </c>
    </row>
    <row r="180" spans="1:4">
      <c r="A180" s="3">
        <v>45895</v>
      </c>
      <c r="B180" t="s">
        <v>9</v>
      </c>
      <c r="C180">
        <v>4</v>
      </c>
      <c r="D180" t="s">
        <v>517</v>
      </c>
    </row>
    <row r="181" spans="1:4">
      <c r="A181" s="3">
        <v>45841</v>
      </c>
      <c r="B181" t="s">
        <v>27</v>
      </c>
      <c r="C181">
        <v>3</v>
      </c>
      <c r="D181" t="s">
        <v>520</v>
      </c>
    </row>
    <row r="182" spans="1:4">
      <c r="A182" s="3">
        <v>45851</v>
      </c>
      <c r="B182" t="s">
        <v>27</v>
      </c>
      <c r="C182">
        <v>4</v>
      </c>
      <c r="D182" t="s">
        <v>517</v>
      </c>
    </row>
    <row r="183" spans="1:4">
      <c r="A183" s="3">
        <v>45843</v>
      </c>
      <c r="B183" t="s">
        <v>15</v>
      </c>
      <c r="C183">
        <v>2</v>
      </c>
      <c r="D183" t="s">
        <v>515</v>
      </c>
    </row>
    <row r="184" spans="1:4">
      <c r="A184" s="3">
        <v>45894</v>
      </c>
      <c r="B184" t="s">
        <v>15</v>
      </c>
      <c r="C184">
        <v>5</v>
      </c>
      <c r="D184" t="s">
        <v>520</v>
      </c>
    </row>
    <row r="185" spans="1:4">
      <c r="A185" s="3">
        <v>45841</v>
      </c>
      <c r="B185" t="s">
        <v>15</v>
      </c>
      <c r="C185">
        <v>5</v>
      </c>
      <c r="D185" t="s">
        <v>515</v>
      </c>
    </row>
    <row r="186" spans="1:4">
      <c r="A186" s="3">
        <v>45873</v>
      </c>
      <c r="B186" t="s">
        <v>27</v>
      </c>
      <c r="C186">
        <v>3</v>
      </c>
      <c r="D186" t="s">
        <v>519</v>
      </c>
    </row>
    <row r="187" spans="1:4">
      <c r="A187" s="3">
        <v>45866</v>
      </c>
      <c r="B187" t="s">
        <v>15</v>
      </c>
      <c r="C187">
        <v>3</v>
      </c>
    </row>
    <row r="188" spans="1:4">
      <c r="A188" s="3">
        <v>45862</v>
      </c>
      <c r="B188" t="s">
        <v>9</v>
      </c>
      <c r="C188">
        <v>4</v>
      </c>
      <c r="D188" t="s">
        <v>520</v>
      </c>
    </row>
    <row r="189" spans="1:4">
      <c r="A189" s="3">
        <v>45879</v>
      </c>
      <c r="B189" t="s">
        <v>9</v>
      </c>
      <c r="C189">
        <v>5</v>
      </c>
    </row>
    <row r="190" spans="1:4">
      <c r="A190" s="3">
        <v>45847</v>
      </c>
      <c r="B190" t="s">
        <v>15</v>
      </c>
      <c r="C190">
        <v>5</v>
      </c>
      <c r="D190" t="s">
        <v>515</v>
      </c>
    </row>
    <row r="191" spans="1:4">
      <c r="A191" s="3">
        <v>45879</v>
      </c>
      <c r="B191" t="s">
        <v>27</v>
      </c>
      <c r="C191">
        <v>3</v>
      </c>
    </row>
    <row r="192" spans="1:4">
      <c r="A192" s="3">
        <v>45876</v>
      </c>
      <c r="B192" t="s">
        <v>9</v>
      </c>
      <c r="C192">
        <v>4</v>
      </c>
      <c r="D192" t="s">
        <v>520</v>
      </c>
    </row>
    <row r="193" spans="1:4">
      <c r="A193" s="3">
        <v>45891</v>
      </c>
      <c r="B193" t="s">
        <v>15</v>
      </c>
      <c r="C193">
        <v>4</v>
      </c>
      <c r="D193" t="s">
        <v>518</v>
      </c>
    </row>
    <row r="194" spans="1:4">
      <c r="A194" s="3">
        <v>45876</v>
      </c>
      <c r="B194" t="s">
        <v>15</v>
      </c>
      <c r="C194">
        <v>3</v>
      </c>
    </row>
    <row r="195" spans="1:4">
      <c r="A195" s="3">
        <v>45869</v>
      </c>
      <c r="B195" t="s">
        <v>9</v>
      </c>
      <c r="C195">
        <v>3</v>
      </c>
    </row>
    <row r="196" spans="1:4">
      <c r="A196" s="3">
        <v>45866</v>
      </c>
      <c r="B196" t="s">
        <v>27</v>
      </c>
      <c r="C196">
        <v>5</v>
      </c>
      <c r="D196" t="s">
        <v>518</v>
      </c>
    </row>
    <row r="197" spans="1:4">
      <c r="A197" s="3">
        <v>45895</v>
      </c>
      <c r="B197" t="s">
        <v>27</v>
      </c>
      <c r="C197">
        <v>3</v>
      </c>
      <c r="D197" t="s">
        <v>517</v>
      </c>
    </row>
    <row r="198" spans="1:4">
      <c r="A198" s="3">
        <v>45863</v>
      </c>
      <c r="B198" t="s">
        <v>9</v>
      </c>
      <c r="C198">
        <v>3</v>
      </c>
      <c r="D198" t="s">
        <v>519</v>
      </c>
    </row>
    <row r="199" spans="1:4">
      <c r="A199" s="3">
        <v>45890</v>
      </c>
      <c r="B199" t="s">
        <v>9</v>
      </c>
      <c r="C199">
        <v>2</v>
      </c>
      <c r="D199" t="s">
        <v>521</v>
      </c>
    </row>
    <row r="200" spans="1:4">
      <c r="A200" s="3">
        <v>45894</v>
      </c>
      <c r="B200" t="s">
        <v>15</v>
      </c>
      <c r="C200">
        <v>4</v>
      </c>
      <c r="D200" t="s">
        <v>515</v>
      </c>
    </row>
    <row r="201" spans="1:4">
      <c r="A201" s="3">
        <v>45856</v>
      </c>
      <c r="B201" t="s">
        <v>27</v>
      </c>
      <c r="C201">
        <v>4</v>
      </c>
      <c r="D201" t="s">
        <v>518</v>
      </c>
    </row>
    <row r="202" spans="1:4">
      <c r="A202" s="3">
        <v>45896</v>
      </c>
      <c r="B202" t="s">
        <v>27</v>
      </c>
      <c r="C202">
        <v>4</v>
      </c>
      <c r="D202" t="s">
        <v>515</v>
      </c>
    </row>
    <row r="203" spans="1:4">
      <c r="A203" s="3">
        <v>45893</v>
      </c>
      <c r="B203" t="s">
        <v>27</v>
      </c>
      <c r="C203">
        <v>5</v>
      </c>
      <c r="D203" t="s">
        <v>519</v>
      </c>
    </row>
    <row r="204" spans="1:4">
      <c r="A204" s="3">
        <v>45856</v>
      </c>
      <c r="B204" t="s">
        <v>15</v>
      </c>
      <c r="C204">
        <v>2</v>
      </c>
      <c r="D204" t="s">
        <v>517</v>
      </c>
    </row>
    <row r="205" spans="1:4">
      <c r="A205" s="3">
        <v>45844</v>
      </c>
      <c r="B205" t="s">
        <v>27</v>
      </c>
      <c r="C205">
        <v>3</v>
      </c>
    </row>
    <row r="206" spans="1:4">
      <c r="A206" s="3">
        <v>45890</v>
      </c>
      <c r="B206" t="s">
        <v>15</v>
      </c>
      <c r="C206">
        <v>2</v>
      </c>
      <c r="D206" t="s">
        <v>518</v>
      </c>
    </row>
    <row r="207" spans="1:4">
      <c r="A207" s="3">
        <v>45858</v>
      </c>
      <c r="B207" t="s">
        <v>27</v>
      </c>
      <c r="C207">
        <v>4</v>
      </c>
      <c r="D207" t="s">
        <v>515</v>
      </c>
    </row>
    <row r="208" spans="1:4">
      <c r="A208" s="3">
        <v>45870</v>
      </c>
      <c r="B208" t="s">
        <v>27</v>
      </c>
      <c r="C208">
        <v>2</v>
      </c>
      <c r="D208" t="s">
        <v>515</v>
      </c>
    </row>
    <row r="209" spans="1:4">
      <c r="A209" s="3">
        <v>45895</v>
      </c>
      <c r="B209" t="s">
        <v>9</v>
      </c>
      <c r="C209">
        <v>3</v>
      </c>
      <c r="D209" t="s">
        <v>517</v>
      </c>
    </row>
    <row r="210" spans="1:4">
      <c r="A210" s="3">
        <v>45890</v>
      </c>
      <c r="B210" t="s">
        <v>15</v>
      </c>
      <c r="C210">
        <v>2</v>
      </c>
      <c r="D210" t="s">
        <v>518</v>
      </c>
    </row>
    <row r="211" spans="1:4">
      <c r="A211" s="3">
        <v>45877</v>
      </c>
      <c r="B211" t="s">
        <v>9</v>
      </c>
      <c r="C211">
        <v>2</v>
      </c>
      <c r="D211" t="s">
        <v>518</v>
      </c>
    </row>
    <row r="212" spans="1:4">
      <c r="A212" s="3">
        <v>45868</v>
      </c>
      <c r="B212" t="s">
        <v>15</v>
      </c>
      <c r="C212">
        <v>3</v>
      </c>
      <c r="D212" t="s">
        <v>515</v>
      </c>
    </row>
    <row r="213" spans="1:4">
      <c r="A213" s="3">
        <v>45881</v>
      </c>
      <c r="B213" t="s">
        <v>9</v>
      </c>
      <c r="C213">
        <v>5</v>
      </c>
      <c r="D213" t="s">
        <v>518</v>
      </c>
    </row>
    <row r="214" spans="1:4">
      <c r="A214" s="3">
        <v>45855</v>
      </c>
      <c r="B214" t="s">
        <v>9</v>
      </c>
      <c r="C214">
        <v>4</v>
      </c>
      <c r="D214" t="s">
        <v>521</v>
      </c>
    </row>
    <row r="215" spans="1:4">
      <c r="A215" s="3">
        <v>45896</v>
      </c>
      <c r="B215" t="s">
        <v>27</v>
      </c>
      <c r="C215">
        <v>5</v>
      </c>
      <c r="D215" t="s">
        <v>519</v>
      </c>
    </row>
    <row r="216" spans="1:4">
      <c r="A216" s="3">
        <v>45867</v>
      </c>
      <c r="B216" t="s">
        <v>27</v>
      </c>
      <c r="C216">
        <v>3</v>
      </c>
    </row>
    <row r="217" spans="1:4">
      <c r="A217" s="3">
        <v>45894</v>
      </c>
      <c r="B217" t="s">
        <v>15</v>
      </c>
      <c r="C217">
        <v>2</v>
      </c>
      <c r="D217" t="s">
        <v>515</v>
      </c>
    </row>
    <row r="218" spans="1:4">
      <c r="A218" s="3">
        <v>45897</v>
      </c>
      <c r="B218" t="s">
        <v>15</v>
      </c>
      <c r="C218">
        <v>3</v>
      </c>
      <c r="D218" t="s">
        <v>517</v>
      </c>
    </row>
    <row r="219" spans="1:4">
      <c r="A219" s="3">
        <v>45887</v>
      </c>
      <c r="B219" t="s">
        <v>27</v>
      </c>
      <c r="C219">
        <v>4</v>
      </c>
      <c r="D219" t="s">
        <v>517</v>
      </c>
    </row>
    <row r="220" spans="1:4">
      <c r="A220" s="3">
        <v>45862</v>
      </c>
      <c r="B220" t="s">
        <v>15</v>
      </c>
      <c r="C220">
        <v>4</v>
      </c>
      <c r="D220" t="s">
        <v>515</v>
      </c>
    </row>
    <row r="221" spans="1:4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98F3-877F-48AA-8C8F-A23E21EB77FE}">
  <dimension ref="A1:B15"/>
  <sheetViews>
    <sheetView workbookViewId="0">
      <selection activeCell="G26" sqref="G26"/>
    </sheetView>
  </sheetViews>
  <sheetFormatPr defaultRowHeight="14.4"/>
  <cols>
    <col min="1" max="1" width="54.21875" bestFit="1" customWidth="1"/>
    <col min="2" max="2" width="9.6640625" customWidth="1"/>
  </cols>
  <sheetData>
    <row r="1" spans="1:2">
      <c r="A1" s="8" t="s">
        <v>526</v>
      </c>
      <c r="B1" s="4" t="s">
        <v>528</v>
      </c>
    </row>
    <row r="2" spans="1:2">
      <c r="A2" s="4" t="s">
        <v>527</v>
      </c>
      <c r="B2" s="7">
        <f>SUMIFS(OrderLines!I:I, OrderLines!G:G, "&gt;="&amp;DATE(2025,7,1), OrderLines!G:G, "&lt;"&amp;DATE(2025,8,1))</f>
        <v>63939.190700000021</v>
      </c>
    </row>
    <row r="3" spans="1:2">
      <c r="A3" s="4" t="s">
        <v>529</v>
      </c>
      <c r="B3" s="7">
        <f>SUMIFS(OrderLines!I:I, OrderLines!G:G, "&gt;="&amp;DATE(2025,8,1), OrderLines!G:G, "&lt;"&amp;DATE(2025,9,1))</f>
        <v>68708.43990000007</v>
      </c>
    </row>
    <row r="4" spans="1:2">
      <c r="A4" s="4" t="s">
        <v>530</v>
      </c>
      <c r="B4" s="6">
        <f>(B3-B2)/B2</f>
        <v>7.4590390459853717E-2</v>
      </c>
    </row>
    <row r="6" spans="1:2">
      <c r="A6" s="4" t="s">
        <v>531</v>
      </c>
      <c r="B6" s="4" t="s">
        <v>528</v>
      </c>
    </row>
    <row r="7" spans="1:2">
      <c r="A7" s="4" t="s">
        <v>532</v>
      </c>
      <c r="B7" s="7">
        <f>SUMIFS(OrderLines!I:I, OrderLines!G:G,"&gt;="&amp;DATE(2025,8,1), OrderLines!G:G,"&lt;"&amp;DATE(2025,9,1), OrderLines!H:H,"Head Office Café", OrderLines!J:J,"Lunch")</f>
        <v>7403.6595000000016</v>
      </c>
    </row>
    <row r="9" spans="1:2">
      <c r="A9" s="4" t="s">
        <v>534</v>
      </c>
      <c r="B9" s="4" t="s">
        <v>528</v>
      </c>
    </row>
    <row r="10" spans="1:2">
      <c r="A10" s="4" t="s">
        <v>533</v>
      </c>
      <c r="B10">
        <f>COUNTIFS(Orders!H:H,TRUE,Orders!E:E,"UPI")</f>
        <v>70</v>
      </c>
    </row>
    <row r="12" spans="1:2">
      <c r="A12" s="4" t="s">
        <v>535</v>
      </c>
      <c r="B12" s="4" t="s">
        <v>528</v>
      </c>
    </row>
    <row r="13" spans="1:2">
      <c r="A13" s="4" t="s">
        <v>12</v>
      </c>
      <c r="B13" s="7">
        <f>AVERAGEIFS(Orders!I:I, Orders!F:F,"Breakfast", Orders!B:B,"&gt;="&amp;DATE(2025,7,1), Orders!B:B,"&lt;"&amp;DATE(2025,9,1))</f>
        <v>360.57145141242933</v>
      </c>
    </row>
    <row r="14" spans="1:2">
      <c r="A14" s="9" t="s">
        <v>22</v>
      </c>
      <c r="B14" s="7">
        <f>AVERAGEIFS(Orders!I:I, Orders!F:F,"Lunch", Orders!B:B,"&gt;="&amp;DATE(2025,7,1), Orders!B:B,"&lt;"&amp;DATE(2025,9,1))</f>
        <v>372.02586849315071</v>
      </c>
    </row>
    <row r="15" spans="1:2">
      <c r="A15" s="9" t="s">
        <v>18</v>
      </c>
      <c r="B15" s="7">
        <f>AVERAGEIFS(Orders!I:I, Orders!F:F,"Dinner", Orders!B:B,"&gt;="&amp;DATE(2025,7,1), Orders!B:B,"&lt;"&amp;DATE(2025,9,1))</f>
        <v>378.80541181818211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1E53-BAC6-45BE-B29D-0844D9E26B17}">
  <dimension ref="A1:K32"/>
  <sheetViews>
    <sheetView workbookViewId="0">
      <selection activeCell="F18" sqref="F18"/>
    </sheetView>
  </sheetViews>
  <sheetFormatPr defaultRowHeight="14.4"/>
  <cols>
    <col min="1" max="1" width="48.77734375" bestFit="1" customWidth="1"/>
    <col min="2" max="2" width="17.33203125" bestFit="1" customWidth="1"/>
    <col min="3" max="3" width="25.109375" bestFit="1" customWidth="1"/>
    <col min="4" max="4" width="16.5546875" bestFit="1" customWidth="1"/>
    <col min="5" max="5" width="18" bestFit="1" customWidth="1"/>
    <col min="6" max="6" width="30.6640625" bestFit="1" customWidth="1"/>
    <col min="7" max="8" width="29.88671875" bestFit="1" customWidth="1"/>
    <col min="10" max="10" width="10.88671875" bestFit="1" customWidth="1"/>
    <col min="11" max="11" width="18.77734375" bestFit="1" customWidth="1"/>
  </cols>
  <sheetData>
    <row r="1" spans="1:11">
      <c r="A1" s="4" t="s">
        <v>543</v>
      </c>
    </row>
    <row r="2" spans="1:11">
      <c r="A2" s="4"/>
    </row>
    <row r="3" spans="1:11">
      <c r="A3" s="4" t="s">
        <v>421</v>
      </c>
      <c r="B3" s="4" t="s">
        <v>9</v>
      </c>
      <c r="C3" s="8" t="s">
        <v>27</v>
      </c>
      <c r="D3" s="4" t="s">
        <v>15</v>
      </c>
      <c r="E3" s="4" t="s">
        <v>538</v>
      </c>
      <c r="F3" s="4" t="s">
        <v>539</v>
      </c>
      <c r="G3" s="4" t="s">
        <v>540</v>
      </c>
      <c r="H3" s="4" t="s">
        <v>541</v>
      </c>
    </row>
    <row r="4" spans="1:11">
      <c r="A4" s="12" t="s">
        <v>425</v>
      </c>
      <c r="B4" s="7">
        <f>SUMIFS(OrderLines!$I:$I, OrderLines!$F:$F, $A4, OrderLines!$H:$H, B$3, OrderLines!$G:$G, "&gt;="&amp;DATE(2025,7,1), OrderLines!$G:$G, "&lt;"&amp;DATE(2025,9,1))</f>
        <v>30604.807700000001</v>
      </c>
      <c r="C4" s="7">
        <f>SUMIFS(OrderLines!$I:$I, OrderLines!$F:$F, $A4, OrderLines!$H:$H, C$3, OrderLines!$G:$G, "&gt;="&amp;DATE(2025,7,1), OrderLines!$G:$G, "&lt;"&amp;DATE(2025,9,1))</f>
        <v>17407.725699999995</v>
      </c>
      <c r="D4" s="7">
        <f>SUMIFS(OrderLines!$I:$I, OrderLines!$F:$F, $A4, OrderLines!$H:$H, D$3, OrderLines!$G:$G, "&gt;="&amp;DATE(2025,7,1), OrderLines!$G:$G, "&lt;"&amp;DATE(2025,9,1))</f>
        <v>31124.137500000012</v>
      </c>
      <c r="E4" s="7">
        <f>SUM(B4:D4)</f>
        <v>79136.670900000012</v>
      </c>
      <c r="F4" s="6">
        <f>IFERROR(B4/E4,0)</f>
        <v>0.38673357562227195</v>
      </c>
      <c r="G4" s="6">
        <f>IFERROR(C4/E4,0)</f>
        <v>0.21997040691788808</v>
      </c>
      <c r="H4" s="6">
        <f>IFERROR(D4/E4,0)</f>
        <v>0.39329601745983994</v>
      </c>
    </row>
    <row r="5" spans="1:11">
      <c r="A5" s="13" t="s">
        <v>436</v>
      </c>
      <c r="B5" s="7">
        <f>SUMIFS(OrderLines!$I:$I, OrderLines!$F:$F, $A5, OrderLines!$H:$H, B$3, OrderLines!$G:$G, "&gt;="&amp;DATE(2025,7,1), OrderLines!$G:$G, "&lt;"&amp;DATE(2025,9,1))</f>
        <v>5343.4489999999978</v>
      </c>
      <c r="C5" s="7">
        <f>SUMIFS(OrderLines!$I:$I, OrderLines!$F:$F, $A5, OrderLines!$H:$H, C$3, OrderLines!$G:$G, "&gt;="&amp;DATE(2025,7,1), OrderLines!$G:$G, "&lt;"&amp;DATE(2025,9,1))</f>
        <v>6448.5656999999983</v>
      </c>
      <c r="D5" s="7">
        <f>SUMIFS(OrderLines!$I:$I, OrderLines!$F:$F, $A5, OrderLines!$H:$H, D$3, OrderLines!$G:$G, "&gt;="&amp;DATE(2025,7,1), OrderLines!$G:$G, "&lt;"&amp;DATE(2025,9,1))</f>
        <v>6840.9941000000035</v>
      </c>
      <c r="E5" s="7">
        <f t="shared" ref="E5:E7" si="0">SUM(B5:D5)</f>
        <v>18633.0088</v>
      </c>
      <c r="F5" s="6">
        <f t="shared" ref="F5:F7" si="1">IFERROR(B5/E5,0)</f>
        <v>0.28677327732491587</v>
      </c>
      <c r="G5" s="6">
        <f t="shared" ref="G5:G7" si="2">IFERROR(C5/E5,0)</f>
        <v>0.34608289886064986</v>
      </c>
      <c r="H5" s="6">
        <f t="shared" ref="H5:H7" si="3">IFERROR(D5/E5,0)</f>
        <v>0.36714382381443428</v>
      </c>
    </row>
    <row r="6" spans="1:11">
      <c r="A6" s="13" t="s">
        <v>444</v>
      </c>
      <c r="B6" s="7">
        <f>SUMIFS(OrderLines!$I:$I, OrderLines!$F:$F, $A6, OrderLines!$H:$H, B$3, OrderLines!$G:$G, "&gt;="&amp;DATE(2025,7,1), OrderLines!$G:$G, "&lt;"&amp;DATE(2025,9,1))</f>
        <v>3489.8726999999994</v>
      </c>
      <c r="C6" s="7">
        <f>SUMIFS(OrderLines!$I:$I, OrderLines!$F:$F, $A6, OrderLines!$H:$H, C$3, OrderLines!$G:$G, "&gt;="&amp;DATE(2025,7,1), OrderLines!$G:$G, "&lt;"&amp;DATE(2025,9,1))</f>
        <v>2895.3357000000015</v>
      </c>
      <c r="D6" s="7">
        <f>SUMIFS(OrderLines!$I:$I, OrderLines!$F:$F, $A6, OrderLines!$H:$H, D$3, OrderLines!$G:$G, "&gt;="&amp;DATE(2025,7,1), OrderLines!$G:$G, "&lt;"&amp;DATE(2025,9,1))</f>
        <v>3936.5499000000009</v>
      </c>
      <c r="E6" s="7">
        <f t="shared" si="0"/>
        <v>10321.758300000001</v>
      </c>
      <c r="F6" s="6">
        <f t="shared" si="1"/>
        <v>0.33810835310879145</v>
      </c>
      <c r="G6" s="6">
        <f t="shared" si="2"/>
        <v>0.28050799251906539</v>
      </c>
      <c r="H6" s="6">
        <f t="shared" si="3"/>
        <v>0.38138365437214322</v>
      </c>
    </row>
    <row r="7" spans="1:11">
      <c r="A7" s="4" t="s">
        <v>450</v>
      </c>
      <c r="B7" s="7">
        <f>SUMIFS(OrderLines!$I:$I, OrderLines!$F:$F, $A7, OrderLines!$H:$H, B$3, OrderLines!$G:$G, "&gt;="&amp;DATE(2025,7,1), OrderLines!$G:$G, "&lt;"&amp;DATE(2025,9,1))</f>
        <v>9544.017200000002</v>
      </c>
      <c r="C7" s="7">
        <f>SUMIFS(OrderLines!$I:$I, OrderLines!$F:$F, $A7, OrderLines!$H:$H, C$3, OrderLines!$G:$G, "&gt;="&amp;DATE(2025,7,1), OrderLines!$G:$G, "&lt;"&amp;DATE(2025,9,1))</f>
        <v>6497.6641999999974</v>
      </c>
      <c r="D7" s="7">
        <f>SUMIFS(OrderLines!$I:$I, OrderLines!$F:$F, $A7, OrderLines!$H:$H, D$3, OrderLines!$G:$G, "&gt;="&amp;DATE(2025,7,1), OrderLines!$G:$G, "&lt;"&amp;DATE(2025,9,1))</f>
        <v>8514.511199999999</v>
      </c>
      <c r="E7" s="7">
        <f t="shared" si="0"/>
        <v>24556.192599999998</v>
      </c>
      <c r="F7" s="6">
        <f t="shared" si="1"/>
        <v>0.3886603007015022</v>
      </c>
      <c r="G7" s="6">
        <f t="shared" si="2"/>
        <v>0.26460389466077072</v>
      </c>
      <c r="H7" s="6">
        <f t="shared" si="3"/>
        <v>0.34673580463772707</v>
      </c>
    </row>
    <row r="8" spans="1:11">
      <c r="A8" s="13" t="s">
        <v>542</v>
      </c>
      <c r="B8" s="7">
        <f>SUM(B4:B7)</f>
        <v>48982.1466</v>
      </c>
      <c r="C8" s="7">
        <f t="shared" ref="C8:E8" si="4">SUM(C4:C7)</f>
        <v>33249.291299999997</v>
      </c>
      <c r="D8" s="7">
        <f t="shared" si="4"/>
        <v>50416.192700000014</v>
      </c>
      <c r="E8" s="7">
        <f t="shared" si="4"/>
        <v>132647.6306</v>
      </c>
    </row>
    <row r="11" spans="1:11">
      <c r="A11" s="4" t="s">
        <v>544</v>
      </c>
    </row>
    <row r="12" spans="1:11">
      <c r="A12" s="4"/>
    </row>
    <row r="13" spans="1:11">
      <c r="A13" s="4" t="s">
        <v>545</v>
      </c>
      <c r="B13" s="4" t="s">
        <v>398</v>
      </c>
      <c r="C13" s="4" t="s">
        <v>420</v>
      </c>
      <c r="D13" s="4" t="s">
        <v>546</v>
      </c>
      <c r="E13" s="4" t="s">
        <v>547</v>
      </c>
      <c r="J13" s="14" t="s">
        <v>548</v>
      </c>
      <c r="K13" s="14" t="s">
        <v>549</v>
      </c>
    </row>
    <row r="14" spans="1:11">
      <c r="A14">
        <v>1</v>
      </c>
      <c r="B14" t="str">
        <f>INDEX($J$14:$J$32,MATCH($E14,$K$14:$K$32,0))</f>
        <v>HXAJI0</v>
      </c>
      <c r="C14" t="str">
        <f>VLOOKUP(B14,Menu!$A:$B,2,FALSE())</f>
        <v>Veg Thali</v>
      </c>
      <c r="D14">
        <f>SUMIFS(OrderLines!$C:$C, OrderLines!$B:$B, B14, OrderLines!$G:$G, "&gt;="&amp;DATE(2025,8,1), OrderLines!$G:$G, "&lt;"&amp;DATE(2025,9,1))</f>
        <v>49</v>
      </c>
      <c r="E14" s="7">
        <f>LARGE($K$14:$K$32,$A14)</f>
        <v>10470.060000000001</v>
      </c>
      <c r="J14" s="15" t="str">
        <f>Menu!A2</f>
        <v>HXAJI0</v>
      </c>
      <c r="K14" s="16">
        <f>SUMIFS(OrderLines!$I:$I, OrderLines!$B:$B, J14, OrderLines!$G:$G, "&gt;="&amp;DATE(2025,8,1), OrderLines!$G:$G, "&lt;"&amp;DATE(2025,9,1))</f>
        <v>10470.060000000001</v>
      </c>
    </row>
    <row r="15" spans="1:11">
      <c r="A15">
        <v>2</v>
      </c>
      <c r="B15" t="str">
        <f t="shared" ref="B15:B23" si="5">INDEX($J$14:$J$32,MATCH($E15,$K$14:$K$32,0))</f>
        <v>HDPBHS</v>
      </c>
      <c r="C15" t="str">
        <f>VLOOKUP(B15,Menu!$A:$B,2,FALSE())</f>
        <v>Chicken Thali</v>
      </c>
      <c r="D15">
        <f>SUMIFS(OrderLines!$C:$C, OrderLines!$B:$B, B15, OrderLines!$G:$G, "&gt;="&amp;DATE(2025,8,1), OrderLines!$G:$G, "&lt;"&amp;DATE(2025,9,1))</f>
        <v>38</v>
      </c>
      <c r="E15" s="7">
        <f t="shared" ref="E15:E23" si="6">LARGE($K$14:$K$32,$A15)</f>
        <v>9230.7762999999995</v>
      </c>
      <c r="J15" s="15" t="str">
        <f>Menu!A3</f>
        <v>HDPBHS</v>
      </c>
      <c r="K15" s="16">
        <f>SUMIFS(OrderLines!$I:$I, OrderLines!$B:$B, J15, OrderLines!$G:$G, "&gt;="&amp;DATE(2025,8,1), OrderLines!$G:$G, "&lt;"&amp;DATE(2025,9,1))</f>
        <v>9230.7762999999995</v>
      </c>
    </row>
    <row r="16" spans="1:11">
      <c r="A16">
        <v>3</v>
      </c>
      <c r="B16" t="str">
        <f t="shared" si="5"/>
        <v>HH1DNM</v>
      </c>
      <c r="C16" t="str">
        <f>VLOOKUP(B16,Menu!$A:$B,2,FALSE())</f>
        <v>Egg Curry + Rice</v>
      </c>
      <c r="D16">
        <f>SUMIFS(OrderLines!$C:$C, OrderLines!$B:$B, B16, OrderLines!$G:$G, "&gt;="&amp;DATE(2025,8,1), OrderLines!$G:$G, "&lt;"&amp;DATE(2025,9,1))</f>
        <v>36</v>
      </c>
      <c r="E16" s="7">
        <f t="shared" si="6"/>
        <v>8283.3893999999982</v>
      </c>
      <c r="J16" s="15" t="str">
        <f>Menu!A4</f>
        <v>HUZZPQ</v>
      </c>
      <c r="K16" s="16">
        <f>SUMIFS(OrderLines!$I:$I, OrderLines!$B:$B, J16, OrderLines!$G:$G, "&gt;="&amp;DATE(2025,8,1), OrderLines!$G:$G, "&lt;"&amp;DATE(2025,9,1))</f>
        <v>6563.1120000000001</v>
      </c>
    </row>
    <row r="17" spans="1:11">
      <c r="A17">
        <v>4</v>
      </c>
      <c r="B17" t="str">
        <f t="shared" si="5"/>
        <v>HUZZPQ</v>
      </c>
      <c r="C17" t="str">
        <f>VLOOKUP(B17,Menu!$A:$B,2,FALSE())</f>
        <v>Rajma Chawal</v>
      </c>
      <c r="D17">
        <f>SUMIFS(OrderLines!$C:$C, OrderLines!$B:$B, B17, OrderLines!$G:$G, "&gt;="&amp;DATE(2025,8,1), OrderLines!$G:$G, "&lt;"&amp;DATE(2025,9,1))</f>
        <v>48</v>
      </c>
      <c r="E17" s="7">
        <f t="shared" si="6"/>
        <v>6563.1120000000001</v>
      </c>
      <c r="J17" s="15" t="str">
        <f>Menu!A5</f>
        <v>H3A3ZM</v>
      </c>
      <c r="K17" s="16">
        <f>SUMIFS(OrderLines!$I:$I, OrderLines!$B:$B, J17, OrderLines!$G:$G, "&gt;="&amp;DATE(2025,8,1), OrderLines!$G:$G, "&lt;"&amp;DATE(2025,9,1))</f>
        <v>5927.8010000000004</v>
      </c>
    </row>
    <row r="18" spans="1:11">
      <c r="A18">
        <v>5</v>
      </c>
      <c r="B18" t="str">
        <f t="shared" si="5"/>
        <v>H3A3ZM</v>
      </c>
      <c r="C18" t="str">
        <f>VLOOKUP(B18,Menu!$A:$B,2,FALSE())</f>
        <v>Paneer Butter Masala + Naan</v>
      </c>
      <c r="D18">
        <f>SUMIFS(OrderLines!$C:$C, OrderLines!$B:$B, B18, OrderLines!$G:$G, "&gt;="&amp;DATE(2025,8,1), OrderLines!$G:$G, "&lt;"&amp;DATE(2025,9,1))</f>
        <v>37</v>
      </c>
      <c r="E18" s="7">
        <f t="shared" si="6"/>
        <v>5927.8010000000004</v>
      </c>
      <c r="J18" s="15" t="str">
        <f>Menu!A6</f>
        <v>HH1DNM</v>
      </c>
      <c r="K18" s="16">
        <f>SUMIFS(OrderLines!$I:$I, OrderLines!$B:$B, J18, OrderLines!$G:$G, "&gt;="&amp;DATE(2025,8,1), OrderLines!$G:$G, "&lt;"&amp;DATE(2025,9,1))</f>
        <v>8283.3893999999982</v>
      </c>
    </row>
    <row r="19" spans="1:11">
      <c r="A19">
        <v>6</v>
      </c>
      <c r="B19" t="str">
        <f t="shared" si="5"/>
        <v>D9T84A</v>
      </c>
      <c r="C19" t="str">
        <f>VLOOKUP(B19,Menu!$A:$B,2,FALSE())</f>
        <v>Brownie</v>
      </c>
      <c r="D19">
        <f>SUMIFS(OrderLines!$C:$C, OrderLines!$B:$B, B19, OrderLines!$G:$G, "&gt;="&amp;DATE(2025,8,1), OrderLines!$G:$G, "&lt;"&amp;DATE(2025,9,1))</f>
        <v>45</v>
      </c>
      <c r="E19" s="7">
        <f t="shared" si="6"/>
        <v>4925.4560000000001</v>
      </c>
      <c r="J19" s="15" t="str">
        <f>Menu!A7</f>
        <v>SV30T9</v>
      </c>
      <c r="K19" s="16">
        <f>SUMIFS(OrderLines!$I:$I, OrderLines!$B:$B, J19, OrderLines!$G:$G, "&gt;="&amp;DATE(2025,8,1), OrderLines!$G:$G, "&lt;"&amp;DATE(2025,9,1))</f>
        <v>1484.1425000000002</v>
      </c>
    </row>
    <row r="20" spans="1:11">
      <c r="A20">
        <v>7</v>
      </c>
      <c r="B20" t="str">
        <f t="shared" si="5"/>
        <v>DH9SDB</v>
      </c>
      <c r="C20" t="str">
        <f>VLOOKUP(B20,Menu!$A:$B,2,FALSE())</f>
        <v>Gulab Jamun (2 pc)</v>
      </c>
      <c r="D20">
        <f>SUMIFS(OrderLines!$C:$C, OrderLines!$B:$B, B20, OrderLines!$G:$G, "&gt;="&amp;DATE(2025,8,1), OrderLines!$G:$G, "&lt;"&amp;DATE(2025,9,1))</f>
        <v>52</v>
      </c>
      <c r="E20" s="7">
        <f t="shared" si="6"/>
        <v>3714.9714999999992</v>
      </c>
      <c r="J20" s="15" t="str">
        <f>Menu!A8</f>
        <v>SCKW5N</v>
      </c>
      <c r="K20" s="16">
        <f>SUMIFS(OrderLines!$I:$I, OrderLines!$B:$B, J20, OrderLines!$G:$G, "&gt;="&amp;DATE(2025,8,1), OrderLines!$G:$G, "&lt;"&amp;DATE(2025,9,1))</f>
        <v>2910.4803999999995</v>
      </c>
    </row>
    <row r="21" spans="1:11">
      <c r="A21">
        <v>8</v>
      </c>
      <c r="B21" t="str">
        <f t="shared" si="5"/>
        <v>SCKW5N</v>
      </c>
      <c r="C21" t="str">
        <f>VLOOKUP(B21,Menu!$A:$B,2,FALSE())</f>
        <v>Veg Sandwich</v>
      </c>
      <c r="D21">
        <f>SUMIFS(OrderLines!$C:$C, OrderLines!$B:$B, B21, OrderLines!$G:$G, "&gt;="&amp;DATE(2025,8,1), OrderLines!$G:$G, "&lt;"&amp;DATE(2025,9,1))</f>
        <v>44</v>
      </c>
      <c r="E21" s="7">
        <f t="shared" si="6"/>
        <v>2910.4803999999995</v>
      </c>
      <c r="J21" s="15" t="str">
        <f>Menu!A9</f>
        <v>SZBIKC</v>
      </c>
      <c r="K21" s="16">
        <f>SUMIFS(OrderLines!$I:$I, OrderLines!$B:$B, J21, OrderLines!$G:$G, "&gt;="&amp;DATE(2025,8,1), OrderLines!$G:$G, "&lt;"&amp;DATE(2025,9,1))</f>
        <v>1155.5016000000001</v>
      </c>
    </row>
    <row r="22" spans="1:11">
      <c r="A22">
        <v>9</v>
      </c>
      <c r="B22" t="str">
        <f t="shared" si="5"/>
        <v>DFFYVN</v>
      </c>
      <c r="C22" t="str">
        <f>VLOOKUP(B22,Menu!$A:$B,2,FALSE())</f>
        <v>Kheer Cup</v>
      </c>
      <c r="D22">
        <f>SUMIFS(OrderLines!$C:$C, OrderLines!$B:$B, B22, OrderLines!$G:$G, "&gt;="&amp;DATE(2025,8,1), OrderLines!$G:$G, "&lt;"&amp;DATE(2025,9,1))</f>
        <v>46</v>
      </c>
      <c r="E22" s="7">
        <f t="shared" si="6"/>
        <v>2362.578</v>
      </c>
      <c r="J22" s="15" t="str">
        <f>Menu!A10</f>
        <v>S5NQ4F</v>
      </c>
      <c r="K22" s="16">
        <f>SUMIFS(OrderLines!$I:$I, OrderLines!$B:$B, J22, OrderLines!$G:$G, "&gt;="&amp;DATE(2025,8,1), OrderLines!$G:$G, "&lt;"&amp;DATE(2025,9,1))</f>
        <v>2318.7779999999998</v>
      </c>
    </row>
    <row r="23" spans="1:11">
      <c r="A23">
        <v>10</v>
      </c>
      <c r="B23" t="str">
        <f t="shared" si="5"/>
        <v>S5NQ4F</v>
      </c>
      <c r="C23" t="str">
        <f>VLOOKUP(B23,Menu!$A:$B,2,FALSE())</f>
        <v>Masala Puff</v>
      </c>
      <c r="D23">
        <f>SUMIFS(OrderLines!$C:$C, OrderLines!$B:$B, B23, OrderLines!$G:$G, "&gt;="&amp;DATE(2025,8,1), OrderLines!$G:$G, "&lt;"&amp;DATE(2025,9,1))</f>
        <v>49</v>
      </c>
      <c r="E23" s="7">
        <f t="shared" si="6"/>
        <v>2318.7779999999998</v>
      </c>
      <c r="J23" s="15" t="str">
        <f>Menu!A11</f>
        <v>SHJ7XV</v>
      </c>
      <c r="K23" s="16">
        <f>SUMIFS(OrderLines!$I:$I, OrderLines!$B:$B, J23, OrderLines!$G:$G, "&gt;="&amp;DATE(2025,8,1), OrderLines!$G:$G, "&lt;"&amp;DATE(2025,9,1))</f>
        <v>1563.5345000000004</v>
      </c>
    </row>
    <row r="24" spans="1:11">
      <c r="J24" s="15" t="str">
        <f>Menu!A12</f>
        <v>BTIQJ7</v>
      </c>
      <c r="K24" s="16">
        <f>SUMIFS(OrderLines!$I:$I, OrderLines!$B:$B, J24, OrderLines!$G:$G, "&gt;="&amp;DATE(2025,8,1), OrderLines!$G:$G, "&lt;"&amp;DATE(2025,9,1))</f>
        <v>1508.5048000000002</v>
      </c>
    </row>
    <row r="25" spans="1:11">
      <c r="J25" s="15" t="str">
        <f>Menu!A13</f>
        <v>BHL1C3</v>
      </c>
      <c r="K25" s="16">
        <f>SUMIFS(OrderLines!$I:$I, OrderLines!$B:$B, J25, OrderLines!$G:$G, "&gt;="&amp;DATE(2025,8,1), OrderLines!$G:$G, "&lt;"&amp;DATE(2025,9,1))</f>
        <v>647.79600000000005</v>
      </c>
    </row>
    <row r="26" spans="1:11">
      <c r="A26" s="4" t="s">
        <v>550</v>
      </c>
      <c r="J26" s="15" t="str">
        <f>Menu!A14</f>
        <v>BOC6UZ</v>
      </c>
      <c r="K26" s="16">
        <f>SUMIFS(OrderLines!$I:$I, OrderLines!$B:$B, J26, OrderLines!$G:$G, "&gt;="&amp;DATE(2025,8,1), OrderLines!$G:$G, "&lt;"&amp;DATE(2025,9,1))</f>
        <v>1432.6511999999998</v>
      </c>
    </row>
    <row r="27" spans="1:11">
      <c r="J27" s="15" t="str">
        <f>Menu!A15</f>
        <v>BXO6QJ</v>
      </c>
      <c r="K27" s="16">
        <f>SUMIFS(OrderLines!$I:$I, OrderLines!$B:$B, J27, OrderLines!$G:$G, "&gt;="&amp;DATE(2025,8,1), OrderLines!$G:$G, "&lt;"&amp;DATE(2025,9,1))</f>
        <v>854.87610000000006</v>
      </c>
    </row>
    <row r="28" spans="1:11">
      <c r="A28" s="18" t="s">
        <v>2</v>
      </c>
      <c r="B28" s="18" t="s">
        <v>547</v>
      </c>
      <c r="C28" s="18" t="s">
        <v>551</v>
      </c>
      <c r="D28" s="18" t="s">
        <v>552</v>
      </c>
      <c r="E28" s="18" t="s">
        <v>553</v>
      </c>
      <c r="J28" s="15" t="str">
        <f>Menu!A16</f>
        <v>B0T0PV</v>
      </c>
      <c r="K28" s="16">
        <f>SUMIFS(OrderLines!$I:$I, OrderLines!$B:$B, J28, OrderLines!$G:$G, "&gt;="&amp;DATE(2025,8,1), OrderLines!$G:$G, "&lt;"&amp;DATE(2025,9,1))</f>
        <v>1151.6993000000002</v>
      </c>
    </row>
    <row r="29" spans="1:11">
      <c r="A29" t="s">
        <v>9</v>
      </c>
      <c r="B29" s="7">
        <f>SUMIFS(OrderLines!$I:$I, OrderLines!$H:$H, $A29)</f>
        <v>48982.146600000022</v>
      </c>
      <c r="C29">
        <f>SUMPRODUCT((OrderLines!$H$2:$H$925=$A29)*OrderLines!$C$2:$C$925*OrderLines!$E$2:$E$925)</f>
        <v>24001.279999999962</v>
      </c>
      <c r="D29" s="7">
        <f>B29-C29</f>
        <v>24980.866600000059</v>
      </c>
      <c r="E29" s="17">
        <f>IFERROR(D29/B29,0)</f>
        <v>0.50999942497416084</v>
      </c>
      <c r="J29" s="15" t="str">
        <f>Menu!A17</f>
        <v>DH9SDB</v>
      </c>
      <c r="K29" s="16">
        <f>SUMIFS(OrderLines!$I:$I, OrderLines!$B:$B, J29, OrderLines!$G:$G, "&gt;="&amp;DATE(2025,8,1), OrderLines!$G:$G, "&lt;"&amp;DATE(2025,9,1))</f>
        <v>3714.9714999999992</v>
      </c>
    </row>
    <row r="30" spans="1:11">
      <c r="A30" t="s">
        <v>27</v>
      </c>
      <c r="B30" s="7">
        <f>SUMIFS(OrderLines!$I:$I, OrderLines!$H:$H, $A30)</f>
        <v>33249.291299999997</v>
      </c>
      <c r="C30">
        <f>SUMPRODUCT((OrderLines!$H$2:$H$925=$A30)*OrderLines!$C$2:$C$925*OrderLines!$E$2:$E$925)</f>
        <v>16720.52</v>
      </c>
      <c r="D30" s="7">
        <f t="shared" ref="D30:D31" si="7">B30-C30</f>
        <v>16528.771299999997</v>
      </c>
      <c r="E30" s="17">
        <f t="shared" ref="E30:E31" si="8">IFERROR(D30/B30,0)</f>
        <v>0.49711649944250086</v>
      </c>
      <c r="J30" s="15" t="str">
        <f>Menu!A18</f>
        <v>DFFYVN</v>
      </c>
      <c r="K30" s="16">
        <f>SUMIFS(OrderLines!$I:$I, OrderLines!$B:$B, J30, OrderLines!$G:$G, "&gt;="&amp;DATE(2025,8,1), OrderLines!$G:$G, "&lt;"&amp;DATE(2025,9,1))</f>
        <v>2362.578</v>
      </c>
    </row>
    <row r="31" spans="1:11">
      <c r="A31" t="s">
        <v>15</v>
      </c>
      <c r="B31" s="7">
        <f>SUMIFS(OrderLines!$I:$I, OrderLines!$H:$H, $A31)</f>
        <v>50416.192700000007</v>
      </c>
      <c r="C31">
        <f>SUMPRODUCT((OrderLines!$H$2:$H$925=$A31)*OrderLines!$C$2:$C$925*OrderLines!$E$2:$E$925)</f>
        <v>24427.499999999982</v>
      </c>
      <c r="D31" s="7">
        <f t="shared" si="7"/>
        <v>25988.692700000025</v>
      </c>
      <c r="E31" s="17">
        <f t="shared" si="8"/>
        <v>0.51548304836592751</v>
      </c>
      <c r="J31" s="15" t="str">
        <f>Menu!A19</f>
        <v>D9T84A</v>
      </c>
      <c r="K31" s="16">
        <f>SUMIFS(OrderLines!$I:$I, OrderLines!$B:$B, J31, OrderLines!$G:$G, "&gt;="&amp;DATE(2025,8,1), OrderLines!$G:$G, "&lt;"&amp;DATE(2025,9,1))</f>
        <v>4925.4560000000001</v>
      </c>
    </row>
    <row r="32" spans="1:11">
      <c r="J32" s="15" t="str">
        <f>Menu!A20</f>
        <v>DYTJXE</v>
      </c>
      <c r="K32" s="16">
        <f>SUMIFS(OrderLines!$I:$I, OrderLines!$B:$B, J32, OrderLines!$G:$G, "&gt;="&amp;DATE(2025,8,1), OrderLines!$G:$G, "&lt;"&amp;DATE(2025,9,1))</f>
        <v>2202.3312999999998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E83D-B065-4735-BCDE-8824EBF97910}">
  <dimension ref="A1:E63"/>
  <sheetViews>
    <sheetView workbookViewId="0">
      <selection activeCell="H21" sqref="H21"/>
    </sheetView>
  </sheetViews>
  <sheetFormatPr defaultRowHeight="14.4"/>
  <cols>
    <col min="1" max="1" width="16.5546875" bestFit="1" customWidth="1"/>
    <col min="2" max="2" width="10.5546875" bestFit="1" customWidth="1"/>
    <col min="3" max="3" width="20.88671875" bestFit="1" customWidth="1"/>
    <col min="4" max="4" width="16.33203125" bestFit="1" customWidth="1"/>
    <col min="5" max="5" width="6.5546875" bestFit="1" customWidth="1"/>
  </cols>
  <sheetData>
    <row r="1" spans="1:5">
      <c r="A1" s="4" t="s">
        <v>554</v>
      </c>
    </row>
    <row r="3" spans="1:5">
      <c r="A3" s="4" t="s">
        <v>507</v>
      </c>
      <c r="B3" s="4" t="s">
        <v>547</v>
      </c>
      <c r="C3" s="4" t="s">
        <v>555</v>
      </c>
      <c r="D3" s="4" t="s">
        <v>556</v>
      </c>
      <c r="E3" s="4" t="s">
        <v>557</v>
      </c>
    </row>
    <row r="4" spans="1:5">
      <c r="A4" s="5">
        <f>DATE(2025,7,1)</f>
        <v>45839</v>
      </c>
      <c r="B4" s="7">
        <f>SUMIFS(Orders!$I:$I, Orders!$B:$B, "&gt;="&amp;$A4, Orders!$B:$B, "&lt;"&amp;($A4+1))</f>
        <v>198.822</v>
      </c>
      <c r="C4" s="7">
        <f>IFERROR(AVERAGEIFS(Feedback!$C:$C, Feedback!$A:$A, $A4),"")</f>
        <v>3.8571428571428572</v>
      </c>
      <c r="D4" s="7">
        <f>IFERROR(SUMPRODUCT((WasteLog!$A$2:$A$121=$A4)*WasteLog!$C$2:$C$121*IFERROR(VLOOKUP(WasteLog!$B$2:$B$121,Menu!$A:$E,5,FALSE()),0))/COUNTIFS(WasteLog!$A$2:$A$121,$A4),0)</f>
        <v>0</v>
      </c>
      <c r="E4" t="str">
        <f>IF(OR($B4&lt;1500, AND($C4&lt;&gt;"",$C4&lt;3.2), IF($B4&gt;0, $D4&gt;0.04*$B4, $D4&gt;0)), "At Risk", "OK")</f>
        <v>At Risk</v>
      </c>
    </row>
    <row r="5" spans="1:5">
      <c r="A5" s="5">
        <f>A4+1</f>
        <v>45840</v>
      </c>
      <c r="B5" s="7">
        <f>SUMIFS(Orders!$I:$I, Orders!$B:$B, "&gt;="&amp;$A5, Orders!$B:$B, "&lt;"&amp;($A5+1))</f>
        <v>3202.8500000000004</v>
      </c>
      <c r="C5" s="7">
        <f>IFERROR(AVERAGEIFS(Feedback!$C:$C, Feedback!$A:$A, $A5),"")</f>
        <v>3.6</v>
      </c>
      <c r="D5" s="7">
        <f>IFERROR(SUMPRODUCT((WasteLog!$A$2:$A$121=$A5)*WasteLog!$C$2:$C$121*IFERROR(VLOOKUP(WasteLog!$B$2:$B$121,Menu!$A:$E,5,FALSE()),0))/COUNTIFS(WasteLog!$A$2:$A$121,$A5),0)</f>
        <v>85.697499999999991</v>
      </c>
      <c r="E5" t="str">
        <f t="shared" ref="E5:E63" si="0">IF(OR($B5&lt;1500, AND($C5&lt;&gt;"",$C5&lt;3.2), IF($B5&gt;0, $D5&gt;0.04*$B5, $D5&gt;0)), "At Risk", "OK")</f>
        <v>OK</v>
      </c>
    </row>
    <row r="6" spans="1:5">
      <c r="A6" s="5">
        <f t="shared" ref="A6:A63" si="1">A5+1</f>
        <v>45841</v>
      </c>
      <c r="B6" s="7">
        <f>SUMIFS(Orders!$I:$I, Orders!$B:$B, "&gt;="&amp;$A6, Orders!$B:$B, "&lt;"&amp;($A6+1))</f>
        <v>1027.7541000000001</v>
      </c>
      <c r="C6" s="7">
        <f>IFERROR(AVERAGEIFS(Feedback!$C:$C, Feedback!$A:$A, $A6),"")</f>
        <v>4</v>
      </c>
      <c r="D6" s="7">
        <f>IFERROR(SUMPRODUCT((WasteLog!$A$2:$A$121=$A6)*WasteLog!$C$2:$C$121*IFERROR(VLOOKUP(WasteLog!$B$2:$B$121,Menu!$A:$E,5,FALSE()),0))/COUNTIFS(WasteLog!$A$2:$A$121,$A6),0)</f>
        <v>0</v>
      </c>
      <c r="E6" t="str">
        <f t="shared" si="0"/>
        <v>At Risk</v>
      </c>
    </row>
    <row r="7" spans="1:5">
      <c r="A7" s="5">
        <f t="shared" si="1"/>
        <v>45842</v>
      </c>
      <c r="B7" s="7">
        <f>SUMIFS(Orders!$I:$I, Orders!$B:$B, "&gt;="&amp;$A7, Orders!$B:$B, "&lt;"&amp;($A7+1))</f>
        <v>1622.0684000000001</v>
      </c>
      <c r="C7" s="7">
        <f>IFERROR(AVERAGEIFS(Feedback!$C:$C, Feedback!$A:$A, $A7),"")</f>
        <v>4.5</v>
      </c>
      <c r="D7" s="7">
        <f>IFERROR(SUMPRODUCT((WasteLog!$A$2:$A$121=$A7)*WasteLog!$C$2:$C$121*IFERROR(VLOOKUP(WasteLog!$B$2:$B$121,Menu!$A:$E,5,FALSE()),0))/COUNTIFS(WasteLog!$A$2:$A$121,$A7),0)</f>
        <v>80.92</v>
      </c>
      <c r="E7" t="str">
        <f t="shared" si="0"/>
        <v>At Risk</v>
      </c>
    </row>
    <row r="8" spans="1:5">
      <c r="A8" s="5">
        <f t="shared" si="1"/>
        <v>45843</v>
      </c>
      <c r="B8" s="7">
        <f>SUMIFS(Orders!$I:$I, Orders!$B:$B, "&gt;="&amp;$A8, Orders!$B:$B, "&lt;"&amp;($A8+1))</f>
        <v>626.24790000000007</v>
      </c>
      <c r="C8" s="7">
        <f>IFERROR(AVERAGEIFS(Feedback!$C:$C, Feedback!$A:$A, $A8),"")</f>
        <v>4</v>
      </c>
      <c r="D8" s="7">
        <f>IFERROR(SUMPRODUCT((WasteLog!$A$2:$A$121=$A8)*WasteLog!$C$2:$C$121*IFERROR(VLOOKUP(WasteLog!$B$2:$B$121,Menu!$A:$E,5,FALSE()),0))/COUNTIFS(WasteLog!$A$2:$A$121,$A8),0)</f>
        <v>25.013333333333335</v>
      </c>
      <c r="E8" t="str">
        <f t="shared" si="0"/>
        <v>At Risk</v>
      </c>
    </row>
    <row r="9" spans="1:5">
      <c r="A9" s="5">
        <f t="shared" si="1"/>
        <v>45844</v>
      </c>
      <c r="B9" s="7">
        <f>SUMIFS(Orders!$I:$I, Orders!$B:$B, "&gt;="&amp;$A9, Orders!$B:$B, "&lt;"&amp;($A9+1))</f>
        <v>2758.1276000000003</v>
      </c>
      <c r="C9" s="7">
        <f>IFERROR(AVERAGEIFS(Feedback!$C:$C, Feedback!$A:$A, $A9),"")</f>
        <v>3.5</v>
      </c>
      <c r="D9" s="7">
        <f>IFERROR(SUMPRODUCT((WasteLog!$A$2:$A$121=$A9)*WasteLog!$C$2:$C$121*IFERROR(VLOOKUP(WasteLog!$B$2:$B$121,Menu!$A:$E,5,FALSE()),0))/COUNTIFS(WasteLog!$A$2:$A$121,$A9),0)</f>
        <v>148.14000000000001</v>
      </c>
      <c r="E9" t="str">
        <f t="shared" si="0"/>
        <v>At Risk</v>
      </c>
    </row>
    <row r="10" spans="1:5">
      <c r="A10" s="5">
        <f t="shared" si="1"/>
        <v>45845</v>
      </c>
      <c r="B10" s="7">
        <f>SUMIFS(Orders!$I:$I, Orders!$B:$B, "&gt;="&amp;$A10, Orders!$B:$B, "&lt;"&amp;($A10+1))</f>
        <v>1619.6286</v>
      </c>
      <c r="C10" s="7">
        <f>IFERROR(AVERAGEIFS(Feedback!$C:$C, Feedback!$A:$A, $A10),"")</f>
        <v>4.75</v>
      </c>
      <c r="D10" s="7">
        <f>IFERROR(SUMPRODUCT((WasteLog!$A$2:$A$121=$A10)*WasteLog!$C$2:$C$121*IFERROR(VLOOKUP(WasteLog!$B$2:$B$121,Menu!$A:$E,5,FALSE()),0))/COUNTIFS(WasteLog!$A$2:$A$121,$A10),0)</f>
        <v>21.95</v>
      </c>
      <c r="E10" t="str">
        <f t="shared" si="0"/>
        <v>OK</v>
      </c>
    </row>
    <row r="11" spans="1:5">
      <c r="A11" s="5">
        <f t="shared" si="1"/>
        <v>45846</v>
      </c>
      <c r="B11" s="7">
        <f>SUMIFS(Orders!$I:$I, Orders!$B:$B, "&gt;="&amp;$A11, Orders!$B:$B, "&lt;"&amp;($A11+1))</f>
        <v>425.19910000000004</v>
      </c>
      <c r="C11" s="7">
        <f>IFERROR(AVERAGEIFS(Feedback!$C:$C, Feedback!$A:$A, $A11),"")</f>
        <v>4</v>
      </c>
      <c r="D11" s="7">
        <f>IFERROR(SUMPRODUCT((WasteLog!$A$2:$A$121=$A11)*WasteLog!$C$2:$C$121*IFERROR(VLOOKUP(WasteLog!$B$2:$B$121,Menu!$A:$E,5,FALSE()),0))/COUNTIFS(WasteLog!$A$2:$A$121,$A11),0)</f>
        <v>85.697499999999991</v>
      </c>
      <c r="E11" t="str">
        <f t="shared" si="0"/>
        <v>At Risk</v>
      </c>
    </row>
    <row r="12" spans="1:5">
      <c r="A12" s="5">
        <f t="shared" si="1"/>
        <v>45847</v>
      </c>
      <c r="B12" s="7">
        <f>SUMIFS(Orders!$I:$I, Orders!$B:$B, "&gt;="&amp;$A12, Orders!$B:$B, "&lt;"&amp;($A12+1))</f>
        <v>2706.5737000000004</v>
      </c>
      <c r="C12" s="7">
        <f>IFERROR(AVERAGEIFS(Feedback!$C:$C, Feedback!$A:$A, $A12),"")</f>
        <v>3.1666666666666665</v>
      </c>
      <c r="D12" s="7">
        <f>IFERROR(SUMPRODUCT((WasteLog!$A$2:$A$121=$A12)*WasteLog!$C$2:$C$121*IFERROR(VLOOKUP(WasteLog!$B$2:$B$121,Menu!$A:$E,5,FALSE()),0))/COUNTIFS(WasteLog!$A$2:$A$121,$A12),0)</f>
        <v>18.906666666666666</v>
      </c>
      <c r="E12" t="str">
        <f t="shared" si="0"/>
        <v>At Risk</v>
      </c>
    </row>
    <row r="13" spans="1:5">
      <c r="A13" s="5">
        <f t="shared" si="1"/>
        <v>45848</v>
      </c>
      <c r="B13" s="7">
        <f>SUMIFS(Orders!$I:$I, Orders!$B:$B, "&gt;="&amp;$A13, Orders!$B:$B, "&lt;"&amp;($A13+1))</f>
        <v>3654.4445999999998</v>
      </c>
      <c r="C13" s="7">
        <f>IFERROR(AVERAGEIFS(Feedback!$C:$C, Feedback!$A:$A, $A13),"")</f>
        <v>4</v>
      </c>
      <c r="D13" s="7">
        <f>IFERROR(SUMPRODUCT((WasteLog!$A$2:$A$121=$A13)*WasteLog!$C$2:$C$121*IFERROR(VLOOKUP(WasteLog!$B$2:$B$121,Menu!$A:$E,5,FALSE()),0))/COUNTIFS(WasteLog!$A$2:$A$121,$A13),0)</f>
        <v>35.81</v>
      </c>
      <c r="E13" t="str">
        <f t="shared" si="0"/>
        <v>OK</v>
      </c>
    </row>
    <row r="14" spans="1:5">
      <c r="A14" s="5">
        <f t="shared" si="1"/>
        <v>45849</v>
      </c>
      <c r="B14" s="7">
        <f>SUMIFS(Orders!$I:$I, Orders!$B:$B, "&gt;="&amp;$A14, Orders!$B:$B, "&lt;"&amp;($A14+1))</f>
        <v>3744.4974999999999</v>
      </c>
      <c r="C14" s="7">
        <f>IFERROR(AVERAGEIFS(Feedback!$C:$C, Feedback!$A:$A, $A14),"")</f>
        <v>3.5</v>
      </c>
      <c r="D14" s="7">
        <f>IFERROR(SUMPRODUCT((WasteLog!$A$2:$A$121=$A14)*WasteLog!$C$2:$C$121*IFERROR(VLOOKUP(WasteLog!$B$2:$B$121,Menu!$A:$E,5,FALSE()),0))/COUNTIFS(WasteLog!$A$2:$A$121,$A14),0)</f>
        <v>43.9</v>
      </c>
      <c r="E14" t="str">
        <f t="shared" si="0"/>
        <v>OK</v>
      </c>
    </row>
    <row r="15" spans="1:5">
      <c r="A15" s="5">
        <f t="shared" si="1"/>
        <v>45850</v>
      </c>
      <c r="B15" s="7">
        <f>SUMIFS(Orders!$I:$I, Orders!$B:$B, "&gt;="&amp;$A15, Orders!$B:$B, "&lt;"&amp;($A15+1))</f>
        <v>3559.4395</v>
      </c>
      <c r="C15" s="7">
        <f>IFERROR(AVERAGEIFS(Feedback!$C:$C, Feedback!$A:$A, $A15),"")</f>
        <v>4</v>
      </c>
      <c r="D15" s="7">
        <f>IFERROR(SUMPRODUCT((WasteLog!$A$2:$A$121=$A15)*WasteLog!$C$2:$C$121*IFERROR(VLOOKUP(WasteLog!$B$2:$B$121,Menu!$A:$E,5,FALSE()),0))/COUNTIFS(WasteLog!$A$2:$A$121,$A15),0)</f>
        <v>55.56</v>
      </c>
      <c r="E15" t="str">
        <f t="shared" si="0"/>
        <v>OK</v>
      </c>
    </row>
    <row r="16" spans="1:5">
      <c r="A16" s="5">
        <f t="shared" si="1"/>
        <v>45851</v>
      </c>
      <c r="B16" s="7">
        <f>SUMIFS(Orders!$I:$I, Orders!$B:$B, "&gt;="&amp;$A16, Orders!$B:$B, "&lt;"&amp;($A16+1))</f>
        <v>2567.5367999999999</v>
      </c>
      <c r="C16" s="7">
        <f>IFERROR(AVERAGEIFS(Feedback!$C:$C, Feedback!$A:$A, $A16),"")</f>
        <v>3.8</v>
      </c>
      <c r="D16" s="7">
        <f>IFERROR(SUMPRODUCT((WasteLog!$A$2:$A$121=$A16)*WasteLog!$C$2:$C$121*IFERROR(VLOOKUP(WasteLog!$B$2:$B$121,Menu!$A:$E,5,FALSE()),0))/COUNTIFS(WasteLog!$A$2:$A$121,$A16),0)</f>
        <v>0</v>
      </c>
      <c r="E16" t="str">
        <f t="shared" si="0"/>
        <v>OK</v>
      </c>
    </row>
    <row r="17" spans="1:5">
      <c r="A17" s="5">
        <f t="shared" si="1"/>
        <v>45852</v>
      </c>
      <c r="B17" s="7">
        <f>SUMIFS(Orders!$I:$I, Orders!$B:$B, "&gt;="&amp;$A17, Orders!$B:$B, "&lt;"&amp;($A17+1))</f>
        <v>1450.0475999999999</v>
      </c>
      <c r="C17" s="7">
        <f>IFERROR(AVERAGEIFS(Feedback!$C:$C, Feedback!$A:$A, $A17),"")</f>
        <v>2.6666666666666665</v>
      </c>
      <c r="D17" s="7">
        <f>IFERROR(SUMPRODUCT((WasteLog!$A$2:$A$121=$A17)*WasteLog!$C$2:$C$121*IFERROR(VLOOKUP(WasteLog!$B$2:$B$121,Menu!$A:$E,5,FALSE()),0))/COUNTIFS(WasteLog!$A$2:$A$121,$A17),0)</f>
        <v>242.48</v>
      </c>
      <c r="E17" t="str">
        <f t="shared" si="0"/>
        <v>At Risk</v>
      </c>
    </row>
    <row r="18" spans="1:5">
      <c r="A18" s="5">
        <f t="shared" si="1"/>
        <v>45853</v>
      </c>
      <c r="B18" s="7">
        <f>SUMIFS(Orders!$I:$I, Orders!$B:$B, "&gt;="&amp;$A18, Orders!$B:$B, "&lt;"&amp;($A18+1))</f>
        <v>1530.5968</v>
      </c>
      <c r="C18" s="7">
        <f>IFERROR(AVERAGEIFS(Feedback!$C:$C, Feedback!$A:$A, $A18),"")</f>
        <v>4</v>
      </c>
      <c r="D18" s="7">
        <f>IFERROR(SUMPRODUCT((WasteLog!$A$2:$A$121=$A18)*WasteLog!$C$2:$C$121*IFERROR(VLOOKUP(WasteLog!$B$2:$B$121,Menu!$A:$E,5,FALSE()),0))/COUNTIFS(WasteLog!$A$2:$A$121,$A18),0)</f>
        <v>160.36666666666665</v>
      </c>
      <c r="E18" t="str">
        <f t="shared" si="0"/>
        <v>At Risk</v>
      </c>
    </row>
    <row r="19" spans="1:5">
      <c r="A19" s="5">
        <f t="shared" si="1"/>
        <v>45854</v>
      </c>
      <c r="B19" s="7">
        <f>SUMIFS(Orders!$I:$I, Orders!$B:$B, "&gt;="&amp;$A19, Orders!$B:$B, "&lt;"&amp;($A19+1))</f>
        <v>1691.1958000000002</v>
      </c>
      <c r="C19" s="7">
        <f>IFERROR(AVERAGEIFS(Feedback!$C:$C, Feedback!$A:$A, $A19),"")</f>
        <v>3</v>
      </c>
      <c r="D19" s="7">
        <f>IFERROR(SUMPRODUCT((WasteLog!$A$2:$A$121=$A19)*WasteLog!$C$2:$C$121*IFERROR(VLOOKUP(WasteLog!$B$2:$B$121,Menu!$A:$E,5,FALSE()),0))/COUNTIFS(WasteLog!$A$2:$A$121,$A19),0)</f>
        <v>224.51333333333332</v>
      </c>
      <c r="E19" t="str">
        <f t="shared" si="0"/>
        <v>At Risk</v>
      </c>
    </row>
    <row r="20" spans="1:5">
      <c r="A20" s="5">
        <f t="shared" si="1"/>
        <v>45855</v>
      </c>
      <c r="B20" s="7">
        <f>SUMIFS(Orders!$I:$I, Orders!$B:$B, "&gt;="&amp;$A20, Orders!$B:$B, "&lt;"&amp;($A20+1))</f>
        <v>1489.3910000000001</v>
      </c>
      <c r="C20" s="7">
        <f>IFERROR(AVERAGEIFS(Feedback!$C:$C, Feedback!$A:$A, $A20),"")</f>
        <v>3.5</v>
      </c>
      <c r="D20" s="7">
        <f>IFERROR(SUMPRODUCT((WasteLog!$A$2:$A$121=$A20)*WasteLog!$C$2:$C$121*IFERROR(VLOOKUP(WasteLog!$B$2:$B$121,Menu!$A:$E,5,FALSE()),0))/COUNTIFS(WasteLog!$A$2:$A$121,$A20),0)</f>
        <v>161.84</v>
      </c>
      <c r="E20" t="str">
        <f t="shared" si="0"/>
        <v>At Risk</v>
      </c>
    </row>
    <row r="21" spans="1:5">
      <c r="A21" s="5">
        <f t="shared" si="1"/>
        <v>45856</v>
      </c>
      <c r="B21" s="7">
        <f>SUMIFS(Orders!$I:$I, Orders!$B:$B, "&gt;="&amp;$A21, Orders!$B:$B, "&lt;"&amp;($A21+1))</f>
        <v>2741.2235000000001</v>
      </c>
      <c r="C21" s="7">
        <f>IFERROR(AVERAGEIFS(Feedback!$C:$C, Feedback!$A:$A, $A21),"")</f>
        <v>2.6666666666666665</v>
      </c>
      <c r="D21" s="7">
        <f>IFERROR(SUMPRODUCT((WasteLog!$A$2:$A$121=$A21)*WasteLog!$C$2:$C$121*IFERROR(VLOOKUP(WasteLog!$B$2:$B$121,Menu!$A:$E,5,FALSE()),0))/COUNTIFS(WasteLog!$A$2:$A$121,$A21),0)</f>
        <v>23.450000000000003</v>
      </c>
      <c r="E21" t="str">
        <f t="shared" si="0"/>
        <v>At Risk</v>
      </c>
    </row>
    <row r="22" spans="1:5">
      <c r="A22" s="5">
        <f t="shared" si="1"/>
        <v>45857</v>
      </c>
      <c r="B22" s="7">
        <f>SUMIFS(Orders!$I:$I, Orders!$B:$B, "&gt;="&amp;$A22, Orders!$B:$B, "&lt;"&amp;($A22+1))</f>
        <v>1258.1079999999999</v>
      </c>
      <c r="C22" s="7">
        <f>IFERROR(AVERAGEIFS(Feedback!$C:$C, Feedback!$A:$A, $A22),"")</f>
        <v>4.333333333333333</v>
      </c>
      <c r="D22" s="7">
        <f>IFERROR(SUMPRODUCT((WasteLog!$A$2:$A$121=$A22)*WasteLog!$C$2:$C$121*IFERROR(VLOOKUP(WasteLog!$B$2:$B$121,Menu!$A:$E,5,FALSE()),0))/COUNTIFS(WasteLog!$A$2:$A$121,$A22),0)</f>
        <v>242.48</v>
      </c>
      <c r="E22" t="str">
        <f t="shared" si="0"/>
        <v>At Risk</v>
      </c>
    </row>
    <row r="23" spans="1:5">
      <c r="A23" s="5">
        <f t="shared" si="1"/>
        <v>45858</v>
      </c>
      <c r="B23" s="7">
        <f>SUMIFS(Orders!$I:$I, Orders!$B:$B, "&gt;="&amp;$A23, Orders!$B:$B, "&lt;"&amp;($A23+1))</f>
        <v>2912.7894999999999</v>
      </c>
      <c r="C23" s="7">
        <f>IFERROR(AVERAGEIFS(Feedback!$C:$C, Feedback!$A:$A, $A23),"")</f>
        <v>3.3333333333333335</v>
      </c>
      <c r="D23" s="7">
        <f>IFERROR(SUMPRODUCT((WasteLog!$A$2:$A$121=$A23)*WasteLog!$C$2:$C$121*IFERROR(VLOOKUP(WasteLog!$B$2:$B$121,Menu!$A:$E,5,FALSE()),0))/COUNTIFS(WasteLog!$A$2:$A$121,$A23),0)</f>
        <v>121.24</v>
      </c>
      <c r="E23" t="str">
        <f t="shared" si="0"/>
        <v>At Risk</v>
      </c>
    </row>
    <row r="24" spans="1:5">
      <c r="A24" s="5">
        <f t="shared" si="1"/>
        <v>45859</v>
      </c>
      <c r="B24" s="7">
        <f>SUMIFS(Orders!$I:$I, Orders!$B:$B, "&gt;="&amp;$A24, Orders!$B:$B, "&lt;"&amp;($A24+1))</f>
        <v>714.59739999999999</v>
      </c>
      <c r="C24" s="7">
        <f>IFERROR(AVERAGEIFS(Feedback!$C:$C, Feedback!$A:$A, $A24),"")</f>
        <v>4</v>
      </c>
      <c r="D24" s="7">
        <f>IFERROR(SUMPRODUCT((WasteLog!$A$2:$A$121=$A24)*WasteLog!$C$2:$C$121*IFERROR(VLOOKUP(WasteLog!$B$2:$B$121,Menu!$A:$E,5,FALSE()),0))/COUNTIFS(WasteLog!$A$2:$A$121,$A24),0)</f>
        <v>31.02</v>
      </c>
      <c r="E24" t="str">
        <f t="shared" si="0"/>
        <v>At Risk</v>
      </c>
    </row>
    <row r="25" spans="1:5">
      <c r="A25" s="5">
        <f t="shared" si="1"/>
        <v>45860</v>
      </c>
      <c r="B25" s="7">
        <f>SUMIFS(Orders!$I:$I, Orders!$B:$B, "&gt;="&amp;$A25, Orders!$B:$B, "&lt;"&amp;($A25+1))</f>
        <v>933.6767000000001</v>
      </c>
      <c r="C25" s="7">
        <f>IFERROR(AVERAGEIFS(Feedback!$C:$C, Feedback!$A:$A, $A25),"")</f>
        <v>2</v>
      </c>
      <c r="D25" s="7">
        <f>IFERROR(SUMPRODUCT((WasteLog!$A$2:$A$121=$A25)*WasteLog!$C$2:$C$121*IFERROR(VLOOKUP(WasteLog!$B$2:$B$121,Menu!$A:$E,5,FALSE()),0))/COUNTIFS(WasteLog!$A$2:$A$121,$A25),0)</f>
        <v>25.013333333333332</v>
      </c>
      <c r="E25" t="str">
        <f t="shared" si="0"/>
        <v>At Risk</v>
      </c>
    </row>
    <row r="26" spans="1:5">
      <c r="A26" s="5">
        <f t="shared" si="1"/>
        <v>45861</v>
      </c>
      <c r="B26" s="7">
        <f>SUMIFS(Orders!$I:$I, Orders!$B:$B, "&gt;="&amp;$A26, Orders!$B:$B, "&lt;"&amp;($A26+1))</f>
        <v>1650.5281</v>
      </c>
      <c r="C26" s="7">
        <f>IFERROR(AVERAGEIFS(Feedback!$C:$C, Feedback!$A:$A, $A26),"")</f>
        <v>2</v>
      </c>
      <c r="D26" s="7">
        <f>IFERROR(SUMPRODUCT((WasteLog!$A$2:$A$121=$A26)*WasteLog!$C$2:$C$121*IFERROR(VLOOKUP(WasteLog!$B$2:$B$121,Menu!$A:$E,5,FALSE()),0))/COUNTIFS(WasteLog!$A$2:$A$121,$A26),0)</f>
        <v>23.68</v>
      </c>
      <c r="E26" t="str">
        <f t="shared" si="0"/>
        <v>At Risk</v>
      </c>
    </row>
    <row r="27" spans="1:5">
      <c r="A27" s="5">
        <f t="shared" si="1"/>
        <v>45862</v>
      </c>
      <c r="B27" s="7">
        <f>SUMIFS(Orders!$I:$I, Orders!$B:$B, "&gt;="&amp;$A27, Orders!$B:$B, "&lt;"&amp;($A27+1))</f>
        <v>2173.3864999999996</v>
      </c>
      <c r="C27" s="7">
        <f>IFERROR(AVERAGEIFS(Feedback!$C:$C, Feedback!$A:$A, $A27),"")</f>
        <v>4.25</v>
      </c>
      <c r="D27" s="7">
        <f>IFERROR(SUMPRODUCT((WasteLog!$A$2:$A$121=$A27)*WasteLog!$C$2:$C$121*IFERROR(VLOOKUP(WasteLog!$B$2:$B$121,Menu!$A:$E,5,FALSE()),0))/COUNTIFS(WasteLog!$A$2:$A$121,$A27),0)</f>
        <v>85.697499999999991</v>
      </c>
      <c r="E27" t="str">
        <f t="shared" si="0"/>
        <v>OK</v>
      </c>
    </row>
    <row r="28" spans="1:5">
      <c r="A28" s="5">
        <f t="shared" si="1"/>
        <v>45863</v>
      </c>
      <c r="B28" s="7">
        <f>SUMIFS(Orders!$I:$I, Orders!$B:$B, "&gt;="&amp;$A28, Orders!$B:$B, "&lt;"&amp;($A28+1))</f>
        <v>811.55369999999994</v>
      </c>
      <c r="C28" s="7">
        <f>IFERROR(AVERAGEIFS(Feedback!$C:$C, Feedback!$A:$A, $A28),"")</f>
        <v>3.3333333333333335</v>
      </c>
      <c r="D28" s="7">
        <f>IFERROR(SUMPRODUCT((WasteLog!$A$2:$A$121=$A28)*WasteLog!$C$2:$C$121*IFERROR(VLOOKUP(WasteLog!$B$2:$B$121,Menu!$A:$E,5,FALSE()),0))/COUNTIFS(WasteLog!$A$2:$A$121,$A28),0)</f>
        <v>111.10499999999999</v>
      </c>
      <c r="E28" t="str">
        <f t="shared" si="0"/>
        <v>At Risk</v>
      </c>
    </row>
    <row r="29" spans="1:5">
      <c r="A29" s="5">
        <f t="shared" si="1"/>
        <v>45864</v>
      </c>
      <c r="B29" s="7">
        <f>SUMIFS(Orders!$I:$I, Orders!$B:$B, "&gt;="&amp;$A29, Orders!$B:$B, "&lt;"&amp;($A29+1))</f>
        <v>2029.8743999999999</v>
      </c>
      <c r="C29" s="7">
        <f>IFERROR(AVERAGEIFS(Feedback!$C:$C, Feedback!$A:$A, $A29),"")</f>
        <v>3</v>
      </c>
      <c r="D29" s="7">
        <f>IFERROR(SUMPRODUCT((WasteLog!$A$2:$A$121=$A29)*WasteLog!$C$2:$C$121*IFERROR(VLOOKUP(WasteLog!$B$2:$B$121,Menu!$A:$E,5,FALSE()),0))/COUNTIFS(WasteLog!$A$2:$A$121,$A29),0)</f>
        <v>35.519999999999996</v>
      </c>
      <c r="E29" t="str">
        <f t="shared" si="0"/>
        <v>At Risk</v>
      </c>
    </row>
    <row r="30" spans="1:5">
      <c r="A30" s="5">
        <f t="shared" si="1"/>
        <v>45865</v>
      </c>
      <c r="B30" s="7">
        <f>SUMIFS(Orders!$I:$I, Orders!$B:$B, "&gt;="&amp;$A30, Orders!$B:$B, "&lt;"&amp;($A30+1))</f>
        <v>2044.1306000000002</v>
      </c>
      <c r="C30" s="7">
        <f>IFERROR(AVERAGEIFS(Feedback!$C:$C, Feedback!$A:$A, $A30),"")</f>
        <v>3</v>
      </c>
      <c r="D30" s="7">
        <f>IFERROR(SUMPRODUCT((WasteLog!$A$2:$A$121=$A30)*WasteLog!$C$2:$C$121*IFERROR(VLOOKUP(WasteLog!$B$2:$B$121,Menu!$A:$E,5,FALSE()),0))/COUNTIFS(WasteLog!$A$2:$A$121,$A30),0)</f>
        <v>240.55</v>
      </c>
      <c r="E30" t="str">
        <f t="shared" si="0"/>
        <v>At Risk</v>
      </c>
    </row>
    <row r="31" spans="1:5">
      <c r="A31" s="5">
        <f t="shared" si="1"/>
        <v>45866</v>
      </c>
      <c r="B31" s="7">
        <f>SUMIFS(Orders!$I:$I, Orders!$B:$B, "&gt;="&amp;$A31, Orders!$B:$B, "&lt;"&amp;($A31+1))</f>
        <v>2274.1076000000003</v>
      </c>
      <c r="C31" s="7">
        <f>IFERROR(AVERAGEIFS(Feedback!$C:$C, Feedback!$A:$A, $A31),"")</f>
        <v>4</v>
      </c>
      <c r="D31" s="7">
        <f>IFERROR(SUMPRODUCT((WasteLog!$A$2:$A$121=$A31)*WasteLog!$C$2:$C$121*IFERROR(VLOOKUP(WasteLog!$B$2:$B$121,Menu!$A:$E,5,FALSE()),0))/COUNTIFS(WasteLog!$A$2:$A$121,$A31),0)</f>
        <v>27.78</v>
      </c>
      <c r="E31" t="str">
        <f t="shared" si="0"/>
        <v>OK</v>
      </c>
    </row>
    <row r="32" spans="1:5">
      <c r="A32" s="5">
        <f t="shared" si="1"/>
        <v>45867</v>
      </c>
      <c r="B32" s="7">
        <f>SUMIFS(Orders!$I:$I, Orders!$B:$B, "&gt;="&amp;$A32, Orders!$B:$B, "&lt;"&amp;($A32+1))</f>
        <v>3020.3593000000005</v>
      </c>
      <c r="C32" s="7">
        <f>IFERROR(AVERAGEIFS(Feedback!$C:$C, Feedback!$A:$A, $A32),"")</f>
        <v>3.1428571428571428</v>
      </c>
      <c r="D32" s="7">
        <f>IFERROR(SUMPRODUCT((WasteLog!$A$2:$A$121=$A32)*WasteLog!$C$2:$C$121*IFERROR(VLOOKUP(WasteLog!$B$2:$B$121,Menu!$A:$E,5,FALSE()),0))/COUNTIFS(WasteLog!$A$2:$A$121,$A32),0)</f>
        <v>19.733333333333334</v>
      </c>
      <c r="E32" t="str">
        <f t="shared" si="0"/>
        <v>At Risk</v>
      </c>
    </row>
    <row r="33" spans="1:5">
      <c r="A33" s="5">
        <f t="shared" si="1"/>
        <v>45868</v>
      </c>
      <c r="B33" s="7">
        <f>SUMIFS(Orders!$I:$I, Orders!$B:$B, "&gt;="&amp;$A33, Orders!$B:$B, "&lt;"&amp;($A33+1))</f>
        <v>2648.0348000000004</v>
      </c>
      <c r="C33" s="7">
        <f>IFERROR(AVERAGEIFS(Feedback!$C:$C, Feedback!$A:$A, $A33),"")</f>
        <v>3.5714285714285716</v>
      </c>
      <c r="D33" s="7">
        <f>IFERROR(SUMPRODUCT((WasteLog!$A$2:$A$121=$A33)*WasteLog!$C$2:$C$121*IFERROR(VLOOKUP(WasteLog!$B$2:$B$121,Menu!$A:$E,5,FALSE()),0))/COUNTIFS(WasteLog!$A$2:$A$121,$A33),0)</f>
        <v>37.04</v>
      </c>
      <c r="E33" t="str">
        <f t="shared" si="0"/>
        <v>OK</v>
      </c>
    </row>
    <row r="34" spans="1:5">
      <c r="A34" s="5">
        <f t="shared" si="1"/>
        <v>45869</v>
      </c>
      <c r="B34" s="7">
        <f>SUMIFS(Orders!$I:$I, Orders!$B:$B, "&gt;="&amp;$A34, Orders!$B:$B, "&lt;"&amp;($A34+1))</f>
        <v>4852.3995999999997</v>
      </c>
      <c r="C34" s="7">
        <f>IFERROR(AVERAGEIFS(Feedback!$C:$C, Feedback!$A:$A, $A34),"")</f>
        <v>3.125</v>
      </c>
      <c r="D34" s="7">
        <f>IFERROR(SUMPRODUCT((WasteLog!$A$2:$A$121=$A34)*WasteLog!$C$2:$C$121*IFERROR(VLOOKUP(WasteLog!$B$2:$B$121,Menu!$A:$E,5,FALSE()),0))/COUNTIFS(WasteLog!$A$2:$A$121,$A34),0)</f>
        <v>90.44</v>
      </c>
      <c r="E34" t="str">
        <f t="shared" si="0"/>
        <v>At Risk</v>
      </c>
    </row>
    <row r="35" spans="1:5">
      <c r="A35" s="5">
        <f t="shared" si="1"/>
        <v>45870</v>
      </c>
      <c r="B35" s="7">
        <f>SUMIFS(Orders!$I:$I, Orders!$B:$B, "&gt;="&amp;$A35, Orders!$B:$B, "&lt;"&amp;($A35+1))</f>
        <v>1738.74</v>
      </c>
      <c r="C35" s="7">
        <f>IFERROR(AVERAGEIFS(Feedback!$C:$C, Feedback!$A:$A, $A35),"")</f>
        <v>3.8571428571428572</v>
      </c>
      <c r="D35" s="7">
        <f>IFERROR(SUMPRODUCT((WasteLog!$A$2:$A$121=$A35)*WasteLog!$C$2:$C$121*IFERROR(VLOOKUP(WasteLog!$B$2:$B$121,Menu!$A:$E,5,FALSE()),0))/COUNTIFS(WasteLog!$A$2:$A$121,$A35),0)</f>
        <v>121.24</v>
      </c>
      <c r="E35" t="str">
        <f t="shared" si="0"/>
        <v>At Risk</v>
      </c>
    </row>
    <row r="36" spans="1:5">
      <c r="A36" s="5">
        <f t="shared" si="1"/>
        <v>45871</v>
      </c>
      <c r="B36" s="7">
        <f>SUMIFS(Orders!$I:$I, Orders!$B:$B, "&gt;="&amp;$A36, Orders!$B:$B, "&lt;"&amp;($A36+1))</f>
        <v>3170.9502000000002</v>
      </c>
      <c r="C36" s="7" t="str">
        <f>IFERROR(AVERAGEIFS(Feedback!$C:$C, Feedback!$A:$A, $A36),"")</f>
        <v/>
      </c>
      <c r="D36" s="7">
        <f>IFERROR(SUMPRODUCT((WasteLog!$A$2:$A$121=$A36)*WasteLog!$C$2:$C$121*IFERROR(VLOOKUP(WasteLog!$B$2:$B$121,Menu!$A:$E,5,FALSE()),0))/COUNTIFS(WasteLog!$A$2:$A$121,$A36),0)</f>
        <v>48.875</v>
      </c>
      <c r="E36" t="str">
        <f t="shared" si="0"/>
        <v>OK</v>
      </c>
    </row>
    <row r="37" spans="1:5">
      <c r="A37" s="5">
        <f t="shared" si="1"/>
        <v>45872</v>
      </c>
      <c r="B37" s="7">
        <f>SUMIFS(Orders!$I:$I, Orders!$B:$B, "&gt;="&amp;$A37, Orders!$B:$B, "&lt;"&amp;($A37+1))</f>
        <v>2245.7259000000004</v>
      </c>
      <c r="C37" s="7">
        <f>IFERROR(AVERAGEIFS(Feedback!$C:$C, Feedback!$A:$A, $A37),"")</f>
        <v>5</v>
      </c>
      <c r="D37" s="7">
        <f>IFERROR(SUMPRODUCT((WasteLog!$A$2:$A$121=$A37)*WasteLog!$C$2:$C$121*IFERROR(VLOOKUP(WasteLog!$B$2:$B$121,Menu!$A:$E,5,FALSE()),0))/COUNTIFS(WasteLog!$A$2:$A$121,$A37),0)</f>
        <v>74.069999999999993</v>
      </c>
      <c r="E37" t="str">
        <f t="shared" si="0"/>
        <v>OK</v>
      </c>
    </row>
    <row r="38" spans="1:5">
      <c r="A38" s="5">
        <f t="shared" si="1"/>
        <v>45873</v>
      </c>
      <c r="B38" s="7">
        <f>SUMIFS(Orders!$I:$I, Orders!$B:$B, "&gt;="&amp;$A38, Orders!$B:$B, "&lt;"&amp;($A38+1))</f>
        <v>1903.7358999999999</v>
      </c>
      <c r="C38" s="7">
        <f>IFERROR(AVERAGEIFS(Feedback!$C:$C, Feedback!$A:$A, $A38),"")</f>
        <v>2.25</v>
      </c>
      <c r="D38" s="7">
        <f>IFERROR(SUMPRODUCT((WasteLog!$A$2:$A$121=$A38)*WasteLog!$C$2:$C$121*IFERROR(VLOOKUP(WasteLog!$B$2:$B$121,Menu!$A:$E,5,FALSE()),0))/COUNTIFS(WasteLog!$A$2:$A$121,$A38),0)</f>
        <v>484.96</v>
      </c>
      <c r="E38" t="str">
        <f t="shared" si="0"/>
        <v>At Risk</v>
      </c>
    </row>
    <row r="39" spans="1:5">
      <c r="A39" s="5">
        <f t="shared" si="1"/>
        <v>45874</v>
      </c>
      <c r="B39" s="7">
        <f>SUMIFS(Orders!$I:$I, Orders!$B:$B, "&gt;="&amp;$A39, Orders!$B:$B, "&lt;"&amp;($A39+1))</f>
        <v>2167.9313999999999</v>
      </c>
      <c r="C39" s="7">
        <f>IFERROR(AVERAGEIFS(Feedback!$C:$C, Feedback!$A:$A, $A39),"")</f>
        <v>3.2</v>
      </c>
      <c r="D39" s="7">
        <f>IFERROR(SUMPRODUCT((WasteLog!$A$2:$A$121=$A39)*WasteLog!$C$2:$C$121*IFERROR(VLOOKUP(WasteLog!$B$2:$B$121,Menu!$A:$E,5,FALSE()),0))/COUNTIFS(WasteLog!$A$2:$A$121,$A39),0)</f>
        <v>0</v>
      </c>
      <c r="E39" t="str">
        <f t="shared" si="0"/>
        <v>OK</v>
      </c>
    </row>
    <row r="40" spans="1:5">
      <c r="A40" s="5">
        <f t="shared" si="1"/>
        <v>45875</v>
      </c>
      <c r="B40" s="7">
        <f>SUMIFS(Orders!$I:$I, Orders!$B:$B, "&gt;="&amp;$A40, Orders!$B:$B, "&lt;"&amp;($A40+1))</f>
        <v>1658.0415</v>
      </c>
      <c r="C40" s="7">
        <f>IFERROR(AVERAGEIFS(Feedback!$C:$C, Feedback!$A:$A, $A40),"")</f>
        <v>3.6666666666666665</v>
      </c>
      <c r="D40" s="7">
        <f>IFERROR(SUMPRODUCT((WasteLog!$A$2:$A$121=$A40)*WasteLog!$C$2:$C$121*IFERROR(VLOOKUP(WasteLog!$B$2:$B$121,Menu!$A:$E,5,FALSE()),0))/COUNTIFS(WasteLog!$A$2:$A$121,$A40),0)</f>
        <v>122.425</v>
      </c>
      <c r="E40" t="str">
        <f t="shared" si="0"/>
        <v>At Risk</v>
      </c>
    </row>
    <row r="41" spans="1:5">
      <c r="A41" s="5">
        <f t="shared" si="1"/>
        <v>45876</v>
      </c>
      <c r="B41" s="7">
        <f>SUMIFS(Orders!$I:$I, Orders!$B:$B, "&gt;="&amp;$A41, Orders!$B:$B, "&lt;"&amp;($A41+1))</f>
        <v>1593.9490999999998</v>
      </c>
      <c r="C41" s="7">
        <f>IFERROR(AVERAGEIFS(Feedback!$C:$C, Feedback!$A:$A, $A41),"")</f>
        <v>4</v>
      </c>
      <c r="D41" s="7">
        <f>IFERROR(SUMPRODUCT((WasteLog!$A$2:$A$121=$A41)*WasteLog!$C$2:$C$121*IFERROR(VLOOKUP(WasteLog!$B$2:$B$121,Menu!$A:$E,5,FALSE()),0))/COUNTIFS(WasteLog!$A$2:$A$121,$A41),0)</f>
        <v>448.32</v>
      </c>
      <c r="E41" t="str">
        <f t="shared" si="0"/>
        <v>At Risk</v>
      </c>
    </row>
    <row r="42" spans="1:5">
      <c r="A42" s="5">
        <f t="shared" si="1"/>
        <v>45877</v>
      </c>
      <c r="B42" s="7">
        <f>SUMIFS(Orders!$I:$I, Orders!$B:$B, "&gt;="&amp;$A42, Orders!$B:$B, "&lt;"&amp;($A42+1))</f>
        <v>1921.5369000000001</v>
      </c>
      <c r="C42" s="7">
        <f>IFERROR(AVERAGEIFS(Feedback!$C:$C, Feedback!$A:$A, $A42),"")</f>
        <v>3.3333333333333335</v>
      </c>
      <c r="D42" s="7">
        <f>IFERROR(SUMPRODUCT((WasteLog!$A$2:$A$121=$A42)*WasteLog!$C$2:$C$121*IFERROR(VLOOKUP(WasteLog!$B$2:$B$121,Menu!$A:$E,5,FALSE()),0))/COUNTIFS(WasteLog!$A$2:$A$121,$A42),0)</f>
        <v>29.14</v>
      </c>
      <c r="E42" t="str">
        <f t="shared" si="0"/>
        <v>OK</v>
      </c>
    </row>
    <row r="43" spans="1:5">
      <c r="A43" s="5">
        <f t="shared" si="1"/>
        <v>45878</v>
      </c>
      <c r="B43" s="7">
        <f>SUMIFS(Orders!$I:$I, Orders!$B:$B, "&gt;="&amp;$A43, Orders!$B:$B, "&lt;"&amp;($A43+1))</f>
        <v>4129.2466000000004</v>
      </c>
      <c r="C43" s="7">
        <f>IFERROR(AVERAGEIFS(Feedback!$C:$C, Feedback!$A:$A, $A43),"")</f>
        <v>5</v>
      </c>
      <c r="D43" s="7">
        <f>IFERROR(SUMPRODUCT((WasteLog!$A$2:$A$121=$A43)*WasteLog!$C$2:$C$121*IFERROR(VLOOKUP(WasteLog!$B$2:$B$121,Menu!$A:$E,5,FALSE()),0))/COUNTIFS(WasteLog!$A$2:$A$121,$A43),0)</f>
        <v>49.629999999999995</v>
      </c>
      <c r="E43" t="str">
        <f t="shared" si="0"/>
        <v>OK</v>
      </c>
    </row>
    <row r="44" spans="1:5">
      <c r="A44" s="5">
        <f t="shared" si="1"/>
        <v>45879</v>
      </c>
      <c r="B44" s="7">
        <f>SUMIFS(Orders!$I:$I, Orders!$B:$B, "&gt;="&amp;$A44, Orders!$B:$B, "&lt;"&amp;($A44+1))</f>
        <v>1401.8914</v>
      </c>
      <c r="C44" s="7">
        <f>IFERROR(AVERAGEIFS(Feedback!$C:$C, Feedback!$A:$A, $A44),"")</f>
        <v>4.5</v>
      </c>
      <c r="D44" s="7">
        <f>IFERROR(SUMPRODUCT((WasteLog!$A$2:$A$121=$A44)*WasteLog!$C$2:$C$121*IFERROR(VLOOKUP(WasteLog!$B$2:$B$121,Menu!$A:$E,5,FALSE()),0))/COUNTIFS(WasteLog!$A$2:$A$121,$A44),0)</f>
        <v>149.44</v>
      </c>
      <c r="E44" t="str">
        <f t="shared" si="0"/>
        <v>At Risk</v>
      </c>
    </row>
    <row r="45" spans="1:5">
      <c r="A45" s="5">
        <f t="shared" si="1"/>
        <v>45880</v>
      </c>
      <c r="B45" s="7">
        <f>SUMIFS(Orders!$I:$I, Orders!$B:$B, "&gt;="&amp;$A45, Orders!$B:$B, "&lt;"&amp;($A45+1))</f>
        <v>2517.5508</v>
      </c>
      <c r="C45" s="7">
        <f>IFERROR(AVERAGEIFS(Feedback!$C:$C, Feedback!$A:$A, $A45),"")</f>
        <v>3.5</v>
      </c>
      <c r="D45" s="7">
        <f>IFERROR(SUMPRODUCT((WasteLog!$A$2:$A$121=$A45)*WasteLog!$C$2:$C$121*IFERROR(VLOOKUP(WasteLog!$B$2:$B$121,Menu!$A:$E,5,FALSE()),0))/COUNTIFS(WasteLog!$A$2:$A$121,$A45),0)</f>
        <v>68.8</v>
      </c>
      <c r="E45" t="str">
        <f t="shared" si="0"/>
        <v>OK</v>
      </c>
    </row>
    <row r="46" spans="1:5">
      <c r="A46" s="5">
        <f t="shared" si="1"/>
        <v>45881</v>
      </c>
      <c r="B46" s="7">
        <f>SUMIFS(Orders!$I:$I, Orders!$B:$B, "&gt;="&amp;$A46, Orders!$B:$B, "&lt;"&amp;($A46+1))</f>
        <v>2645.7173000000003</v>
      </c>
      <c r="C46" s="7">
        <f>IFERROR(AVERAGEIFS(Feedback!$C:$C, Feedback!$A:$A, $A46),"")</f>
        <v>3.6</v>
      </c>
      <c r="D46" s="7">
        <f>IFERROR(SUMPRODUCT((WasteLog!$A$2:$A$121=$A46)*WasteLog!$C$2:$C$121*IFERROR(VLOOKUP(WasteLog!$B$2:$B$121,Menu!$A:$E,5,FALSE()),0))/COUNTIFS(WasteLog!$A$2:$A$121,$A46),0)</f>
        <v>0</v>
      </c>
      <c r="E46" t="str">
        <f t="shared" si="0"/>
        <v>OK</v>
      </c>
    </row>
    <row r="47" spans="1:5">
      <c r="A47" s="5">
        <f t="shared" si="1"/>
        <v>45882</v>
      </c>
      <c r="B47" s="7">
        <f>SUMIFS(Orders!$I:$I, Orders!$B:$B, "&gt;="&amp;$A47, Orders!$B:$B, "&lt;"&amp;($A47+1))</f>
        <v>2966.4973999999997</v>
      </c>
      <c r="C47" s="7">
        <f>IFERROR(AVERAGEIFS(Feedback!$C:$C, Feedback!$A:$A, $A47),"")</f>
        <v>3</v>
      </c>
      <c r="D47" s="7">
        <f>IFERROR(SUMPRODUCT((WasteLog!$A$2:$A$121=$A47)*WasteLog!$C$2:$C$121*IFERROR(VLOOKUP(WasteLog!$B$2:$B$121,Menu!$A:$E,5,FALSE()),0))/COUNTIFS(WasteLog!$A$2:$A$121,$A47),0)</f>
        <v>110.18249999999999</v>
      </c>
      <c r="E47" t="str">
        <f t="shared" si="0"/>
        <v>At Risk</v>
      </c>
    </row>
    <row r="48" spans="1:5">
      <c r="A48" s="5">
        <f t="shared" si="1"/>
        <v>45883</v>
      </c>
      <c r="B48" s="7">
        <f>SUMIFS(Orders!$I:$I, Orders!$B:$B, "&gt;="&amp;$A48, Orders!$B:$B, "&lt;"&amp;($A48+1))</f>
        <v>2517.2587000000003</v>
      </c>
      <c r="C48" s="7">
        <f>IFERROR(AVERAGEIFS(Feedback!$C:$C, Feedback!$A:$A, $A48),"")</f>
        <v>3.8</v>
      </c>
      <c r="D48" s="7">
        <f>IFERROR(SUMPRODUCT((WasteLog!$A$2:$A$121=$A48)*WasteLog!$C$2:$C$121*IFERROR(VLOOKUP(WasteLog!$B$2:$B$121,Menu!$A:$E,5,FALSE()),0))/COUNTIFS(WasteLog!$A$2:$A$121,$A48),0)</f>
        <v>9.3800000000000008</v>
      </c>
      <c r="E48" t="str">
        <f t="shared" si="0"/>
        <v>OK</v>
      </c>
    </row>
    <row r="49" spans="1:5">
      <c r="A49" s="5">
        <f t="shared" si="1"/>
        <v>45884</v>
      </c>
      <c r="B49" s="7">
        <f>SUMIFS(Orders!$I:$I, Orders!$B:$B, "&gt;="&amp;$A49, Orders!$B:$B, "&lt;"&amp;($A49+1))</f>
        <v>2286.6790000000001</v>
      </c>
      <c r="C49" s="7">
        <f>IFERROR(AVERAGEIFS(Feedback!$C:$C, Feedback!$A:$A, $A49),"")</f>
        <v>2</v>
      </c>
      <c r="D49" s="7">
        <f>IFERROR(SUMPRODUCT((WasteLog!$A$2:$A$121=$A49)*WasteLog!$C$2:$C$121*IFERROR(VLOOKUP(WasteLog!$B$2:$B$121,Menu!$A:$E,5,FALSE()),0))/COUNTIFS(WasteLog!$A$2:$A$121,$A49),0)</f>
        <v>28.36</v>
      </c>
      <c r="E49" t="str">
        <f t="shared" si="0"/>
        <v>At Risk</v>
      </c>
    </row>
    <row r="50" spans="1:5">
      <c r="A50" s="5">
        <f t="shared" si="1"/>
        <v>45885</v>
      </c>
      <c r="B50" s="7">
        <f>SUMIFS(Orders!$I:$I, Orders!$B:$B, "&gt;="&amp;$A50, Orders!$B:$B, "&lt;"&amp;($A50+1))</f>
        <v>2603.3123999999998</v>
      </c>
      <c r="C50" s="7">
        <f>IFERROR(AVERAGEIFS(Feedback!$C:$C, Feedback!$A:$A, $A50),"")</f>
        <v>5</v>
      </c>
      <c r="D50" s="7">
        <f>IFERROR(SUMPRODUCT((WasteLog!$A$2:$A$121=$A50)*WasteLog!$C$2:$C$121*IFERROR(VLOOKUP(WasteLog!$B$2:$B$121,Menu!$A:$E,5,FALSE()),0))/COUNTIFS(WasteLog!$A$2:$A$121,$A50),0)</f>
        <v>112.08</v>
      </c>
      <c r="E50" t="str">
        <f t="shared" si="0"/>
        <v>At Risk</v>
      </c>
    </row>
    <row r="51" spans="1:5">
      <c r="A51" s="5">
        <f t="shared" si="1"/>
        <v>45886</v>
      </c>
      <c r="B51" s="7">
        <f>SUMIFS(Orders!$I:$I, Orders!$B:$B, "&gt;="&amp;$A51, Orders!$B:$B, "&lt;"&amp;($A51+1))</f>
        <v>2530.6252999999997</v>
      </c>
      <c r="C51" s="7">
        <f>IFERROR(AVERAGEIFS(Feedback!$C:$C, Feedback!$A:$A, $A51),"")</f>
        <v>3.5</v>
      </c>
      <c r="D51" s="7">
        <f>IFERROR(SUMPRODUCT((WasteLog!$A$2:$A$121=$A51)*WasteLog!$C$2:$C$121*IFERROR(VLOOKUP(WasteLog!$B$2:$B$121,Menu!$A:$E,5,FALSE()),0))/COUNTIFS(WasteLog!$A$2:$A$121,$A51),0)</f>
        <v>15.51</v>
      </c>
      <c r="E51" t="str">
        <f t="shared" si="0"/>
        <v>OK</v>
      </c>
    </row>
    <row r="52" spans="1:5">
      <c r="A52" s="5">
        <f t="shared" si="1"/>
        <v>45887</v>
      </c>
      <c r="B52" s="7">
        <f>SUMIFS(Orders!$I:$I, Orders!$B:$B, "&gt;="&amp;$A52, Orders!$B:$B, "&lt;"&amp;($A52+1))</f>
        <v>1535.5766999999998</v>
      </c>
      <c r="C52" s="7">
        <f>IFERROR(AVERAGEIFS(Feedback!$C:$C, Feedback!$A:$A, $A52),"")</f>
        <v>3</v>
      </c>
      <c r="D52" s="7">
        <f>IFERROR(SUMPRODUCT((WasteLog!$A$2:$A$121=$A52)*WasteLog!$C$2:$C$121*IFERROR(VLOOKUP(WasteLog!$B$2:$B$121,Menu!$A:$E,5,FALSE()),0))/COUNTIFS(WasteLog!$A$2:$A$121,$A52),0)</f>
        <v>39.1</v>
      </c>
      <c r="E52" t="str">
        <f t="shared" si="0"/>
        <v>At Risk</v>
      </c>
    </row>
    <row r="53" spans="1:5">
      <c r="A53" s="5">
        <f t="shared" si="1"/>
        <v>45888</v>
      </c>
      <c r="B53" s="7">
        <f>SUMIFS(Orders!$I:$I, Orders!$B:$B, "&gt;="&amp;$A53, Orders!$B:$B, "&lt;"&amp;($A53+1))</f>
        <v>2916.2893999999997</v>
      </c>
      <c r="C53" s="7">
        <f>IFERROR(AVERAGEIFS(Feedback!$C:$C, Feedback!$A:$A, $A53),"")</f>
        <v>5</v>
      </c>
      <c r="D53" s="7">
        <f>IFERROR(SUMPRODUCT((WasteLog!$A$2:$A$121=$A53)*WasteLog!$C$2:$C$121*IFERROR(VLOOKUP(WasteLog!$B$2:$B$121,Menu!$A:$E,5,FALSE()),0))/COUNTIFS(WasteLog!$A$2:$A$121,$A53),0)</f>
        <v>41.67</v>
      </c>
      <c r="E53" t="str">
        <f t="shared" si="0"/>
        <v>OK</v>
      </c>
    </row>
    <row r="54" spans="1:5">
      <c r="A54" s="5">
        <f t="shared" si="1"/>
        <v>45889</v>
      </c>
      <c r="B54" s="7">
        <f>SUMIFS(Orders!$I:$I, Orders!$B:$B, "&gt;="&amp;$A54, Orders!$B:$B, "&lt;"&amp;($A54+1))</f>
        <v>1073.4818</v>
      </c>
      <c r="C54" s="7">
        <f>IFERROR(AVERAGEIFS(Feedback!$C:$C, Feedback!$A:$A, $A54),"")</f>
        <v>4</v>
      </c>
      <c r="D54" s="7">
        <f>IFERROR(SUMPRODUCT((WasteLog!$A$2:$A$121=$A54)*WasteLog!$C$2:$C$121*IFERROR(VLOOKUP(WasteLog!$B$2:$B$121,Menu!$A:$E,5,FALSE()),0))/COUNTIFS(WasteLog!$A$2:$A$121,$A54),0)</f>
        <v>20</v>
      </c>
      <c r="E54" t="str">
        <f t="shared" si="0"/>
        <v>At Risk</v>
      </c>
    </row>
    <row r="55" spans="1:5">
      <c r="A55" s="5">
        <f t="shared" si="1"/>
        <v>45890</v>
      </c>
      <c r="B55" s="7">
        <f>SUMIFS(Orders!$I:$I, Orders!$B:$B, "&gt;="&amp;$A55, Orders!$B:$B, "&lt;"&amp;($A55+1))</f>
        <v>3053.0264000000002</v>
      </c>
      <c r="C55" s="7">
        <f>IFERROR(AVERAGEIFS(Feedback!$C:$C, Feedback!$A:$A, $A55),"")</f>
        <v>2</v>
      </c>
      <c r="D55" s="7">
        <f>IFERROR(SUMPRODUCT((WasteLog!$A$2:$A$121=$A55)*WasteLog!$C$2:$C$121*IFERROR(VLOOKUP(WasteLog!$B$2:$B$121,Menu!$A:$E,5,FALSE()),0))/COUNTIFS(WasteLog!$A$2:$A$121,$A55),0)</f>
        <v>38.412500000000001</v>
      </c>
      <c r="E55" t="str">
        <f t="shared" si="0"/>
        <v>At Risk</v>
      </c>
    </row>
    <row r="56" spans="1:5">
      <c r="A56" s="5">
        <f t="shared" si="1"/>
        <v>45891</v>
      </c>
      <c r="B56" s="7">
        <f>SUMIFS(Orders!$I:$I, Orders!$B:$B, "&gt;="&amp;$A56, Orders!$B:$B, "&lt;"&amp;($A56+1))</f>
        <v>1982.1374000000001</v>
      </c>
      <c r="C56" s="7">
        <f>IFERROR(AVERAGEIFS(Feedback!$C:$C, Feedback!$A:$A, $A56),"")</f>
        <v>3.4</v>
      </c>
      <c r="D56" s="7">
        <f>IFERROR(SUMPRODUCT((WasteLog!$A$2:$A$121=$A56)*WasteLog!$C$2:$C$121*IFERROR(VLOOKUP(WasteLog!$B$2:$B$121,Menu!$A:$E,5,FALSE()),0))/COUNTIFS(WasteLog!$A$2:$A$121,$A56),0)</f>
        <v>31.28</v>
      </c>
      <c r="E56" t="str">
        <f t="shared" si="0"/>
        <v>OK</v>
      </c>
    </row>
    <row r="57" spans="1:5">
      <c r="A57" s="5">
        <f t="shared" si="1"/>
        <v>45892</v>
      </c>
      <c r="B57" s="7">
        <f>SUMIFS(Orders!$I:$I, Orders!$B:$B, "&gt;="&amp;$A57, Orders!$B:$B, "&lt;"&amp;($A57+1))</f>
        <v>1250.1279999999999</v>
      </c>
      <c r="C57" s="7">
        <f>IFERROR(AVERAGEIFS(Feedback!$C:$C, Feedback!$A:$A, $A57),"")</f>
        <v>4.25</v>
      </c>
      <c r="D57" s="7">
        <f>IFERROR(SUMPRODUCT((WasteLog!$A$2:$A$121=$A57)*WasteLog!$C$2:$C$121*IFERROR(VLOOKUP(WasteLog!$B$2:$B$121,Menu!$A:$E,5,FALSE()),0))/COUNTIFS(WasteLog!$A$2:$A$121,$A57),0)</f>
        <v>28.36</v>
      </c>
      <c r="E57" t="str">
        <f t="shared" si="0"/>
        <v>At Risk</v>
      </c>
    </row>
    <row r="58" spans="1:5">
      <c r="A58" s="5">
        <f t="shared" si="1"/>
        <v>45893</v>
      </c>
      <c r="B58" s="7">
        <f>SUMIFS(Orders!$I:$I, Orders!$B:$B, "&gt;="&amp;$A58, Orders!$B:$B, "&lt;"&amp;($A58+1))</f>
        <v>3195.5708</v>
      </c>
      <c r="C58" s="7">
        <f>IFERROR(AVERAGEIFS(Feedback!$C:$C, Feedback!$A:$A, $A58),"")</f>
        <v>4.666666666666667</v>
      </c>
      <c r="D58" s="7">
        <f>IFERROR(SUMPRODUCT((WasteLog!$A$2:$A$121=$A58)*WasteLog!$C$2:$C$121*IFERROR(VLOOKUP(WasteLog!$B$2:$B$121,Menu!$A:$E,5,FALSE()),0))/COUNTIFS(WasteLog!$A$2:$A$121,$A58),0)</f>
        <v>11.256000000000002</v>
      </c>
      <c r="E58" t="str">
        <f t="shared" si="0"/>
        <v>OK</v>
      </c>
    </row>
    <row r="59" spans="1:5">
      <c r="A59" s="5">
        <f t="shared" si="1"/>
        <v>45894</v>
      </c>
      <c r="B59" s="7">
        <f>SUMIFS(Orders!$I:$I, Orders!$B:$B, "&gt;="&amp;$A59, Orders!$B:$B, "&lt;"&amp;($A59+1))</f>
        <v>3411.9609</v>
      </c>
      <c r="C59" s="7">
        <f>IFERROR(AVERAGEIFS(Feedback!$C:$C, Feedback!$A:$A, $A59),"")</f>
        <v>4</v>
      </c>
      <c r="D59" s="7">
        <f>IFERROR(SUMPRODUCT((WasteLog!$A$2:$A$121=$A59)*WasteLog!$C$2:$C$121*IFERROR(VLOOKUP(WasteLog!$B$2:$B$121,Menu!$A:$E,5,FALSE()),0))/COUNTIFS(WasteLog!$A$2:$A$121,$A59),0)</f>
        <v>71.62</v>
      </c>
      <c r="E59" t="str">
        <f t="shared" si="0"/>
        <v>OK</v>
      </c>
    </row>
    <row r="60" spans="1:5">
      <c r="A60" s="5">
        <f t="shared" si="1"/>
        <v>45895</v>
      </c>
      <c r="B60" s="7">
        <f>SUMIFS(Orders!$I:$I, Orders!$B:$B, "&gt;="&amp;$A60, Orders!$B:$B, "&lt;"&amp;($A60+1))</f>
        <v>5601.9021000000002</v>
      </c>
      <c r="C60" s="7">
        <f>IFERROR(AVERAGEIFS(Feedback!$C:$C, Feedback!$A:$A, $A60),"")</f>
        <v>3.3333333333333335</v>
      </c>
      <c r="D60" s="7">
        <f>IFERROR(SUMPRODUCT((WasteLog!$A$2:$A$121=$A60)*WasteLog!$C$2:$C$121*IFERROR(VLOOKUP(WasteLog!$B$2:$B$121,Menu!$A:$E,5,FALSE()),0))/COUNTIFS(WasteLog!$A$2:$A$121,$A60),0)</f>
        <v>29.6</v>
      </c>
      <c r="E60" t="str">
        <f t="shared" si="0"/>
        <v>OK</v>
      </c>
    </row>
    <row r="61" spans="1:5">
      <c r="A61" s="5">
        <f t="shared" si="1"/>
        <v>45896</v>
      </c>
      <c r="B61" s="7">
        <f>SUMIFS(Orders!$I:$I, Orders!$B:$B, "&gt;="&amp;$A61, Orders!$B:$B, "&lt;"&amp;($A61+1))</f>
        <v>2109.2730000000001</v>
      </c>
      <c r="C61" s="7">
        <f>IFERROR(AVERAGEIFS(Feedback!$C:$C, Feedback!$A:$A, $A61),"")</f>
        <v>4</v>
      </c>
      <c r="D61" s="7">
        <f>IFERROR(SUMPRODUCT((WasteLog!$A$2:$A$121=$A61)*WasteLog!$C$2:$C$121*IFERROR(VLOOKUP(WasteLog!$B$2:$B$121,Menu!$A:$E,5,FALSE()),0))/COUNTIFS(WasteLog!$A$2:$A$121,$A61),0)</f>
        <v>35.81</v>
      </c>
      <c r="E61" t="str">
        <f t="shared" si="0"/>
        <v>OK</v>
      </c>
    </row>
    <row r="62" spans="1:5">
      <c r="A62" s="5">
        <f t="shared" si="1"/>
        <v>45897</v>
      </c>
      <c r="B62" s="7">
        <f>SUMIFS(Orders!$I:$I, Orders!$B:$B, "&gt;="&amp;$A62, Orders!$B:$B, "&lt;"&amp;($A62+1))</f>
        <v>1134.6642000000002</v>
      </c>
      <c r="C62" s="7">
        <f>IFERROR(AVERAGEIFS(Feedback!$C:$C, Feedback!$A:$A, $A62),"")</f>
        <v>3</v>
      </c>
      <c r="D62" s="7">
        <f>IFERROR(SUMPRODUCT((WasteLog!$A$2:$A$121=$A62)*WasteLog!$C$2:$C$121*IFERROR(VLOOKUP(WasteLog!$B$2:$B$121,Menu!$A:$E,5,FALSE()),0))/COUNTIFS(WasteLog!$A$2:$A$121,$A62),0)</f>
        <v>0</v>
      </c>
      <c r="E62" t="str">
        <f t="shared" si="0"/>
        <v>At Risk</v>
      </c>
    </row>
    <row r="63" spans="1:5">
      <c r="A63" s="5">
        <f t="shared" si="1"/>
        <v>45898</v>
      </c>
      <c r="B63" s="7">
        <f>SUMIFS(Orders!$I:$I, Orders!$B:$B, "&gt;="&amp;$A63, Orders!$B:$B, "&lt;"&amp;($A63+1))</f>
        <v>1445.0394000000001</v>
      </c>
      <c r="C63" s="7" t="str">
        <f>IFERROR(AVERAGEIFS(Feedback!$C:$C, Feedback!$A:$A, $A63),"")</f>
        <v/>
      </c>
      <c r="D63" s="7">
        <f>IFERROR(SUMPRODUCT((WasteLog!$A$2:$A$121=$A63)*WasteLog!$C$2:$C$121*IFERROR(VLOOKUP(WasteLog!$B$2:$B$121,Menu!$A:$E,5,FALSE()),0))/COUNTIFS(WasteLog!$A$2:$A$121,$A63),0)</f>
        <v>0</v>
      </c>
      <c r="E63" t="str">
        <f t="shared" si="0"/>
        <v>At Risk</v>
      </c>
    </row>
  </sheetData>
  <conditionalFormatting sqref="A4:E63">
    <cfRule type="expression" dxfId="0" priority="1">
      <formula>$E4="At Risk"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6B1A-21F1-4B6E-BF51-FEF7CA740BC4}">
  <dimension ref="A1:C4"/>
  <sheetViews>
    <sheetView workbookViewId="0">
      <selection activeCell="A3" sqref="A3"/>
    </sheetView>
  </sheetViews>
  <sheetFormatPr defaultRowHeight="14.4"/>
  <cols>
    <col min="1" max="1" width="21.6640625" bestFit="1" customWidth="1"/>
    <col min="2" max="2" width="22.44140625" bestFit="1" customWidth="1"/>
    <col min="3" max="3" width="8.33203125" bestFit="1" customWidth="1"/>
  </cols>
  <sheetData>
    <row r="1" spans="1:3">
      <c r="A1" s="4" t="s">
        <v>558</v>
      </c>
    </row>
    <row r="3" spans="1:3">
      <c r="A3" s="4" t="s">
        <v>398</v>
      </c>
      <c r="B3" s="4" t="s">
        <v>560</v>
      </c>
      <c r="C3" s="4" t="s">
        <v>559</v>
      </c>
    </row>
    <row r="4" spans="1:3">
      <c r="A4" t="s">
        <v>416</v>
      </c>
      <c r="B4" t="s">
        <v>400</v>
      </c>
      <c r="C4">
        <f>INDEX(Menu!A:F, MATCH(A4, Menu!A:A, 0), MATCH(B4, Menu!A1:F1, 0))</f>
        <v>227.61</v>
      </c>
    </row>
  </sheetData>
  <dataValidations count="1">
    <dataValidation type="list" allowBlank="1" showInputMessage="1" showErrorMessage="1" sqref="B4" xr:uid="{6D95F554-0C6B-46CB-9D23-A02439CAA861}">
      <formula1>"UnitPrice,UnitCost"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51274F-C4CB-4292-9265-5A964E9590E4}">
          <x14:formula1>
            <xm:f>Menu!$A$2:$A$20</xm:f>
          </x14:formula1>
          <xm:sqref>A4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E454-B9AC-415A-976D-E58E926CEBEF}">
  <dimension ref="A1:I64"/>
  <sheetViews>
    <sheetView tabSelected="1" workbookViewId="0">
      <selection activeCell="B56" sqref="B56"/>
    </sheetView>
  </sheetViews>
  <sheetFormatPr defaultRowHeight="14.4"/>
  <cols>
    <col min="1" max="1" width="31.21875" bestFit="1" customWidth="1"/>
    <col min="2" max="2" width="33.109375" bestFit="1" customWidth="1"/>
    <col min="3" max="3" width="18.44140625" bestFit="1" customWidth="1"/>
    <col min="4" max="4" width="24.88671875" bestFit="1" customWidth="1"/>
    <col min="5" max="5" width="8.77734375" bestFit="1" customWidth="1"/>
  </cols>
  <sheetData>
    <row r="1" spans="1:9" ht="28.8">
      <c r="A1" s="39" t="s">
        <v>561</v>
      </c>
      <c r="B1" s="39"/>
      <c r="C1" s="39"/>
      <c r="D1" s="39"/>
      <c r="E1" s="39"/>
      <c r="F1" s="39"/>
      <c r="G1" s="41"/>
      <c r="H1" s="41"/>
      <c r="I1" s="41"/>
    </row>
    <row r="2" spans="1:9" ht="14.4" customHeight="1"/>
    <row r="3" spans="1:9" ht="15.6" customHeight="1">
      <c r="A3" s="40" t="s">
        <v>562</v>
      </c>
      <c r="B3" s="40"/>
      <c r="C3" s="40"/>
      <c r="D3" s="40"/>
      <c r="E3" s="40"/>
      <c r="F3" s="40"/>
      <c r="G3" s="42"/>
      <c r="H3" s="42"/>
      <c r="I3" s="42"/>
    </row>
    <row r="4" spans="1:9" ht="14.4" customHeight="1">
      <c r="A4" s="21" t="s">
        <v>564</v>
      </c>
      <c r="B4" s="38" t="s">
        <v>565</v>
      </c>
      <c r="D4" s="4" t="s">
        <v>566</v>
      </c>
      <c r="E4" s="38" t="s">
        <v>565</v>
      </c>
    </row>
    <row r="6" spans="1:9" ht="23.4" customHeight="1">
      <c r="A6" s="20" t="s">
        <v>567</v>
      </c>
      <c r="B6" s="22"/>
    </row>
    <row r="7" spans="1:9" ht="14.4" customHeight="1">
      <c r="A7" s="26"/>
      <c r="B7" s="22"/>
    </row>
    <row r="8" spans="1:9">
      <c r="A8" s="4" t="s">
        <v>568</v>
      </c>
      <c r="B8" s="4" t="s">
        <v>528</v>
      </c>
    </row>
    <row r="9" spans="1:9">
      <c r="A9" s="4" t="s">
        <v>569</v>
      </c>
      <c r="B9">
        <f>COUNTIFS(OrdersCalc!$D$2:$D$361,"Combo",OrdersCalc!$B$2:$B$361,IF($B$4="All","*",$B$4),OrdersCalc!$C$2:$C$361,IF($E$4="All","*",$E$4))</f>
        <v>86</v>
      </c>
    </row>
    <row r="10" spans="1:9">
      <c r="A10" s="4" t="s">
        <v>570</v>
      </c>
      <c r="B10" s="6">
        <f>IFERROR(B9/COUNTIFS(OrdersCalc!$B$2:$B$361,IF($B$4="All","*",$B$4),OrdersCalc!$C$2:$C$361,IF($E$4="All","*",$E$4)),0)</f>
        <v>0.2388888888888889</v>
      </c>
    </row>
    <row r="11" spans="1:9">
      <c r="A11" s="4" t="s">
        <v>571</v>
      </c>
      <c r="B11" s="25">
        <f>IFERROR(AVERAGEIFS(OrdersCalc!$E$2:$E$361,OrdersCalc!$D$2:$D$361,"Combo",OrdersCalc!$B$2:$B$361,IF($B$4="All","*",$B$4),OrdersCalc!$C$2:$C$361,IF($E$4="All","*",$E$4)),0)</f>
        <v>544.19233372093049</v>
      </c>
    </row>
    <row r="12" spans="1:9">
      <c r="A12" s="4" t="s">
        <v>572</v>
      </c>
      <c r="B12" s="25">
        <f>IFERROR(AVERAGEIFS(OrdersCalc!$G$2:$G$361,OrdersCalc!$D$2:$D$361,"Combo",OrdersCalc!$B$2:$B$361,IF($B$4="All","*",$B$4),OrdersCalc!$C$2:$C$361,IF($E$4="All","*",$E$4)),0)</f>
        <v>278.79768255813946</v>
      </c>
    </row>
    <row r="14" spans="1:9" ht="25.8">
      <c r="A14" s="20" t="s">
        <v>589</v>
      </c>
    </row>
    <row r="16" spans="1:9">
      <c r="A16" s="28" t="s">
        <v>568</v>
      </c>
      <c r="B16" s="29" t="s">
        <v>594</v>
      </c>
      <c r="C16" s="29" t="s">
        <v>595</v>
      </c>
      <c r="D16" s="29" t="s">
        <v>596</v>
      </c>
    </row>
    <row r="17" spans="1:4">
      <c r="A17" s="27" t="s">
        <v>590</v>
      </c>
      <c r="B17" s="25">
        <f>IFERROR(AVERAGEIFS(OrdersCalc!$E$2:$E$361,OrdersCalc!$D$2:$D$361,"Combo",OrdersCalc!$B$2:$B$361,IF($B$4="All","*",$B$4),OrdersCalc!$C$2:$C$361,IF($E$4="All","*",$E$4)),0)</f>
        <v>544.19233372093049</v>
      </c>
      <c r="C17" s="25">
        <f>IFERROR(AVERAGEIFS(OrdersCalc!$E$2:$E$361,OrdersCalc!$D$2:$D$361,"Single",OrdersCalc!$B$2:$B$361,IF($B$4="All","*",$B$4),OrdersCalc!$C$2:$C$361,IF($E$4="All","*",$E$4)),0)</f>
        <v>313.31054708029222</v>
      </c>
      <c r="D17" s="25">
        <f>Table18[[#This Row],[Combo Orders]]-Table18[[#This Row],[Single Orders]]</f>
        <v>230.88178664063827</v>
      </c>
    </row>
    <row r="18" spans="1:4">
      <c r="A18" s="27" t="s">
        <v>591</v>
      </c>
      <c r="B18" s="25">
        <f>IFERROR(AVERAGEIFS(OrdersCalc!$F$2:$F$361,OrdersCalc!$D$2:$D$361,"Combo",OrdersCalc!$B$2:$B$361,IF($B$4="All","*",$B$4),OrdersCalc!$C$2:$C$361,IF($E$4="All","*",$E$4)),0)</f>
        <v>265.39465116279069</v>
      </c>
      <c r="C18" s="25">
        <f>IFERROR(AVERAGEIFS(OrdersCalc!$F$2:$F$361,OrdersCalc!$D$2:$D$361,"Single",OrdersCalc!$B$2:$B$361,IF($B$4="All","*",$B$4),OrdersCalc!$C$2:$C$361,IF($E$4="All","*",$E$4)),0)</f>
        <v>154.4721167883211</v>
      </c>
      <c r="D18" s="25">
        <f>Table18[[#This Row],[Combo Orders]]-Table18[[#This Row],[Single Orders]]</f>
        <v>110.92253437446959</v>
      </c>
    </row>
    <row r="19" spans="1:4">
      <c r="A19" s="27" t="s">
        <v>592</v>
      </c>
      <c r="B19" s="25">
        <f>IFERROR(AVERAGEIFS(OrdersCalc!$G$2:$G$361,OrdersCalc!$D$2:$D$361,"Combo",OrdersCalc!$B$2:$B$361,IF($B$4="All","*",$B$4),OrdersCalc!$C$2:$C$361,IF($E$4="All","*",$E$4)),0)</f>
        <v>278.79768255813946</v>
      </c>
      <c r="C19" s="25">
        <f>IFERROR(AVERAGEIFS(OrdersCalc!$G$2:$G$361,OrdersCalc!$D$2:$D$361,"Single",OrdersCalc!$B$2:$B$361,IF($B$4="All","*",$B$4),OrdersCalc!$C$2:$C$361,IF($E$4="All","*",$E$4)),0)</f>
        <v>158.83843029197089</v>
      </c>
      <c r="D19" s="25">
        <f>Table18[[#This Row],[Combo Orders]]-Table18[[#This Row],[Single Orders]]</f>
        <v>119.95925226616856</v>
      </c>
    </row>
    <row r="20" spans="1:4">
      <c r="A20" s="27" t="s">
        <v>593</v>
      </c>
      <c r="B20" s="6">
        <f>IFERROR(SUMIFS(OrdersCalc!$G$2:$G$361,OrdersCalc!$D$2:$D$361,"Combo",OrdersCalc!$B$2:$B$361,IF($B$4="All","*",$B$4),OrdersCalc!$C$2:$C$361,IF($E$4="All","*",$E$4))/SUMIFS(OrdersCalc!$E$2:$E$361,OrdersCalc!$D$2:$D$361,"Combo",OrdersCalc!$B$2:$B$361,IF($B$4="All","*",$B$4),OrdersCalc!$C$2:$C$361,IF($E$4="All","*",$E$4)),0)</f>
        <v>0.51231460879254287</v>
      </c>
      <c r="C20" s="6">
        <f>IFERROR(SUMIFS(OrdersCalc!$G$2:$G$361,OrdersCalc!$D$2:$D$361,"Single",OrdersCalc!$B$2:$B$361,IF($B$4="All","*",$B$4),OrdersCalc!$C$2:$C$361,IF($E$4="All","*",$E$4))/SUMIFS(OrdersCalc!$E$2:$E$361,OrdersCalc!$D$2:$D$361,"Single",OrdersCalc!$B$2:$B$361,IF($B$4="All","*",$B$4),OrdersCalc!$C$2:$C$361,IF($E$4="All","*",$E$4)),0)</f>
        <v>0.50696802827791598</v>
      </c>
      <c r="D20" s="6">
        <f>Table18[[#This Row],[Combo Orders]]-Table18[[#This Row],[Single Orders]]</f>
        <v>5.3465805146268863E-3</v>
      </c>
    </row>
    <row r="22" spans="1:4" ht="25.8">
      <c r="A22" s="20" t="s">
        <v>599</v>
      </c>
    </row>
    <row r="24" spans="1:4">
      <c r="A24" s="28" t="s">
        <v>2</v>
      </c>
      <c r="B24" s="29" t="s">
        <v>597</v>
      </c>
      <c r="C24" s="29" t="s">
        <v>594</v>
      </c>
      <c r="D24" s="29" t="s">
        <v>598</v>
      </c>
    </row>
    <row r="25" spans="1:4">
      <c r="A25" s="27" t="s">
        <v>27</v>
      </c>
      <c r="B25">
        <f>COUNTIFS(OrdersCalc!$B$2:$B$361,A25,OrdersCalc!$C$2:$C$361,IF($E$4="All","*",$E$4))</f>
        <v>109</v>
      </c>
      <c r="C25">
        <f>COUNTIFS(OrdersCalc!$B$2:$B$361,A25,OrdersCalc!$D$2:$D$361,"Combo",OrdersCalc!$C$2:$C$361,IF($E$4="All","*",$E$4))</f>
        <v>15</v>
      </c>
      <c r="D25" s="6">
        <f>IFERROR(C25/B25,0)</f>
        <v>0.13761467889908258</v>
      </c>
    </row>
    <row r="26" spans="1:4">
      <c r="A26" s="27" t="s">
        <v>15</v>
      </c>
      <c r="B26">
        <f>COUNTIFS(OrdersCalc!$B$2:$B$361,A26,OrdersCalc!$C$2:$C$361,IF($E$4="All","*",$E$4))</f>
        <v>130</v>
      </c>
      <c r="C26">
        <f>COUNTIFS(OrdersCalc!$B$2:$B$361,A26,OrdersCalc!$D$2:$D$361,"Combo",OrdersCalc!$C$2:$C$361,IF($E$4="All","*",$E$4))</f>
        <v>36</v>
      </c>
      <c r="D26" s="6">
        <f t="shared" ref="D26:D27" si="0">IFERROR(C26/B26,0)</f>
        <v>0.27692307692307694</v>
      </c>
    </row>
    <row r="27" spans="1:4">
      <c r="A27" s="27" t="s">
        <v>9</v>
      </c>
      <c r="B27">
        <f>COUNTIFS(OrdersCalc!$B$2:$B$361,A27,OrdersCalc!$C$2:$C$361,IF($E$4="All","*",$E$4))</f>
        <v>121</v>
      </c>
      <c r="C27">
        <f>COUNTIFS(OrdersCalc!$B$2:$B$361,A27,OrdersCalc!$D$2:$D$361,"Combo",OrdersCalc!$C$2:$C$361,IF($E$4="All","*",$E$4))</f>
        <v>35</v>
      </c>
      <c r="D27" s="6">
        <f t="shared" si="0"/>
        <v>0.28925619834710742</v>
      </c>
    </row>
    <row r="29" spans="1:4" ht="25.8">
      <c r="A29" s="30" t="s">
        <v>600</v>
      </c>
    </row>
    <row r="31" spans="1:4">
      <c r="A31" s="28" t="s">
        <v>5</v>
      </c>
      <c r="B31" s="29" t="s">
        <v>597</v>
      </c>
      <c r="C31" s="29" t="s">
        <v>594</v>
      </c>
      <c r="D31" s="29" t="s">
        <v>598</v>
      </c>
    </row>
    <row r="32" spans="1:4">
      <c r="A32" s="27" t="s">
        <v>12</v>
      </c>
      <c r="B32">
        <f>COUNTIFS(OrdersCalc!$C$2:$C$361,A32,OrdersCalc!$B$2:$B$361,IF($B$4="All","*",$B$4))</f>
        <v>177</v>
      </c>
      <c r="C32">
        <f>COUNTIFS(OrdersCalc!$C$2:$C$361,A32,OrdersCalc!$D$2:$D$361,"Combo",OrdersCalc!$B$2:$B$361,IF($B$4="All","*",$B$4))</f>
        <v>40</v>
      </c>
      <c r="D32" s="6">
        <f>IFERROR(C32/B32,0)</f>
        <v>0.22598870056497175</v>
      </c>
    </row>
    <row r="33" spans="1:4">
      <c r="A33" s="27" t="s">
        <v>22</v>
      </c>
      <c r="B33">
        <f>COUNTIFS(OrdersCalc!$C$2:$C$361,A33,OrdersCalc!$B$2:$B$361,IF($B$4="All","*",$B$4))</f>
        <v>73</v>
      </c>
      <c r="C33">
        <f>COUNTIFS(OrdersCalc!$C$2:$C$361,A33,OrdersCalc!$D$2:$D$361,"Combo",OrdersCalc!$B$2:$B$361,IF($B$4="All","*",$B$4))</f>
        <v>15</v>
      </c>
      <c r="D33" s="6">
        <f t="shared" ref="D33:D34" si="1">IFERROR(C33/B33,0)</f>
        <v>0.20547945205479451</v>
      </c>
    </row>
    <row r="34" spans="1:4">
      <c r="A34" s="27" t="s">
        <v>18</v>
      </c>
      <c r="B34">
        <f>COUNTIFS(OrdersCalc!$C$2:$C$361,A34,OrdersCalc!$B$2:$B$361,IF($B$4="All","*",$B$4))</f>
        <v>110</v>
      </c>
      <c r="C34">
        <f>COUNTIFS(OrdersCalc!$C$2:$C$361,A34,OrdersCalc!$D$2:$D$361,"Combo",OrdersCalc!$B$2:$B$361,IF($B$4="All","*",$B$4))</f>
        <v>31</v>
      </c>
      <c r="D34" s="6">
        <f t="shared" si="1"/>
        <v>0.2818181818181818</v>
      </c>
    </row>
    <row r="36" spans="1:4" ht="25.8">
      <c r="A36" s="30" t="s">
        <v>601</v>
      </c>
    </row>
    <row r="38" spans="1:4">
      <c r="A38" s="28" t="s">
        <v>545</v>
      </c>
      <c r="B38" s="29" t="s">
        <v>602</v>
      </c>
      <c r="C38" s="29" t="s">
        <v>603</v>
      </c>
    </row>
    <row r="39" spans="1:4">
      <c r="A39" s="36">
        <v>1</v>
      </c>
      <c r="B39" t="str">
        <f>INDEX(OrdersCalc!$K$2:$K$16,MATCH(A39,OrdersCalc!$M$2:$M$16,0))</f>
        <v>Beverage</v>
      </c>
      <c r="C39">
        <f>INDEX(OrdersCalc!$L$2:$L$16,MATCH(A39,OrdersCalc!$M$2:$M$16,0))</f>
        <v>34</v>
      </c>
    </row>
    <row r="40" spans="1:4">
      <c r="A40" s="36">
        <v>2</v>
      </c>
      <c r="B40" t="str">
        <f>INDEX(OrdersCalc!$K$2:$K$16,MATCH(A40,OrdersCalc!$M$2:$M$16,0))</f>
        <v>Beverage + Snack</v>
      </c>
      <c r="C40">
        <f>INDEX(OrdersCalc!$L$2:$L$16,MATCH(A40,OrdersCalc!$M$2:$M$16,0))</f>
        <v>31</v>
      </c>
    </row>
    <row r="41" spans="1:4">
      <c r="A41" s="36">
        <v>3</v>
      </c>
      <c r="B41" t="str">
        <f>INDEX(OrdersCalc!$K$2:$K$16,MATCH(A41,OrdersCalc!$M$2:$M$16,0))</f>
        <v>Snack</v>
      </c>
      <c r="C41">
        <f>INDEX(OrdersCalc!$L$2:$L$16,MATCH(A41,OrdersCalc!$M$2:$M$16,0))</f>
        <v>29</v>
      </c>
    </row>
    <row r="42" spans="1:4">
      <c r="A42" s="36">
        <v>4</v>
      </c>
      <c r="B42" t="str">
        <f>INDEX(OrdersCalc!$K$2:$K$16,MATCH(A42,OrdersCalc!$M$2:$M$16,0))</f>
        <v>Hot Meal + Snack</v>
      </c>
      <c r="C42">
        <f>INDEX(OrdersCalc!$L$2:$L$16,MATCH(A42,OrdersCalc!$M$2:$M$16,0))</f>
        <v>28</v>
      </c>
    </row>
    <row r="43" spans="1:4">
      <c r="A43" s="36">
        <v>5</v>
      </c>
      <c r="B43" t="str">
        <f>INDEX(OrdersCalc!$K$2:$K$16,MATCH(A43,OrdersCalc!$M$2:$M$16,0))</f>
        <v>Hot Meal</v>
      </c>
      <c r="C43">
        <f>INDEX(OrdersCalc!$L$2:$L$16,MATCH(A43,OrdersCalc!$M$2:$M$16,0))</f>
        <v>27</v>
      </c>
    </row>
    <row r="44" spans="1:4">
      <c r="A44" s="36">
        <v>6</v>
      </c>
      <c r="B44" t="str">
        <f>INDEX(OrdersCalc!$K$2:$K$16,MATCH(A44,OrdersCalc!$M$2:$M$16,0))</f>
        <v>Dessert + Hot Meal</v>
      </c>
      <c r="C44">
        <f>INDEX(OrdersCalc!$L$2:$L$16,MATCH(A44,OrdersCalc!$M$2:$M$16,0))</f>
        <v>27</v>
      </c>
    </row>
    <row r="45" spans="1:4">
      <c r="A45" s="36">
        <v>7</v>
      </c>
      <c r="B45" t="str">
        <f>INDEX(OrdersCalc!$K$2:$K$16,MATCH(A45,OrdersCalc!$M$2:$M$16,0))</f>
        <v>Beverage + Dessert + Hot Meal</v>
      </c>
      <c r="C45">
        <f>INDEX(OrdersCalc!$L$2:$L$16,MATCH(A45,OrdersCalc!$M$2:$M$16,0))</f>
        <v>27</v>
      </c>
    </row>
    <row r="46" spans="1:4">
      <c r="A46" s="36">
        <v>8</v>
      </c>
      <c r="B46" t="str">
        <f>INDEX(OrdersCalc!$K$2:$K$16,MATCH(A46,OrdersCalc!$M$2:$M$16,0))</f>
        <v>Beverage + Hot Meal</v>
      </c>
      <c r="C46">
        <f>INDEX(OrdersCalc!$L$2:$L$16,MATCH(A46,OrdersCalc!$M$2:$M$16,0))</f>
        <v>25</v>
      </c>
    </row>
    <row r="47" spans="1:4">
      <c r="A47" s="36">
        <v>9</v>
      </c>
      <c r="B47" t="str">
        <f>INDEX(OrdersCalc!$K$2:$K$16,MATCH(A47,OrdersCalc!$M$2:$M$16,0))</f>
        <v>Beverage + Hot Meal + Snack</v>
      </c>
      <c r="C47">
        <f>INDEX(OrdersCalc!$L$2:$L$16,MATCH(A47,OrdersCalc!$M$2:$M$16,0))</f>
        <v>25</v>
      </c>
    </row>
    <row r="48" spans="1:4">
      <c r="A48" s="36">
        <v>10</v>
      </c>
      <c r="B48" t="str">
        <f>INDEX(OrdersCalc!$K$2:$K$16,MATCH(A48,OrdersCalc!$M$2:$M$16,0))</f>
        <v>Beverage + Dessert</v>
      </c>
      <c r="C48">
        <f>INDEX(OrdersCalc!$L$2:$L$16,MATCH(A48,OrdersCalc!$M$2:$M$16,0))</f>
        <v>23</v>
      </c>
    </row>
    <row r="49" spans="1:3">
      <c r="A49" s="36">
        <v>11</v>
      </c>
      <c r="B49" t="str">
        <f>INDEX(OrdersCalc!$K$2:$K$16,MATCH(A49,OrdersCalc!$M$2:$M$16,0))</f>
        <v>Dessert + Hot Meal + Snack</v>
      </c>
      <c r="C49">
        <f>INDEX(OrdersCalc!$L$2:$L$16,MATCH(A49,OrdersCalc!$M$2:$M$16,0))</f>
        <v>23</v>
      </c>
    </row>
    <row r="50" spans="1:3">
      <c r="A50" s="36">
        <v>12</v>
      </c>
      <c r="B50" t="str">
        <f>INDEX(OrdersCalc!$K$2:$K$16,MATCH(A50,OrdersCalc!$M$2:$M$16,0))</f>
        <v>Beverage + Dessert + Snack</v>
      </c>
      <c r="C50">
        <f>INDEX(OrdersCalc!$L$2:$L$16,MATCH(A50,OrdersCalc!$M$2:$M$16,0))</f>
        <v>22</v>
      </c>
    </row>
    <row r="51" spans="1:3">
      <c r="A51" s="36">
        <v>13</v>
      </c>
      <c r="B51" t="str">
        <f>INDEX(OrdersCalc!$K$2:$K$16,MATCH(A51,OrdersCalc!$M$2:$M$16,0))</f>
        <v>Dessert + Snack</v>
      </c>
      <c r="C51">
        <f>INDEX(OrdersCalc!$L$2:$L$16,MATCH(A51,OrdersCalc!$M$2:$M$16,0))</f>
        <v>18</v>
      </c>
    </row>
    <row r="52" spans="1:3">
      <c r="A52" s="36">
        <v>14</v>
      </c>
      <c r="B52" t="str">
        <f>INDEX(OrdersCalc!$K$2:$K$16,MATCH(A52,OrdersCalc!$M$2:$M$16,0))</f>
        <v>Dessert</v>
      </c>
      <c r="C52">
        <f>INDEX(OrdersCalc!$L$2:$L$16,MATCH(A52,OrdersCalc!$M$2:$M$16,0))</f>
        <v>12</v>
      </c>
    </row>
    <row r="53" spans="1:3">
      <c r="A53" s="36">
        <v>15</v>
      </c>
      <c r="B53" t="str">
        <f>INDEX(OrdersCalc!$K$2:$K$16,MATCH(A53,OrdersCalc!$M$2:$M$16,0))</f>
        <v>Beverage + Dessert + Hot Meal + Snack</v>
      </c>
      <c r="C53">
        <f>INDEX(OrdersCalc!$L$2:$L$16,MATCH(A53,OrdersCalc!$M$2:$M$16,0))</f>
        <v>9</v>
      </c>
    </row>
    <row r="55" spans="1:3" ht="25.8">
      <c r="A55" s="20" t="s">
        <v>604</v>
      </c>
    </row>
    <row r="56" spans="1:3">
      <c r="A56" s="33" t="s">
        <v>605</v>
      </c>
      <c r="B56" s="31" t="s">
        <v>424</v>
      </c>
    </row>
    <row r="57" spans="1:3">
      <c r="A57" s="33" t="s">
        <v>606</v>
      </c>
      <c r="B57" s="31" t="s">
        <v>443</v>
      </c>
    </row>
    <row r="58" spans="1:3">
      <c r="A58" s="33" t="s">
        <v>607</v>
      </c>
      <c r="B58" s="32">
        <v>0.1</v>
      </c>
    </row>
    <row r="60" spans="1:3">
      <c r="A60" s="33" t="s">
        <v>608</v>
      </c>
      <c r="B60" s="37">
        <f>((VLOOKUP($B$56,Menu!$B$2:$F$20,5,0)+VLOOKUP($B$57,Menu!$B$2:$F$20,5,0))*(1-$B$58))</f>
        <v>232.155</v>
      </c>
    </row>
    <row r="61" spans="1:3">
      <c r="A61" s="33" t="s">
        <v>609</v>
      </c>
      <c r="B61" s="37">
        <f>(VLOOKUP($B$56,Menu!$B$2:$F$20,4,0)+VLOOKUP($B$57,Menu!$B$2:$F$20,4,0))</f>
        <v>110.4</v>
      </c>
    </row>
    <row r="62" spans="1:3">
      <c r="A62" s="33" t="s">
        <v>610</v>
      </c>
      <c r="B62" s="37">
        <f>B60-B61</f>
        <v>121.755</v>
      </c>
    </row>
    <row r="63" spans="1:3">
      <c r="A63" s="33" t="s">
        <v>593</v>
      </c>
      <c r="B63" s="35">
        <f>IFERROR(B62/B60,0)</f>
        <v>0.52445564385862886</v>
      </c>
    </row>
    <row r="64" spans="1:3">
      <c r="A64" s="33" t="s">
        <v>611</v>
      </c>
      <c r="B64" s="34">
        <f>VLOOKUP(INDEX(Menu!$A$2:$A$20,MATCH($B$57,Menu!$B$2:$B$20,0)),Inventory!$A$2:$B$20,2,0)</f>
        <v>84</v>
      </c>
    </row>
  </sheetData>
  <mergeCells count="1">
    <mergeCell ref="A1:F1"/>
  </mergeCells>
  <dataValidations count="2">
    <dataValidation type="list" allowBlank="1" showInputMessage="1" showErrorMessage="1" sqref="B4" xr:uid="{F7D5719F-4F39-46D3-9899-F97E9EECE150}">
      <formula1>"All,Plant 1 Canteen,Plant 2 Canteen,Head Office Café"</formula1>
    </dataValidation>
    <dataValidation type="list" allowBlank="1" showInputMessage="1" showErrorMessage="1" sqref="E4" xr:uid="{81199DB3-C5D6-456D-858C-073355A6E270}">
      <formula1>"All,Breakfast,Lunch,Dinner"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002ECE-5A58-4A40-9741-53BED9EECB46}">
          <x14:formula1>
            <xm:f>Menu!$B$2:$B$6</xm:f>
          </x14:formula1>
          <xm:sqref>B56</xm:sqref>
        </x14:dataValidation>
        <x14:dataValidation type="list" allowBlank="1" showInputMessage="1" showErrorMessage="1" xr:uid="{E8BE3C4C-31F6-4AA8-A7DD-67DE2ED6C0E7}">
          <x14:formula1>
            <xm:f>Menu!$B$12:$B$16</xm:f>
          </x14:formula1>
          <xm:sqref>B57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Orders</vt:lpstr>
      <vt:lpstr>OrderLines</vt:lpstr>
      <vt:lpstr>OrdersCalc</vt:lpstr>
      <vt:lpstr>Menu</vt:lpstr>
      <vt:lpstr>Staff</vt:lpstr>
      <vt:lpstr>Inventory</vt:lpstr>
      <vt:lpstr>Suppliers</vt:lpstr>
      <vt:lpstr>WasteLog</vt:lpstr>
      <vt:lpstr>Feedback</vt:lpstr>
      <vt:lpstr>KPI Calculations (Day 2)</vt:lpstr>
      <vt:lpstr>Gross Margin Analysis (Day 4 )</vt:lpstr>
      <vt:lpstr>Daily Performance (Day 5)</vt:lpstr>
      <vt:lpstr>Dynamic Value Retrieval (Day 6)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2026-07-03T05:03:56Z</dcterms:modified>
</cp:coreProperties>
</file>