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7da4e9c8a47fea5/Documents/Excel Internship/Day 4 Task/"/>
    </mc:Choice>
  </mc:AlternateContent>
  <xr:revisionPtr revIDLastSave="0" documentId="8_{042E87FE-D8E5-45B1-B1CE-6841CE1B5D9C}" xr6:coauthVersionLast="47" xr6:coauthVersionMax="47" xr10:uidLastSave="{00000000-0000-0000-0000-000000000000}"/>
  <bookViews>
    <workbookView xWindow="-108" yWindow="-108" windowWidth="23256" windowHeight="12456" firstSheet="3" activeTab="9" xr2:uid="{AB70DA44-5AC3-47E7-8979-50359B0C1B0D}"/>
  </bookViews>
  <sheets>
    <sheet name="Orders" sheetId="1" r:id="rId1"/>
    <sheet name="OrderLines" sheetId="2" r:id="rId2"/>
    <sheet name="Menu" sheetId="3" r:id="rId3"/>
    <sheet name="Staff" sheetId="4" r:id="rId4"/>
    <sheet name="Inventory" sheetId="5" r:id="rId5"/>
    <sheet name="Suppliers" sheetId="6" r:id="rId6"/>
    <sheet name="WasteLog" sheetId="7" r:id="rId7"/>
    <sheet name="Feedback" sheetId="8" r:id="rId8"/>
    <sheet name="KPI Calculations (Day 2)" sheetId="9" r:id="rId9"/>
    <sheet name="Gross Margin Analysis (Day 4 )" sheetId="1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11" l="1"/>
  <c r="E29" i="11"/>
  <c r="D31" i="11"/>
  <c r="D29" i="11"/>
  <c r="C30" i="11"/>
  <c r="C31" i="11"/>
  <c r="C29" i="11"/>
  <c r="B30" i="11"/>
  <c r="D30" i="11" s="1"/>
  <c r="E30" i="11" s="1"/>
  <c r="B31" i="11"/>
  <c r="B29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14" i="1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F3" i="2"/>
  <c r="J3" i="1" s="1"/>
  <c r="F4" i="2"/>
  <c r="F5" i="2"/>
  <c r="F6" i="2"/>
  <c r="F7" i="2"/>
  <c r="F8" i="2"/>
  <c r="F9" i="2"/>
  <c r="J5" i="1" s="1"/>
  <c r="F10" i="2"/>
  <c r="F11" i="2"/>
  <c r="F12" i="2"/>
  <c r="J7" i="1" s="1"/>
  <c r="F13" i="2"/>
  <c r="H8" i="1" s="1"/>
  <c r="F14" i="2"/>
  <c r="F15" i="2"/>
  <c r="H9" i="1" s="1"/>
  <c r="F16" i="2"/>
  <c r="F17" i="2"/>
  <c r="F18" i="2"/>
  <c r="H10" i="1" s="1"/>
  <c r="F19" i="2"/>
  <c r="F20" i="2"/>
  <c r="F21" i="2"/>
  <c r="H11" i="1" s="1"/>
  <c r="F22" i="2"/>
  <c r="F23" i="2"/>
  <c r="F24" i="2"/>
  <c r="F25" i="2"/>
  <c r="J12" i="1" s="1"/>
  <c r="F26" i="2"/>
  <c r="F27" i="2"/>
  <c r="F28" i="2"/>
  <c r="J14" i="1" s="1"/>
  <c r="F29" i="2"/>
  <c r="F30" i="2"/>
  <c r="F31" i="2"/>
  <c r="F32" i="2"/>
  <c r="F33" i="2"/>
  <c r="F34" i="2"/>
  <c r="F35" i="2"/>
  <c r="F36" i="2"/>
  <c r="F37" i="2"/>
  <c r="F38" i="2"/>
  <c r="H17" i="1" s="1"/>
  <c r="F39" i="2"/>
  <c r="F40" i="2"/>
  <c r="F41" i="2"/>
  <c r="F42" i="2"/>
  <c r="J18" i="1" s="1"/>
  <c r="F43" i="2"/>
  <c r="H19" i="1" s="1"/>
  <c r="F44" i="2"/>
  <c r="F45" i="2"/>
  <c r="F46" i="2"/>
  <c r="F47" i="2"/>
  <c r="F48" i="2"/>
  <c r="F49" i="2"/>
  <c r="F50" i="2"/>
  <c r="F51" i="2"/>
  <c r="F52" i="2"/>
  <c r="J22" i="1" s="1"/>
  <c r="F53" i="2"/>
  <c r="F54" i="2"/>
  <c r="F55" i="2"/>
  <c r="H23" i="1" s="1"/>
  <c r="F56" i="2"/>
  <c r="F57" i="2"/>
  <c r="F58" i="2"/>
  <c r="J24" i="1" s="1"/>
  <c r="F59" i="2"/>
  <c r="F60" i="2"/>
  <c r="J25" i="1" s="1"/>
  <c r="F61" i="2"/>
  <c r="J26" i="1" s="1"/>
  <c r="F62" i="2"/>
  <c r="J27" i="1" s="1"/>
  <c r="F63" i="2"/>
  <c r="F64" i="2"/>
  <c r="F65" i="2"/>
  <c r="F66" i="2"/>
  <c r="F67" i="2"/>
  <c r="F68" i="2"/>
  <c r="J29" i="1" s="1"/>
  <c r="F69" i="2"/>
  <c r="F70" i="2"/>
  <c r="F71" i="2"/>
  <c r="F72" i="2"/>
  <c r="J30" i="1" s="1"/>
  <c r="F73" i="2"/>
  <c r="F74" i="2"/>
  <c r="F75" i="2"/>
  <c r="F76" i="2"/>
  <c r="J32" i="1" s="1"/>
  <c r="F77" i="2"/>
  <c r="F78" i="2"/>
  <c r="F79" i="2"/>
  <c r="H33" i="1" s="1"/>
  <c r="F80" i="2"/>
  <c r="F81" i="2"/>
  <c r="F82" i="2"/>
  <c r="F83" i="2"/>
  <c r="F84" i="2"/>
  <c r="F85" i="2"/>
  <c r="J35" i="1" s="1"/>
  <c r="F86" i="2"/>
  <c r="F87" i="2"/>
  <c r="F88" i="2"/>
  <c r="F89" i="2"/>
  <c r="F90" i="2"/>
  <c r="F91" i="2"/>
  <c r="F92" i="2"/>
  <c r="J37" i="1" s="1"/>
  <c r="F93" i="2"/>
  <c r="F94" i="2"/>
  <c r="J38" i="1" s="1"/>
  <c r="F95" i="2"/>
  <c r="H39" i="1" s="1"/>
  <c r="F96" i="2"/>
  <c r="F97" i="2"/>
  <c r="J40" i="1" s="1"/>
  <c r="F98" i="2"/>
  <c r="F99" i="2"/>
  <c r="F100" i="2"/>
  <c r="F101" i="2"/>
  <c r="F102" i="2"/>
  <c r="J42" i="1" s="1"/>
  <c r="F103" i="2"/>
  <c r="F104" i="2"/>
  <c r="H43" i="1" s="1"/>
  <c r="F105" i="2"/>
  <c r="F106" i="2"/>
  <c r="F107" i="2"/>
  <c r="F108" i="2"/>
  <c r="J44" i="1" s="1"/>
  <c r="F109" i="2"/>
  <c r="H45" i="1" s="1"/>
  <c r="F110" i="2"/>
  <c r="F111" i="2"/>
  <c r="F112" i="2"/>
  <c r="F113" i="2"/>
  <c r="F114" i="2"/>
  <c r="F115" i="2"/>
  <c r="J47" i="1" s="1"/>
  <c r="F116" i="2"/>
  <c r="J48" i="1" s="1"/>
  <c r="F117" i="2"/>
  <c r="F118" i="2"/>
  <c r="F119" i="2"/>
  <c r="H49" i="1" s="1"/>
  <c r="F120" i="2"/>
  <c r="F121" i="2"/>
  <c r="F122" i="2"/>
  <c r="J50" i="1" s="1"/>
  <c r="F123" i="2"/>
  <c r="F124" i="2"/>
  <c r="J51" i="1" s="1"/>
  <c r="F125" i="2"/>
  <c r="F126" i="2"/>
  <c r="J52" i="1" s="1"/>
  <c r="F127" i="2"/>
  <c r="F128" i="2"/>
  <c r="F129" i="2"/>
  <c r="F130" i="2"/>
  <c r="F131" i="2"/>
  <c r="J54" i="1" s="1"/>
  <c r="F132" i="2"/>
  <c r="J55" i="1" s="1"/>
  <c r="F133" i="2"/>
  <c r="F134" i="2"/>
  <c r="J56" i="1" s="1"/>
  <c r="F135" i="2"/>
  <c r="F136" i="2"/>
  <c r="H57" i="1" s="1"/>
  <c r="F137" i="2"/>
  <c r="F138" i="2"/>
  <c r="H58" i="1" s="1"/>
  <c r="F139" i="2"/>
  <c r="F140" i="2"/>
  <c r="F141" i="2"/>
  <c r="F142" i="2"/>
  <c r="J59" i="1" s="1"/>
  <c r="F143" i="2"/>
  <c r="F144" i="2"/>
  <c r="F145" i="2"/>
  <c r="F146" i="2"/>
  <c r="F147" i="2"/>
  <c r="F148" i="2"/>
  <c r="F149" i="2"/>
  <c r="H62" i="1" s="1"/>
  <c r="F150" i="2"/>
  <c r="F151" i="2"/>
  <c r="F152" i="2"/>
  <c r="F153" i="2"/>
  <c r="F154" i="2"/>
  <c r="F155" i="2"/>
  <c r="J64" i="1" s="1"/>
  <c r="F156" i="2"/>
  <c r="J65" i="1" s="1"/>
  <c r="F157" i="2"/>
  <c r="H66" i="1" s="1"/>
  <c r="F158" i="2"/>
  <c r="F159" i="2"/>
  <c r="F160" i="2"/>
  <c r="H67" i="1" s="1"/>
  <c r="F161" i="2"/>
  <c r="F162" i="2"/>
  <c r="F163" i="2"/>
  <c r="F164" i="2"/>
  <c r="J68" i="1" s="1"/>
  <c r="F165" i="2"/>
  <c r="F166" i="2"/>
  <c r="F167" i="2"/>
  <c r="F168" i="2"/>
  <c r="F169" i="2"/>
  <c r="F170" i="2"/>
  <c r="F171" i="2"/>
  <c r="F172" i="2"/>
  <c r="J70" i="1" s="1"/>
  <c r="F173" i="2"/>
  <c r="F174" i="2"/>
  <c r="F175" i="2"/>
  <c r="F176" i="2"/>
  <c r="J71" i="1" s="1"/>
  <c r="F177" i="2"/>
  <c r="F178" i="2"/>
  <c r="F179" i="2"/>
  <c r="F180" i="2"/>
  <c r="F181" i="2"/>
  <c r="F182" i="2"/>
  <c r="J74" i="1" s="1"/>
  <c r="F183" i="2"/>
  <c r="H75" i="1" s="1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J79" i="1" s="1"/>
  <c r="F197" i="2"/>
  <c r="F198" i="2"/>
  <c r="J80" i="1" s="1"/>
  <c r="F199" i="2"/>
  <c r="F200" i="2"/>
  <c r="H81" i="1" s="1"/>
  <c r="F201" i="2"/>
  <c r="F202" i="2"/>
  <c r="F203" i="2"/>
  <c r="F204" i="2"/>
  <c r="J82" i="1" s="1"/>
  <c r="F205" i="2"/>
  <c r="J83" i="1" s="1"/>
  <c r="F206" i="2"/>
  <c r="J84" i="1" s="1"/>
  <c r="F207" i="2"/>
  <c r="F208" i="2"/>
  <c r="F209" i="2"/>
  <c r="F210" i="2"/>
  <c r="F211" i="2"/>
  <c r="F212" i="2"/>
  <c r="F213" i="2"/>
  <c r="H87" i="1" s="1"/>
  <c r="F214" i="2"/>
  <c r="F215" i="2"/>
  <c r="H88" i="1" s="1"/>
  <c r="F216" i="2"/>
  <c r="F217" i="2"/>
  <c r="F218" i="2"/>
  <c r="F219" i="2"/>
  <c r="F220" i="2"/>
  <c r="J90" i="1" s="1"/>
  <c r="F221" i="2"/>
  <c r="F222" i="2"/>
  <c r="F223" i="2"/>
  <c r="H91" i="1" s="1"/>
  <c r="F224" i="2"/>
  <c r="F225" i="2"/>
  <c r="F226" i="2"/>
  <c r="J92" i="1" s="1"/>
  <c r="F227" i="2"/>
  <c r="F228" i="2"/>
  <c r="F229" i="2"/>
  <c r="F230" i="2"/>
  <c r="J94" i="1" s="1"/>
  <c r="F231" i="2"/>
  <c r="F232" i="2"/>
  <c r="F233" i="2"/>
  <c r="F234" i="2"/>
  <c r="F235" i="2"/>
  <c r="F236" i="2"/>
  <c r="F237" i="2"/>
  <c r="H97" i="1" s="1"/>
  <c r="F238" i="2"/>
  <c r="F239" i="2"/>
  <c r="F240" i="2"/>
  <c r="J98" i="1" s="1"/>
  <c r="F241" i="2"/>
  <c r="H99" i="1" s="1"/>
  <c r="F242" i="2"/>
  <c r="F243" i="2"/>
  <c r="F244" i="2"/>
  <c r="F245" i="2"/>
  <c r="H101" i="1" s="1"/>
  <c r="F246" i="2"/>
  <c r="F247" i="2"/>
  <c r="F248" i="2"/>
  <c r="F249" i="2"/>
  <c r="F250" i="2"/>
  <c r="J103" i="1" s="1"/>
  <c r="F251" i="2"/>
  <c r="J104" i="1" s="1"/>
  <c r="F252" i="2"/>
  <c r="J105" i="1" s="1"/>
  <c r="F253" i="2"/>
  <c r="J106" i="1" s="1"/>
  <c r="F254" i="2"/>
  <c r="J107" i="1" s="1"/>
  <c r="F255" i="2"/>
  <c r="F256" i="2"/>
  <c r="F257" i="2"/>
  <c r="F258" i="2"/>
  <c r="F259" i="2"/>
  <c r="F260" i="2"/>
  <c r="F261" i="2"/>
  <c r="F262" i="2"/>
  <c r="F263" i="2"/>
  <c r="J110" i="1" s="1"/>
  <c r="F264" i="2"/>
  <c r="F265" i="2"/>
  <c r="F266" i="2"/>
  <c r="F267" i="2"/>
  <c r="F268" i="2"/>
  <c r="J112" i="1" s="1"/>
  <c r="F269" i="2"/>
  <c r="F270" i="2"/>
  <c r="F271" i="2"/>
  <c r="H113" i="1" s="1"/>
  <c r="F272" i="2"/>
  <c r="F273" i="2"/>
  <c r="F274" i="2"/>
  <c r="H114" i="1" s="1"/>
  <c r="F275" i="2"/>
  <c r="F276" i="2"/>
  <c r="F277" i="2"/>
  <c r="F278" i="2"/>
  <c r="J115" i="1" s="1"/>
  <c r="F279" i="2"/>
  <c r="F280" i="2"/>
  <c r="F281" i="2"/>
  <c r="F282" i="2"/>
  <c r="F283" i="2"/>
  <c r="F284" i="2"/>
  <c r="J117" i="1" s="1"/>
  <c r="F285" i="2"/>
  <c r="F286" i="2"/>
  <c r="F287" i="2"/>
  <c r="F288" i="2"/>
  <c r="F289" i="2"/>
  <c r="F290" i="2"/>
  <c r="F291" i="2"/>
  <c r="J119" i="1" s="1"/>
  <c r="F292" i="2"/>
  <c r="J120" i="1" s="1"/>
  <c r="F293" i="2"/>
  <c r="H121" i="1" s="1"/>
  <c r="F294" i="2"/>
  <c r="F295" i="2"/>
  <c r="H122" i="1" s="1"/>
  <c r="F296" i="2"/>
  <c r="F297" i="2"/>
  <c r="F298" i="2"/>
  <c r="F299" i="2"/>
  <c r="H123" i="1" s="1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J128" i="1" s="1"/>
  <c r="F317" i="2"/>
  <c r="F318" i="2"/>
  <c r="J129" i="1" s="1"/>
  <c r="F319" i="2"/>
  <c r="F320" i="2"/>
  <c r="F321" i="2"/>
  <c r="H130" i="1" s="1"/>
  <c r="F322" i="2"/>
  <c r="F323" i="2"/>
  <c r="F324" i="2"/>
  <c r="J131" i="1" s="1"/>
  <c r="F325" i="2"/>
  <c r="F326" i="2"/>
  <c r="F327" i="2"/>
  <c r="F328" i="2"/>
  <c r="F329" i="2"/>
  <c r="F330" i="2"/>
  <c r="F331" i="2"/>
  <c r="F332" i="2"/>
  <c r="F333" i="2"/>
  <c r="H134" i="1" s="1"/>
  <c r="F334" i="2"/>
  <c r="F335" i="2"/>
  <c r="F336" i="2"/>
  <c r="J135" i="1" s="1"/>
  <c r="F337" i="2"/>
  <c r="F338" i="2"/>
  <c r="F339" i="2"/>
  <c r="F340" i="2"/>
  <c r="J137" i="1" s="1"/>
  <c r="F341" i="2"/>
  <c r="F342" i="2"/>
  <c r="J138" i="1" s="1"/>
  <c r="F343" i="2"/>
  <c r="F344" i="2"/>
  <c r="F345" i="2"/>
  <c r="F346" i="2"/>
  <c r="J139" i="1" s="1"/>
  <c r="F347" i="2"/>
  <c r="F348" i="2"/>
  <c r="F349" i="2"/>
  <c r="F350" i="2"/>
  <c r="J141" i="1" s="1"/>
  <c r="F351" i="2"/>
  <c r="F352" i="2"/>
  <c r="F353" i="2"/>
  <c r="F354" i="2"/>
  <c r="F355" i="2"/>
  <c r="F356" i="2"/>
  <c r="J143" i="1" s="1"/>
  <c r="F357" i="2"/>
  <c r="F358" i="2"/>
  <c r="J144" i="1" s="1"/>
  <c r="F359" i="2"/>
  <c r="J145" i="1" s="1"/>
  <c r="F360" i="2"/>
  <c r="H146" i="1" s="1"/>
  <c r="F361" i="2"/>
  <c r="F362" i="2"/>
  <c r="F363" i="2"/>
  <c r="H147" i="1" s="1"/>
  <c r="F364" i="2"/>
  <c r="F365" i="2"/>
  <c r="F366" i="2"/>
  <c r="F367" i="2"/>
  <c r="F368" i="2"/>
  <c r="F369" i="2"/>
  <c r="F370" i="2"/>
  <c r="F371" i="2"/>
  <c r="F372" i="2"/>
  <c r="F373" i="2"/>
  <c r="H150" i="1" s="1"/>
  <c r="F374" i="2"/>
  <c r="F375" i="2"/>
  <c r="H151" i="1" s="1"/>
  <c r="F376" i="2"/>
  <c r="F377" i="2"/>
  <c r="F378" i="2"/>
  <c r="F379" i="2"/>
  <c r="F380" i="2"/>
  <c r="F381" i="2"/>
  <c r="H153" i="1" s="1"/>
  <c r="F382" i="2"/>
  <c r="F383" i="2"/>
  <c r="H154" i="1" s="1"/>
  <c r="F384" i="2"/>
  <c r="F385" i="2"/>
  <c r="H155" i="1" s="1"/>
  <c r="F386" i="2"/>
  <c r="F387" i="2"/>
  <c r="F388" i="2"/>
  <c r="F389" i="2"/>
  <c r="F390" i="2"/>
  <c r="F391" i="2"/>
  <c r="F392" i="2"/>
  <c r="F393" i="2"/>
  <c r="F394" i="2"/>
  <c r="F395" i="2"/>
  <c r="F396" i="2"/>
  <c r="F397" i="2"/>
  <c r="H158" i="1" s="1"/>
  <c r="F398" i="2"/>
  <c r="F399" i="2"/>
  <c r="F400" i="2"/>
  <c r="F401" i="2"/>
  <c r="F402" i="2"/>
  <c r="F403" i="2"/>
  <c r="F404" i="2"/>
  <c r="J160" i="1" s="1"/>
  <c r="F405" i="2"/>
  <c r="J161" i="1" s="1"/>
  <c r="F406" i="2"/>
  <c r="J162" i="1" s="1"/>
  <c r="F407" i="2"/>
  <c r="F408" i="2"/>
  <c r="F409" i="2"/>
  <c r="F410" i="2"/>
  <c r="H163" i="1" s="1"/>
  <c r="F411" i="2"/>
  <c r="F412" i="2"/>
  <c r="F413" i="2"/>
  <c r="F414" i="2"/>
  <c r="J164" i="1" s="1"/>
  <c r="F415" i="2"/>
  <c r="F416" i="2"/>
  <c r="J165" i="1" s="1"/>
  <c r="F417" i="2"/>
  <c r="F418" i="2"/>
  <c r="F419" i="2"/>
  <c r="F420" i="2"/>
  <c r="F421" i="2"/>
  <c r="J167" i="1" s="1"/>
  <c r="F422" i="2"/>
  <c r="J168" i="1" s="1"/>
  <c r="F423" i="2"/>
  <c r="H169" i="1" s="1"/>
  <c r="F424" i="2"/>
  <c r="F425" i="2"/>
  <c r="F426" i="2"/>
  <c r="H170" i="1" s="1"/>
  <c r="F427" i="2"/>
  <c r="F428" i="2"/>
  <c r="F429" i="2"/>
  <c r="F430" i="2"/>
  <c r="J171" i="1" s="1"/>
  <c r="F431" i="2"/>
  <c r="F432" i="2"/>
  <c r="F433" i="2"/>
  <c r="F434" i="2"/>
  <c r="F435" i="2"/>
  <c r="F436" i="2"/>
  <c r="F437" i="2"/>
  <c r="J173" i="1" s="1"/>
  <c r="F438" i="2"/>
  <c r="J174" i="1" s="1"/>
  <c r="F439" i="2"/>
  <c r="H175" i="1" s="1"/>
  <c r="F440" i="2"/>
  <c r="F441" i="2"/>
  <c r="F442" i="2"/>
  <c r="F443" i="2"/>
  <c r="F444" i="2"/>
  <c r="F445" i="2"/>
  <c r="H177" i="1" s="1"/>
  <c r="F446" i="2"/>
  <c r="F447" i="2"/>
  <c r="F448" i="2"/>
  <c r="H178" i="1" s="1"/>
  <c r="F449" i="2"/>
  <c r="F450" i="2"/>
  <c r="F451" i="2"/>
  <c r="H179" i="1" s="1"/>
  <c r="F452" i="2"/>
  <c r="F453" i="2"/>
  <c r="F454" i="2"/>
  <c r="F455" i="2"/>
  <c r="F456" i="2"/>
  <c r="F457" i="2"/>
  <c r="F458" i="2"/>
  <c r="J181" i="1" s="1"/>
  <c r="F459" i="2"/>
  <c r="F460" i="2"/>
  <c r="F461" i="2"/>
  <c r="F462" i="2"/>
  <c r="F463" i="2"/>
  <c r="J183" i="1" s="1"/>
  <c r="F464" i="2"/>
  <c r="J184" i="1" s="1"/>
  <c r="F465" i="2"/>
  <c r="F466" i="2"/>
  <c r="F467" i="2"/>
  <c r="F468" i="2"/>
  <c r="F469" i="2"/>
  <c r="H186" i="1" s="1"/>
  <c r="F470" i="2"/>
  <c r="F471" i="2"/>
  <c r="F472" i="2"/>
  <c r="J187" i="1" s="1"/>
  <c r="F473" i="2"/>
  <c r="F474" i="2"/>
  <c r="F475" i="2"/>
  <c r="F476" i="2"/>
  <c r="F477" i="2"/>
  <c r="H189" i="1" s="1"/>
  <c r="F478" i="2"/>
  <c r="F479" i="2"/>
  <c r="F480" i="2"/>
  <c r="F481" i="2"/>
  <c r="F482" i="2"/>
  <c r="F483" i="2"/>
  <c r="F484" i="2"/>
  <c r="J191" i="1" s="1"/>
  <c r="F485" i="2"/>
  <c r="H192" i="1" s="1"/>
  <c r="F486" i="2"/>
  <c r="F487" i="2"/>
  <c r="J193" i="1" s="1"/>
  <c r="F488" i="2"/>
  <c r="H194" i="1" s="1"/>
  <c r="F489" i="2"/>
  <c r="F490" i="2"/>
  <c r="F491" i="2"/>
  <c r="F492" i="2"/>
  <c r="J195" i="1" s="1"/>
  <c r="F493" i="2"/>
  <c r="F494" i="2"/>
  <c r="F495" i="2"/>
  <c r="F496" i="2"/>
  <c r="F497" i="2"/>
  <c r="F498" i="2"/>
  <c r="F499" i="2"/>
  <c r="F500" i="2"/>
  <c r="F501" i="2"/>
  <c r="H198" i="1" s="1"/>
  <c r="F502" i="2"/>
  <c r="F503" i="2"/>
  <c r="H199" i="1" s="1"/>
  <c r="F504" i="2"/>
  <c r="F505" i="2"/>
  <c r="F506" i="2"/>
  <c r="F507" i="2"/>
  <c r="F508" i="2"/>
  <c r="F509" i="2"/>
  <c r="J201" i="1" s="1"/>
  <c r="F510" i="2"/>
  <c r="J202" i="1" s="1"/>
  <c r="F511" i="2"/>
  <c r="J203" i="1" s="1"/>
  <c r="F512" i="2"/>
  <c r="J204" i="1" s="1"/>
  <c r="F513" i="2"/>
  <c r="F514" i="2"/>
  <c r="F515" i="2"/>
  <c r="F516" i="2"/>
  <c r="F517" i="2"/>
  <c r="H206" i="1" s="1"/>
  <c r="F518" i="2"/>
  <c r="F519" i="2"/>
  <c r="F520" i="2"/>
  <c r="F521" i="2"/>
  <c r="F522" i="2"/>
  <c r="F523" i="2"/>
  <c r="F524" i="2"/>
  <c r="F525" i="2"/>
  <c r="H208" i="1" s="1"/>
  <c r="F526" i="2"/>
  <c r="F527" i="2"/>
  <c r="H209" i="1" s="1"/>
  <c r="F528" i="2"/>
  <c r="F529" i="2"/>
  <c r="H210" i="1" s="1"/>
  <c r="F530" i="2"/>
  <c r="F531" i="2"/>
  <c r="F532" i="2"/>
  <c r="J211" i="1" s="1"/>
  <c r="F533" i="2"/>
  <c r="F534" i="2"/>
  <c r="F535" i="2"/>
  <c r="F536" i="2"/>
  <c r="F537" i="2"/>
  <c r="F538" i="2"/>
  <c r="F539" i="2"/>
  <c r="F540" i="2"/>
  <c r="F541" i="2"/>
  <c r="H214" i="1" s="1"/>
  <c r="F542" i="2"/>
  <c r="F543" i="2"/>
  <c r="F544" i="2"/>
  <c r="J215" i="1" s="1"/>
  <c r="F545" i="2"/>
  <c r="F546" i="2"/>
  <c r="F547" i="2"/>
  <c r="F548" i="2"/>
  <c r="F549" i="2"/>
  <c r="F550" i="2"/>
  <c r="F551" i="2"/>
  <c r="H217" i="1" s="1"/>
  <c r="F552" i="2"/>
  <c r="F553" i="2"/>
  <c r="F554" i="2"/>
  <c r="H218" i="1" s="1"/>
  <c r="F555" i="2"/>
  <c r="F556" i="2"/>
  <c r="F557" i="2"/>
  <c r="F558" i="2"/>
  <c r="J219" i="1" s="1"/>
  <c r="F559" i="2"/>
  <c r="F560" i="2"/>
  <c r="F561" i="2"/>
  <c r="F562" i="2"/>
  <c r="F563" i="2"/>
  <c r="F564" i="2"/>
  <c r="F565" i="2"/>
  <c r="J222" i="1" s="1"/>
  <c r="F566" i="2"/>
  <c r="J223" i="1" s="1"/>
  <c r="F567" i="2"/>
  <c r="F568" i="2"/>
  <c r="F569" i="2"/>
  <c r="F570" i="2"/>
  <c r="F571" i="2"/>
  <c r="F572" i="2"/>
  <c r="F573" i="2"/>
  <c r="J225" i="1" s="1"/>
  <c r="F574" i="2"/>
  <c r="J226" i="1" s="1"/>
  <c r="F575" i="2"/>
  <c r="F576" i="2"/>
  <c r="F577" i="2"/>
  <c r="F578" i="2"/>
  <c r="H227" i="1" s="1"/>
  <c r="F579" i="2"/>
  <c r="F580" i="2"/>
  <c r="F581" i="2"/>
  <c r="F582" i="2"/>
  <c r="F583" i="2"/>
  <c r="J229" i="1" s="1"/>
  <c r="F584" i="2"/>
  <c r="F585" i="2"/>
  <c r="F586" i="2"/>
  <c r="F587" i="2"/>
  <c r="F588" i="2"/>
  <c r="J231" i="1" s="1"/>
  <c r="F589" i="2"/>
  <c r="F590" i="2"/>
  <c r="J232" i="1" s="1"/>
  <c r="F591" i="2"/>
  <c r="F592" i="2"/>
  <c r="F593" i="2"/>
  <c r="F594" i="2"/>
  <c r="J233" i="1" s="1"/>
  <c r="F595" i="2"/>
  <c r="F596" i="2"/>
  <c r="J234" i="1" s="1"/>
  <c r="F597" i="2"/>
  <c r="F598" i="2"/>
  <c r="J235" i="1" s="1"/>
  <c r="F599" i="2"/>
  <c r="J236" i="1" s="1"/>
  <c r="F600" i="2"/>
  <c r="J237" i="1" s="1"/>
  <c r="F601" i="2"/>
  <c r="F602" i="2"/>
  <c r="J238" i="1" s="1"/>
  <c r="F603" i="2"/>
  <c r="F604" i="2"/>
  <c r="F605" i="2"/>
  <c r="F606" i="2"/>
  <c r="F607" i="2"/>
  <c r="H240" i="1" s="1"/>
  <c r="F608" i="2"/>
  <c r="F609" i="2"/>
  <c r="F610" i="2"/>
  <c r="F611" i="2"/>
  <c r="F612" i="2"/>
  <c r="F613" i="2"/>
  <c r="F614" i="2"/>
  <c r="J242" i="1" s="1"/>
  <c r="F615" i="2"/>
  <c r="F616" i="2"/>
  <c r="H243" i="1" s="1"/>
  <c r="F617" i="2"/>
  <c r="F618" i="2"/>
  <c r="F619" i="2"/>
  <c r="F620" i="2"/>
  <c r="J244" i="1" s="1"/>
  <c r="F621" i="2"/>
  <c r="F622" i="2"/>
  <c r="J245" i="1" s="1"/>
  <c r="F623" i="2"/>
  <c r="F624" i="2"/>
  <c r="F625" i="2"/>
  <c r="F626" i="2"/>
  <c r="F627" i="2"/>
  <c r="F628" i="2"/>
  <c r="F629" i="2"/>
  <c r="F630" i="2"/>
  <c r="J247" i="1" s="1"/>
  <c r="F631" i="2"/>
  <c r="H248" i="1" s="1"/>
  <c r="F632" i="2"/>
  <c r="F633" i="2"/>
  <c r="H249" i="1" s="1"/>
  <c r="F634" i="2"/>
  <c r="F635" i="2"/>
  <c r="F636" i="2"/>
  <c r="F637" i="2"/>
  <c r="F638" i="2"/>
  <c r="J251" i="1" s="1"/>
  <c r="F639" i="2"/>
  <c r="F640" i="2"/>
  <c r="F641" i="2"/>
  <c r="F642" i="2"/>
  <c r="F643" i="2"/>
  <c r="F644" i="2"/>
  <c r="F645" i="2"/>
  <c r="F646" i="2"/>
  <c r="J253" i="1" s="1"/>
  <c r="F647" i="2"/>
  <c r="F648" i="2"/>
  <c r="F649" i="2"/>
  <c r="F650" i="2"/>
  <c r="F651" i="2"/>
  <c r="F652" i="2"/>
  <c r="F653" i="2"/>
  <c r="F654" i="2"/>
  <c r="F655" i="2"/>
  <c r="H256" i="1" s="1"/>
  <c r="F656" i="2"/>
  <c r="F657" i="2"/>
  <c r="F658" i="2"/>
  <c r="F659" i="2"/>
  <c r="F660" i="2"/>
  <c r="F661" i="2"/>
  <c r="H258" i="1" s="1"/>
  <c r="F662" i="2"/>
  <c r="F663" i="2"/>
  <c r="F664" i="2"/>
  <c r="H259" i="1" s="1"/>
  <c r="F665" i="2"/>
  <c r="F666" i="2"/>
  <c r="F667" i="2"/>
  <c r="F668" i="2"/>
  <c r="J260" i="1" s="1"/>
  <c r="F669" i="2"/>
  <c r="F670" i="2"/>
  <c r="J261" i="1" s="1"/>
  <c r="F671" i="2"/>
  <c r="F672" i="2"/>
  <c r="F673" i="2"/>
  <c r="F674" i="2"/>
  <c r="F675" i="2"/>
  <c r="F676" i="2"/>
  <c r="F677" i="2"/>
  <c r="F678" i="2"/>
  <c r="J264" i="1" s="1"/>
  <c r="F679" i="2"/>
  <c r="F680" i="2"/>
  <c r="H265" i="1" s="1"/>
  <c r="F681" i="2"/>
  <c r="F682" i="2"/>
  <c r="F683" i="2"/>
  <c r="F684" i="2"/>
  <c r="F685" i="2"/>
  <c r="F686" i="2"/>
  <c r="J267" i="1" s="1"/>
  <c r="F687" i="2"/>
  <c r="F688" i="2"/>
  <c r="F689" i="2"/>
  <c r="F690" i="2"/>
  <c r="F691" i="2"/>
  <c r="F692" i="2"/>
  <c r="J269" i="1" s="1"/>
  <c r="F693" i="2"/>
  <c r="F694" i="2"/>
  <c r="F695" i="2"/>
  <c r="F696" i="2"/>
  <c r="F697" i="2"/>
  <c r="F698" i="2"/>
  <c r="F699" i="2"/>
  <c r="F700" i="2"/>
  <c r="F701" i="2"/>
  <c r="F702" i="2"/>
  <c r="J272" i="1" s="1"/>
  <c r="F703" i="2"/>
  <c r="F704" i="2"/>
  <c r="F705" i="2"/>
  <c r="H273" i="1" s="1"/>
  <c r="F706" i="2"/>
  <c r="F707" i="2"/>
  <c r="F708" i="2"/>
  <c r="J274" i="1" s="1"/>
  <c r="F709" i="2"/>
  <c r="H275" i="1" s="1"/>
  <c r="F710" i="2"/>
  <c r="F711" i="2"/>
  <c r="F712" i="2"/>
  <c r="F713" i="2"/>
  <c r="F714" i="2"/>
  <c r="F715" i="2"/>
  <c r="F716" i="2"/>
  <c r="F717" i="2"/>
  <c r="H277" i="1" s="1"/>
  <c r="F718" i="2"/>
  <c r="F719" i="2"/>
  <c r="F720" i="2"/>
  <c r="J278" i="1" s="1"/>
  <c r="F721" i="2"/>
  <c r="F722" i="2"/>
  <c r="F723" i="2"/>
  <c r="F724" i="2"/>
  <c r="F725" i="2"/>
  <c r="J280" i="1" s="1"/>
  <c r="F726" i="2"/>
  <c r="J281" i="1" s="1"/>
  <c r="F727" i="2"/>
  <c r="F728" i="2"/>
  <c r="F729" i="2"/>
  <c r="J282" i="1" s="1"/>
  <c r="F730" i="2"/>
  <c r="H283" i="1" s="1"/>
  <c r="F731" i="2"/>
  <c r="F732" i="2"/>
  <c r="F733" i="2"/>
  <c r="F734" i="2"/>
  <c r="F735" i="2"/>
  <c r="F736" i="2"/>
  <c r="F737" i="2"/>
  <c r="F738" i="2"/>
  <c r="F739" i="2"/>
  <c r="F740" i="2"/>
  <c r="J286" i="1" s="1"/>
  <c r="F741" i="2"/>
  <c r="F742" i="2"/>
  <c r="F743" i="2"/>
  <c r="F744" i="2"/>
  <c r="J287" i="1" s="1"/>
  <c r="F745" i="2"/>
  <c r="F746" i="2"/>
  <c r="J288" i="1" s="1"/>
  <c r="F747" i="2"/>
  <c r="F748" i="2"/>
  <c r="J289" i="1" s="1"/>
  <c r="F749" i="2"/>
  <c r="F750" i="2"/>
  <c r="F751" i="2"/>
  <c r="H290" i="1" s="1"/>
  <c r="F752" i="2"/>
  <c r="F753" i="2"/>
  <c r="F754" i="2"/>
  <c r="J291" i="1" s="1"/>
  <c r="F755" i="2"/>
  <c r="F756" i="2"/>
  <c r="J292" i="1" s="1"/>
  <c r="F757" i="2"/>
  <c r="H293" i="1" s="1"/>
  <c r="F758" i="2"/>
  <c r="F759" i="2"/>
  <c r="F760" i="2"/>
  <c r="F761" i="2"/>
  <c r="J295" i="1" s="1"/>
  <c r="F762" i="2"/>
  <c r="J296" i="1" s="1"/>
  <c r="F763" i="2"/>
  <c r="F764" i="2"/>
  <c r="J297" i="1" s="1"/>
  <c r="F765" i="2"/>
  <c r="F766" i="2"/>
  <c r="J298" i="1" s="1"/>
  <c r="F767" i="2"/>
  <c r="J299" i="1" s="1"/>
  <c r="F768" i="2"/>
  <c r="J300" i="1" s="1"/>
  <c r="F769" i="2"/>
  <c r="F770" i="2"/>
  <c r="F771" i="2"/>
  <c r="F772" i="2"/>
  <c r="J301" i="1" s="1"/>
  <c r="F773" i="2"/>
  <c r="F774" i="2"/>
  <c r="F775" i="2"/>
  <c r="J302" i="1" s="1"/>
  <c r="F776" i="2"/>
  <c r="F777" i="2"/>
  <c r="F778" i="2"/>
  <c r="F779" i="2"/>
  <c r="J303" i="1" s="1"/>
  <c r="F780" i="2"/>
  <c r="J304" i="1" s="1"/>
  <c r="F781" i="2"/>
  <c r="F782" i="2"/>
  <c r="J305" i="1" s="1"/>
  <c r="F783" i="2"/>
  <c r="J306" i="1" s="1"/>
  <c r="F784" i="2"/>
  <c r="F785" i="2"/>
  <c r="J307" i="1" s="1"/>
  <c r="F786" i="2"/>
  <c r="F787" i="2"/>
  <c r="F788" i="2"/>
  <c r="F789" i="2"/>
  <c r="J308" i="1" s="1"/>
  <c r="F790" i="2"/>
  <c r="F791" i="2"/>
  <c r="F792" i="2"/>
  <c r="F793" i="2"/>
  <c r="J309" i="1" s="1"/>
  <c r="F794" i="2"/>
  <c r="F795" i="2"/>
  <c r="F796" i="2"/>
  <c r="F797" i="2"/>
  <c r="J310" i="1" s="1"/>
  <c r="F798" i="2"/>
  <c r="F799" i="2"/>
  <c r="J311" i="1" s="1"/>
  <c r="F800" i="2"/>
  <c r="F801" i="2"/>
  <c r="F802" i="2"/>
  <c r="J312" i="1" s="1"/>
  <c r="F803" i="2"/>
  <c r="F804" i="2"/>
  <c r="F805" i="2"/>
  <c r="J313" i="1" s="1"/>
  <c r="F806" i="2"/>
  <c r="F807" i="2"/>
  <c r="F808" i="2"/>
  <c r="J314" i="1" s="1"/>
  <c r="F809" i="2"/>
  <c r="J315" i="1" s="1"/>
  <c r="F810" i="2"/>
  <c r="J316" i="1" s="1"/>
  <c r="F811" i="2"/>
  <c r="F812" i="2"/>
  <c r="J317" i="1" s="1"/>
  <c r="F813" i="2"/>
  <c r="J318" i="1" s="1"/>
  <c r="F814" i="2"/>
  <c r="F815" i="2"/>
  <c r="J319" i="1" s="1"/>
  <c r="F816" i="2"/>
  <c r="F817" i="2"/>
  <c r="F818" i="2"/>
  <c r="F819" i="2"/>
  <c r="J320" i="1" s="1"/>
  <c r="F820" i="2"/>
  <c r="F821" i="2"/>
  <c r="J321" i="1" s="1"/>
  <c r="F822" i="2"/>
  <c r="J322" i="1" s="1"/>
  <c r="F823" i="2"/>
  <c r="F824" i="2"/>
  <c r="F825" i="2"/>
  <c r="F826" i="2"/>
  <c r="J323" i="1" s="1"/>
  <c r="F827" i="2"/>
  <c r="F828" i="2"/>
  <c r="F829" i="2"/>
  <c r="F830" i="2"/>
  <c r="J324" i="1" s="1"/>
  <c r="F831" i="2"/>
  <c r="F832" i="2"/>
  <c r="J325" i="1" s="1"/>
  <c r="F833" i="2"/>
  <c r="F834" i="2"/>
  <c r="F835" i="2"/>
  <c r="J326" i="1" s="1"/>
  <c r="F836" i="2"/>
  <c r="J327" i="1" s="1"/>
  <c r="F837" i="2"/>
  <c r="J328" i="1" s="1"/>
  <c r="F838" i="2"/>
  <c r="F839" i="2"/>
  <c r="F840" i="2"/>
  <c r="J329" i="1" s="1"/>
  <c r="F841" i="2"/>
  <c r="J330" i="1" s="1"/>
  <c r="F842" i="2"/>
  <c r="F843" i="2"/>
  <c r="F844" i="2"/>
  <c r="J331" i="1" s="1"/>
  <c r="F845" i="2"/>
  <c r="F846" i="2"/>
  <c r="F847" i="2"/>
  <c r="J332" i="1" s="1"/>
  <c r="F848" i="2"/>
  <c r="F849" i="2"/>
  <c r="F850" i="2"/>
  <c r="F851" i="2"/>
  <c r="J333" i="1" s="1"/>
  <c r="F852" i="2"/>
  <c r="F853" i="2"/>
  <c r="F854" i="2"/>
  <c r="F855" i="2"/>
  <c r="J334" i="1" s="1"/>
  <c r="F856" i="2"/>
  <c r="F857" i="2"/>
  <c r="J335" i="1" s="1"/>
  <c r="F858" i="2"/>
  <c r="F859" i="2"/>
  <c r="F860" i="2"/>
  <c r="F861" i="2"/>
  <c r="J336" i="1" s="1"/>
  <c r="F862" i="2"/>
  <c r="F863" i="2"/>
  <c r="F864" i="2"/>
  <c r="J337" i="1" s="1"/>
  <c r="F865" i="2"/>
  <c r="F866" i="2"/>
  <c r="J338" i="1" s="1"/>
  <c r="F867" i="2"/>
  <c r="J339" i="1" s="1"/>
  <c r="F868" i="2"/>
  <c r="F869" i="2"/>
  <c r="F870" i="2"/>
  <c r="J340" i="1" s="1"/>
  <c r="F871" i="2"/>
  <c r="F872" i="2"/>
  <c r="J341" i="1" s="1"/>
  <c r="F873" i="2"/>
  <c r="F874" i="2"/>
  <c r="F875" i="2"/>
  <c r="F876" i="2"/>
  <c r="J342" i="1" s="1"/>
  <c r="F877" i="2"/>
  <c r="F878" i="2"/>
  <c r="F879" i="2"/>
  <c r="J343" i="1" s="1"/>
  <c r="F880" i="2"/>
  <c r="F881" i="2"/>
  <c r="J344" i="1" s="1"/>
  <c r="F882" i="2"/>
  <c r="J345" i="1" s="1"/>
  <c r="F883" i="2"/>
  <c r="F884" i="2"/>
  <c r="F885" i="2"/>
  <c r="J346" i="1" s="1"/>
  <c r="F886" i="2"/>
  <c r="F887" i="2"/>
  <c r="F888" i="2"/>
  <c r="J347" i="1" s="1"/>
  <c r="F889" i="2"/>
  <c r="F890" i="2"/>
  <c r="J348" i="1" s="1"/>
  <c r="F891" i="2"/>
  <c r="F892" i="2"/>
  <c r="J349" i="1" s="1"/>
  <c r="F893" i="2"/>
  <c r="F894" i="2"/>
  <c r="F895" i="2"/>
  <c r="F896" i="2"/>
  <c r="J350" i="1" s="1"/>
  <c r="F897" i="2"/>
  <c r="F898" i="2"/>
  <c r="F899" i="2"/>
  <c r="F900" i="2"/>
  <c r="J351" i="1" s="1"/>
  <c r="F901" i="2"/>
  <c r="F902" i="2"/>
  <c r="F903" i="2"/>
  <c r="J352" i="1" s="1"/>
  <c r="F904" i="2"/>
  <c r="J353" i="1" s="1"/>
  <c r="F905" i="2"/>
  <c r="F906" i="2"/>
  <c r="F907" i="2"/>
  <c r="F908" i="2"/>
  <c r="J354" i="1" s="1"/>
  <c r="F909" i="2"/>
  <c r="J355" i="1" s="1"/>
  <c r="F910" i="2"/>
  <c r="F911" i="2"/>
  <c r="J356" i="1" s="1"/>
  <c r="F912" i="2"/>
  <c r="F913" i="2"/>
  <c r="J357" i="1" s="1"/>
  <c r="F914" i="2"/>
  <c r="F915" i="2"/>
  <c r="F916" i="2"/>
  <c r="F917" i="2"/>
  <c r="J358" i="1" s="1"/>
  <c r="F918" i="2"/>
  <c r="F919" i="2"/>
  <c r="F920" i="2"/>
  <c r="J359" i="1" s="1"/>
  <c r="F921" i="2"/>
  <c r="F922" i="2"/>
  <c r="J360" i="1" s="1"/>
  <c r="F923" i="2"/>
  <c r="J361" i="1" s="1"/>
  <c r="F924" i="2"/>
  <c r="F925" i="2"/>
  <c r="F2" i="2"/>
  <c r="H2" i="1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2" i="2"/>
  <c r="D2" i="2"/>
  <c r="D3" i="2"/>
  <c r="I3" i="2" s="1"/>
  <c r="D4" i="2"/>
  <c r="I4" i="2" s="1"/>
  <c r="D5" i="2"/>
  <c r="I5" i="2" s="1"/>
  <c r="D6" i="2"/>
  <c r="I6" i="2" s="1"/>
  <c r="D7" i="2"/>
  <c r="I7" i="2" s="1"/>
  <c r="D8" i="2"/>
  <c r="I8" i="2" s="1"/>
  <c r="D9" i="2"/>
  <c r="I9" i="2" s="1"/>
  <c r="D10" i="2"/>
  <c r="I10" i="2" s="1"/>
  <c r="D11" i="2"/>
  <c r="I11" i="2" s="1"/>
  <c r="D12" i="2"/>
  <c r="I12" i="2" s="1"/>
  <c r="I7" i="1" s="1"/>
  <c r="D13" i="2"/>
  <c r="I13" i="2" s="1"/>
  <c r="D14" i="2"/>
  <c r="I14" i="2" s="1"/>
  <c r="D15" i="2"/>
  <c r="I15" i="2" s="1"/>
  <c r="D16" i="2"/>
  <c r="I16" i="2" s="1"/>
  <c r="D17" i="2"/>
  <c r="I17" i="2" s="1"/>
  <c r="D18" i="2"/>
  <c r="I18" i="2" s="1"/>
  <c r="D19" i="2"/>
  <c r="I19" i="2" s="1"/>
  <c r="D20" i="2"/>
  <c r="I20" i="2" s="1"/>
  <c r="D21" i="2"/>
  <c r="I21" i="2" s="1"/>
  <c r="D22" i="2"/>
  <c r="I22" i="2" s="1"/>
  <c r="D23" i="2"/>
  <c r="I23" i="2" s="1"/>
  <c r="D24" i="2"/>
  <c r="I24" i="2" s="1"/>
  <c r="D25" i="2"/>
  <c r="I25" i="2" s="1"/>
  <c r="I12" i="1" s="1"/>
  <c r="D26" i="2"/>
  <c r="I26" i="2" s="1"/>
  <c r="D27" i="2"/>
  <c r="I27" i="2" s="1"/>
  <c r="D28" i="2"/>
  <c r="I28" i="2" s="1"/>
  <c r="D29" i="2"/>
  <c r="I29" i="2" s="1"/>
  <c r="D30" i="2"/>
  <c r="I30" i="2" s="1"/>
  <c r="D31" i="2"/>
  <c r="I31" i="2" s="1"/>
  <c r="D32" i="2"/>
  <c r="I32" i="2" s="1"/>
  <c r="D33" i="2"/>
  <c r="I33" i="2" s="1"/>
  <c r="D34" i="2"/>
  <c r="I34" i="2" s="1"/>
  <c r="D35" i="2"/>
  <c r="I35" i="2" s="1"/>
  <c r="D36" i="2"/>
  <c r="I36" i="2" s="1"/>
  <c r="D37" i="2"/>
  <c r="I37" i="2" s="1"/>
  <c r="D38" i="2"/>
  <c r="I38" i="2" s="1"/>
  <c r="D39" i="2"/>
  <c r="I39" i="2" s="1"/>
  <c r="D40" i="2"/>
  <c r="I40" i="2" s="1"/>
  <c r="D41" i="2"/>
  <c r="I41" i="2" s="1"/>
  <c r="D42" i="2"/>
  <c r="I42" i="2" s="1"/>
  <c r="I18" i="1" s="1"/>
  <c r="D43" i="2"/>
  <c r="I43" i="2" s="1"/>
  <c r="D44" i="2"/>
  <c r="I44" i="2" s="1"/>
  <c r="D45" i="2"/>
  <c r="I45" i="2" s="1"/>
  <c r="D46" i="2"/>
  <c r="I46" i="2" s="1"/>
  <c r="D47" i="2"/>
  <c r="I47" i="2" s="1"/>
  <c r="D48" i="2"/>
  <c r="I48" i="2" s="1"/>
  <c r="D49" i="2"/>
  <c r="I49" i="2" s="1"/>
  <c r="D50" i="2"/>
  <c r="I50" i="2" s="1"/>
  <c r="D51" i="2"/>
  <c r="I51" i="2" s="1"/>
  <c r="D52" i="2"/>
  <c r="I52" i="2" s="1"/>
  <c r="D53" i="2"/>
  <c r="I53" i="2" s="1"/>
  <c r="D54" i="2"/>
  <c r="I54" i="2" s="1"/>
  <c r="D55" i="2"/>
  <c r="I55" i="2" s="1"/>
  <c r="D56" i="2"/>
  <c r="I56" i="2" s="1"/>
  <c r="D57" i="2"/>
  <c r="I57" i="2" s="1"/>
  <c r="D58" i="2"/>
  <c r="I58" i="2" s="1"/>
  <c r="D59" i="2"/>
  <c r="I59" i="2" s="1"/>
  <c r="D60" i="2"/>
  <c r="I60" i="2" s="1"/>
  <c r="I25" i="1" s="1"/>
  <c r="D61" i="2"/>
  <c r="I61" i="2" s="1"/>
  <c r="I26" i="1" s="1"/>
  <c r="D62" i="2"/>
  <c r="I62" i="2" s="1"/>
  <c r="D63" i="2"/>
  <c r="I63" i="2" s="1"/>
  <c r="D64" i="2"/>
  <c r="I64" i="2" s="1"/>
  <c r="D65" i="2"/>
  <c r="I65" i="2" s="1"/>
  <c r="D66" i="2"/>
  <c r="I66" i="2" s="1"/>
  <c r="D67" i="2"/>
  <c r="I67" i="2" s="1"/>
  <c r="D68" i="2"/>
  <c r="I68" i="2" s="1"/>
  <c r="D69" i="2"/>
  <c r="I69" i="2" s="1"/>
  <c r="D70" i="2"/>
  <c r="I70" i="2" s="1"/>
  <c r="D71" i="2"/>
  <c r="I71" i="2" s="1"/>
  <c r="D72" i="2"/>
  <c r="I72" i="2" s="1"/>
  <c r="I30" i="1" s="1"/>
  <c r="D73" i="2"/>
  <c r="I73" i="2" s="1"/>
  <c r="D74" i="2"/>
  <c r="I74" i="2" s="1"/>
  <c r="D75" i="2"/>
  <c r="I75" i="2" s="1"/>
  <c r="D76" i="2"/>
  <c r="I76" i="2" s="1"/>
  <c r="D77" i="2"/>
  <c r="I77" i="2" s="1"/>
  <c r="D78" i="2"/>
  <c r="I78" i="2" s="1"/>
  <c r="D79" i="2"/>
  <c r="I79" i="2" s="1"/>
  <c r="D80" i="2"/>
  <c r="I80" i="2" s="1"/>
  <c r="D81" i="2"/>
  <c r="I81" i="2" s="1"/>
  <c r="D82" i="2"/>
  <c r="I82" i="2" s="1"/>
  <c r="D83" i="2"/>
  <c r="I83" i="2" s="1"/>
  <c r="D84" i="2"/>
  <c r="I84" i="2" s="1"/>
  <c r="D85" i="2"/>
  <c r="I85" i="2" s="1"/>
  <c r="D86" i="2"/>
  <c r="I86" i="2" s="1"/>
  <c r="D87" i="2"/>
  <c r="I87" i="2" s="1"/>
  <c r="D88" i="2"/>
  <c r="I88" i="2" s="1"/>
  <c r="D89" i="2"/>
  <c r="I89" i="2" s="1"/>
  <c r="D90" i="2"/>
  <c r="I90" i="2" s="1"/>
  <c r="D91" i="2"/>
  <c r="I91" i="2" s="1"/>
  <c r="D92" i="2"/>
  <c r="I92" i="2" s="1"/>
  <c r="D93" i="2"/>
  <c r="I93" i="2" s="1"/>
  <c r="D94" i="2"/>
  <c r="I94" i="2" s="1"/>
  <c r="I38" i="1" s="1"/>
  <c r="D95" i="2"/>
  <c r="I95" i="2" s="1"/>
  <c r="D96" i="2"/>
  <c r="I96" i="2" s="1"/>
  <c r="D97" i="2"/>
  <c r="I97" i="2" s="1"/>
  <c r="I40" i="1" s="1"/>
  <c r="D98" i="2"/>
  <c r="I98" i="2" s="1"/>
  <c r="D99" i="2"/>
  <c r="I99" i="2" s="1"/>
  <c r="D100" i="2"/>
  <c r="I100" i="2" s="1"/>
  <c r="D101" i="2"/>
  <c r="I101" i="2" s="1"/>
  <c r="D102" i="2"/>
  <c r="I102" i="2" s="1"/>
  <c r="D103" i="2"/>
  <c r="I103" i="2" s="1"/>
  <c r="D104" i="2"/>
  <c r="I104" i="2" s="1"/>
  <c r="D105" i="2"/>
  <c r="I105" i="2" s="1"/>
  <c r="D106" i="2"/>
  <c r="I106" i="2" s="1"/>
  <c r="D107" i="2"/>
  <c r="I107" i="2" s="1"/>
  <c r="D108" i="2"/>
  <c r="I108" i="2" s="1"/>
  <c r="I44" i="1" s="1"/>
  <c r="D109" i="2"/>
  <c r="I109" i="2" s="1"/>
  <c r="D110" i="2"/>
  <c r="I110" i="2" s="1"/>
  <c r="D111" i="2"/>
  <c r="I111" i="2" s="1"/>
  <c r="D112" i="2"/>
  <c r="I112" i="2" s="1"/>
  <c r="D113" i="2"/>
  <c r="I113" i="2" s="1"/>
  <c r="D114" i="2"/>
  <c r="I114" i="2" s="1"/>
  <c r="D115" i="2"/>
  <c r="I115" i="2" s="1"/>
  <c r="I47" i="1" s="1"/>
  <c r="D116" i="2"/>
  <c r="I116" i="2" s="1"/>
  <c r="D117" i="2"/>
  <c r="I117" i="2" s="1"/>
  <c r="D118" i="2"/>
  <c r="I118" i="2" s="1"/>
  <c r="D119" i="2"/>
  <c r="I119" i="2" s="1"/>
  <c r="D120" i="2"/>
  <c r="I120" i="2" s="1"/>
  <c r="D121" i="2"/>
  <c r="I121" i="2" s="1"/>
  <c r="D122" i="2"/>
  <c r="I122" i="2" s="1"/>
  <c r="D123" i="2"/>
  <c r="I123" i="2" s="1"/>
  <c r="D124" i="2"/>
  <c r="I124" i="2" s="1"/>
  <c r="D125" i="2"/>
  <c r="I125" i="2" s="1"/>
  <c r="D126" i="2"/>
  <c r="I126" i="2" s="1"/>
  <c r="D127" i="2"/>
  <c r="I127" i="2" s="1"/>
  <c r="D128" i="2"/>
  <c r="I128" i="2" s="1"/>
  <c r="D129" i="2"/>
  <c r="I129" i="2" s="1"/>
  <c r="D130" i="2"/>
  <c r="I130" i="2" s="1"/>
  <c r="D131" i="2"/>
  <c r="I131" i="2" s="1"/>
  <c r="I54" i="1" s="1"/>
  <c r="D132" i="2"/>
  <c r="I132" i="2" s="1"/>
  <c r="D133" i="2"/>
  <c r="I133" i="2" s="1"/>
  <c r="D134" i="2"/>
  <c r="I134" i="2" s="1"/>
  <c r="D135" i="2"/>
  <c r="I135" i="2" s="1"/>
  <c r="D136" i="2"/>
  <c r="I136" i="2" s="1"/>
  <c r="D137" i="2"/>
  <c r="I137" i="2" s="1"/>
  <c r="D138" i="2"/>
  <c r="I138" i="2" s="1"/>
  <c r="D139" i="2"/>
  <c r="I139" i="2" s="1"/>
  <c r="D140" i="2"/>
  <c r="I140" i="2" s="1"/>
  <c r="D141" i="2"/>
  <c r="I141" i="2" s="1"/>
  <c r="D142" i="2"/>
  <c r="I142" i="2" s="1"/>
  <c r="I59" i="1" s="1"/>
  <c r="D143" i="2"/>
  <c r="I143" i="2" s="1"/>
  <c r="D144" i="2"/>
  <c r="I144" i="2" s="1"/>
  <c r="D145" i="2"/>
  <c r="I145" i="2" s="1"/>
  <c r="D146" i="2"/>
  <c r="I146" i="2" s="1"/>
  <c r="D147" i="2"/>
  <c r="I147" i="2" s="1"/>
  <c r="D148" i="2"/>
  <c r="I148" i="2" s="1"/>
  <c r="D149" i="2"/>
  <c r="I149" i="2" s="1"/>
  <c r="D150" i="2"/>
  <c r="I150" i="2" s="1"/>
  <c r="D151" i="2"/>
  <c r="I151" i="2" s="1"/>
  <c r="D152" i="2"/>
  <c r="I152" i="2" s="1"/>
  <c r="D153" i="2"/>
  <c r="I153" i="2" s="1"/>
  <c r="D154" i="2"/>
  <c r="I154" i="2" s="1"/>
  <c r="D155" i="2"/>
  <c r="I155" i="2" s="1"/>
  <c r="I64" i="1" s="1"/>
  <c r="D156" i="2"/>
  <c r="I156" i="2" s="1"/>
  <c r="I65" i="1" s="1"/>
  <c r="D157" i="2"/>
  <c r="I157" i="2" s="1"/>
  <c r="D158" i="2"/>
  <c r="I158" i="2" s="1"/>
  <c r="D159" i="2"/>
  <c r="I159" i="2" s="1"/>
  <c r="D160" i="2"/>
  <c r="I160" i="2" s="1"/>
  <c r="D161" i="2"/>
  <c r="I161" i="2" s="1"/>
  <c r="D162" i="2"/>
  <c r="I162" i="2" s="1"/>
  <c r="D163" i="2"/>
  <c r="I163" i="2" s="1"/>
  <c r="D164" i="2"/>
  <c r="I164" i="2" s="1"/>
  <c r="D165" i="2"/>
  <c r="I165" i="2" s="1"/>
  <c r="D166" i="2"/>
  <c r="I166" i="2" s="1"/>
  <c r="D167" i="2"/>
  <c r="I167" i="2" s="1"/>
  <c r="D168" i="2"/>
  <c r="I168" i="2" s="1"/>
  <c r="D169" i="2"/>
  <c r="I169" i="2" s="1"/>
  <c r="D170" i="2"/>
  <c r="I170" i="2" s="1"/>
  <c r="D171" i="2"/>
  <c r="I171" i="2" s="1"/>
  <c r="D172" i="2"/>
  <c r="I172" i="2" s="1"/>
  <c r="D173" i="2"/>
  <c r="I173" i="2" s="1"/>
  <c r="D174" i="2"/>
  <c r="I174" i="2" s="1"/>
  <c r="D175" i="2"/>
  <c r="I175" i="2" s="1"/>
  <c r="D176" i="2"/>
  <c r="I176" i="2" s="1"/>
  <c r="I71" i="1" s="1"/>
  <c r="D177" i="2"/>
  <c r="I177" i="2" s="1"/>
  <c r="D178" i="2"/>
  <c r="I178" i="2" s="1"/>
  <c r="D179" i="2"/>
  <c r="I179" i="2" s="1"/>
  <c r="D180" i="2"/>
  <c r="I180" i="2" s="1"/>
  <c r="D181" i="2"/>
  <c r="I181" i="2" s="1"/>
  <c r="D182" i="2"/>
  <c r="I182" i="2" s="1"/>
  <c r="I74" i="1" s="1"/>
  <c r="D183" i="2"/>
  <c r="I183" i="2" s="1"/>
  <c r="D184" i="2"/>
  <c r="I184" i="2" s="1"/>
  <c r="D185" i="2"/>
  <c r="I185" i="2" s="1"/>
  <c r="D186" i="2"/>
  <c r="I186" i="2" s="1"/>
  <c r="D187" i="2"/>
  <c r="I187" i="2" s="1"/>
  <c r="D188" i="2"/>
  <c r="I188" i="2" s="1"/>
  <c r="D189" i="2"/>
  <c r="I189" i="2" s="1"/>
  <c r="D190" i="2"/>
  <c r="I190" i="2" s="1"/>
  <c r="D191" i="2"/>
  <c r="I191" i="2" s="1"/>
  <c r="D192" i="2"/>
  <c r="I192" i="2" s="1"/>
  <c r="D193" i="2"/>
  <c r="I193" i="2" s="1"/>
  <c r="D194" i="2"/>
  <c r="I194" i="2" s="1"/>
  <c r="D195" i="2"/>
  <c r="I195" i="2" s="1"/>
  <c r="D196" i="2"/>
  <c r="I196" i="2" s="1"/>
  <c r="D197" i="2"/>
  <c r="I197" i="2" s="1"/>
  <c r="D198" i="2"/>
  <c r="I198" i="2" s="1"/>
  <c r="D199" i="2"/>
  <c r="I199" i="2" s="1"/>
  <c r="D200" i="2"/>
  <c r="I200" i="2" s="1"/>
  <c r="D201" i="2"/>
  <c r="I201" i="2" s="1"/>
  <c r="D202" i="2"/>
  <c r="I202" i="2" s="1"/>
  <c r="D203" i="2"/>
  <c r="I203" i="2" s="1"/>
  <c r="D204" i="2"/>
  <c r="I204" i="2" s="1"/>
  <c r="I82" i="1" s="1"/>
  <c r="D205" i="2"/>
  <c r="I205" i="2" s="1"/>
  <c r="I83" i="1" s="1"/>
  <c r="D206" i="2"/>
  <c r="I206" i="2" s="1"/>
  <c r="D207" i="2"/>
  <c r="I207" i="2" s="1"/>
  <c r="D208" i="2"/>
  <c r="I208" i="2" s="1"/>
  <c r="D209" i="2"/>
  <c r="I209" i="2" s="1"/>
  <c r="D210" i="2"/>
  <c r="I210" i="2" s="1"/>
  <c r="D211" i="2"/>
  <c r="I211" i="2" s="1"/>
  <c r="D212" i="2"/>
  <c r="I212" i="2" s="1"/>
  <c r="D213" i="2"/>
  <c r="I213" i="2" s="1"/>
  <c r="D214" i="2"/>
  <c r="I214" i="2" s="1"/>
  <c r="D215" i="2"/>
  <c r="I215" i="2" s="1"/>
  <c r="D216" i="2"/>
  <c r="I216" i="2" s="1"/>
  <c r="D217" i="2"/>
  <c r="I217" i="2" s="1"/>
  <c r="D218" i="2"/>
  <c r="I218" i="2" s="1"/>
  <c r="D219" i="2"/>
  <c r="I219" i="2" s="1"/>
  <c r="D220" i="2"/>
  <c r="I220" i="2" s="1"/>
  <c r="D221" i="2"/>
  <c r="I221" i="2" s="1"/>
  <c r="D222" i="2"/>
  <c r="I222" i="2" s="1"/>
  <c r="D223" i="2"/>
  <c r="I223" i="2" s="1"/>
  <c r="D224" i="2"/>
  <c r="I224" i="2" s="1"/>
  <c r="D225" i="2"/>
  <c r="I225" i="2" s="1"/>
  <c r="D226" i="2"/>
  <c r="I226" i="2" s="1"/>
  <c r="I92" i="1" s="1"/>
  <c r="D227" i="2"/>
  <c r="I227" i="2" s="1"/>
  <c r="D228" i="2"/>
  <c r="I228" i="2" s="1"/>
  <c r="D229" i="2"/>
  <c r="I229" i="2" s="1"/>
  <c r="D230" i="2"/>
  <c r="I230" i="2" s="1"/>
  <c r="D231" i="2"/>
  <c r="I231" i="2" s="1"/>
  <c r="D232" i="2"/>
  <c r="I232" i="2" s="1"/>
  <c r="D233" i="2"/>
  <c r="I233" i="2" s="1"/>
  <c r="D234" i="2"/>
  <c r="I234" i="2" s="1"/>
  <c r="D235" i="2"/>
  <c r="I235" i="2" s="1"/>
  <c r="D236" i="2"/>
  <c r="I236" i="2" s="1"/>
  <c r="D237" i="2"/>
  <c r="I237" i="2" s="1"/>
  <c r="D238" i="2"/>
  <c r="I238" i="2" s="1"/>
  <c r="D239" i="2"/>
  <c r="I239" i="2" s="1"/>
  <c r="D240" i="2"/>
  <c r="I240" i="2" s="1"/>
  <c r="I98" i="1" s="1"/>
  <c r="D241" i="2"/>
  <c r="I241" i="2" s="1"/>
  <c r="D242" i="2"/>
  <c r="I242" i="2" s="1"/>
  <c r="D243" i="2"/>
  <c r="I243" i="2" s="1"/>
  <c r="D244" i="2"/>
  <c r="I244" i="2" s="1"/>
  <c r="D245" i="2"/>
  <c r="I245" i="2" s="1"/>
  <c r="D246" i="2"/>
  <c r="I246" i="2" s="1"/>
  <c r="D247" i="2"/>
  <c r="I247" i="2" s="1"/>
  <c r="D248" i="2"/>
  <c r="I248" i="2" s="1"/>
  <c r="D249" i="2"/>
  <c r="I249" i="2" s="1"/>
  <c r="D250" i="2"/>
  <c r="I250" i="2" s="1"/>
  <c r="I103" i="1" s="1"/>
  <c r="D251" i="2"/>
  <c r="I251" i="2" s="1"/>
  <c r="I104" i="1" s="1"/>
  <c r="D252" i="2"/>
  <c r="I252" i="2" s="1"/>
  <c r="I105" i="1" s="1"/>
  <c r="D253" i="2"/>
  <c r="I253" i="2" s="1"/>
  <c r="I106" i="1" s="1"/>
  <c r="D254" i="2"/>
  <c r="I254" i="2" s="1"/>
  <c r="D255" i="2"/>
  <c r="I255" i="2" s="1"/>
  <c r="D256" i="2"/>
  <c r="I256" i="2" s="1"/>
  <c r="D257" i="2"/>
  <c r="I257" i="2" s="1"/>
  <c r="D258" i="2"/>
  <c r="I258" i="2" s="1"/>
  <c r="D259" i="2"/>
  <c r="I259" i="2" s="1"/>
  <c r="D260" i="2"/>
  <c r="I260" i="2" s="1"/>
  <c r="D261" i="2"/>
  <c r="I261" i="2" s="1"/>
  <c r="D262" i="2"/>
  <c r="I262" i="2" s="1"/>
  <c r="D263" i="2"/>
  <c r="I263" i="2" s="1"/>
  <c r="I110" i="1" s="1"/>
  <c r="D264" i="2"/>
  <c r="I264" i="2" s="1"/>
  <c r="D265" i="2"/>
  <c r="I265" i="2" s="1"/>
  <c r="D266" i="2"/>
  <c r="I266" i="2" s="1"/>
  <c r="D267" i="2"/>
  <c r="I267" i="2" s="1"/>
  <c r="D268" i="2"/>
  <c r="I268" i="2" s="1"/>
  <c r="D269" i="2"/>
  <c r="I269" i="2" s="1"/>
  <c r="D270" i="2"/>
  <c r="I270" i="2" s="1"/>
  <c r="D271" i="2"/>
  <c r="I271" i="2" s="1"/>
  <c r="D272" i="2"/>
  <c r="I272" i="2" s="1"/>
  <c r="D273" i="2"/>
  <c r="I273" i="2" s="1"/>
  <c r="D274" i="2"/>
  <c r="I274" i="2" s="1"/>
  <c r="D275" i="2"/>
  <c r="I275" i="2" s="1"/>
  <c r="D276" i="2"/>
  <c r="I276" i="2" s="1"/>
  <c r="D277" i="2"/>
  <c r="I277" i="2" s="1"/>
  <c r="D278" i="2"/>
  <c r="I278" i="2" s="1"/>
  <c r="D279" i="2"/>
  <c r="I279" i="2" s="1"/>
  <c r="D280" i="2"/>
  <c r="I280" i="2" s="1"/>
  <c r="D281" i="2"/>
  <c r="I281" i="2" s="1"/>
  <c r="D282" i="2"/>
  <c r="I282" i="2" s="1"/>
  <c r="D283" i="2"/>
  <c r="I283" i="2" s="1"/>
  <c r="D284" i="2"/>
  <c r="I284" i="2" s="1"/>
  <c r="D285" i="2"/>
  <c r="I285" i="2" s="1"/>
  <c r="D286" i="2"/>
  <c r="I286" i="2" s="1"/>
  <c r="D287" i="2"/>
  <c r="I287" i="2" s="1"/>
  <c r="D288" i="2"/>
  <c r="I288" i="2" s="1"/>
  <c r="D289" i="2"/>
  <c r="I289" i="2" s="1"/>
  <c r="D290" i="2"/>
  <c r="I290" i="2" s="1"/>
  <c r="D291" i="2"/>
  <c r="I291" i="2" s="1"/>
  <c r="I119" i="1" s="1"/>
  <c r="D292" i="2"/>
  <c r="I292" i="2" s="1"/>
  <c r="I120" i="1" s="1"/>
  <c r="D293" i="2"/>
  <c r="I293" i="2" s="1"/>
  <c r="D294" i="2"/>
  <c r="I294" i="2" s="1"/>
  <c r="D295" i="2"/>
  <c r="I295" i="2" s="1"/>
  <c r="D296" i="2"/>
  <c r="I296" i="2" s="1"/>
  <c r="D297" i="2"/>
  <c r="I297" i="2" s="1"/>
  <c r="D298" i="2"/>
  <c r="I298" i="2" s="1"/>
  <c r="D299" i="2"/>
  <c r="I299" i="2" s="1"/>
  <c r="D300" i="2"/>
  <c r="I300" i="2" s="1"/>
  <c r="D301" i="2"/>
  <c r="I301" i="2" s="1"/>
  <c r="D302" i="2"/>
  <c r="I302" i="2" s="1"/>
  <c r="D303" i="2"/>
  <c r="I303" i="2" s="1"/>
  <c r="D304" i="2"/>
  <c r="I304" i="2" s="1"/>
  <c r="D305" i="2"/>
  <c r="I305" i="2" s="1"/>
  <c r="D306" i="2"/>
  <c r="I306" i="2" s="1"/>
  <c r="D307" i="2"/>
  <c r="I307" i="2" s="1"/>
  <c r="D308" i="2"/>
  <c r="I308" i="2" s="1"/>
  <c r="D309" i="2"/>
  <c r="I309" i="2" s="1"/>
  <c r="D310" i="2"/>
  <c r="I310" i="2" s="1"/>
  <c r="D311" i="2"/>
  <c r="I311" i="2" s="1"/>
  <c r="D312" i="2"/>
  <c r="I312" i="2" s="1"/>
  <c r="D313" i="2"/>
  <c r="I313" i="2" s="1"/>
  <c r="D314" i="2"/>
  <c r="I314" i="2" s="1"/>
  <c r="D315" i="2"/>
  <c r="I315" i="2" s="1"/>
  <c r="D316" i="2"/>
  <c r="I316" i="2" s="1"/>
  <c r="D317" i="2"/>
  <c r="I317" i="2" s="1"/>
  <c r="D318" i="2"/>
  <c r="I318" i="2" s="1"/>
  <c r="D319" i="2"/>
  <c r="I319" i="2" s="1"/>
  <c r="D320" i="2"/>
  <c r="I320" i="2" s="1"/>
  <c r="D321" i="2"/>
  <c r="I321" i="2" s="1"/>
  <c r="D322" i="2"/>
  <c r="I322" i="2" s="1"/>
  <c r="D323" i="2"/>
  <c r="I323" i="2" s="1"/>
  <c r="D324" i="2"/>
  <c r="I324" i="2" s="1"/>
  <c r="D325" i="2"/>
  <c r="I325" i="2" s="1"/>
  <c r="D326" i="2"/>
  <c r="I326" i="2" s="1"/>
  <c r="D327" i="2"/>
  <c r="I327" i="2" s="1"/>
  <c r="D328" i="2"/>
  <c r="I328" i="2" s="1"/>
  <c r="D329" i="2"/>
  <c r="I329" i="2" s="1"/>
  <c r="D330" i="2"/>
  <c r="I330" i="2" s="1"/>
  <c r="D331" i="2"/>
  <c r="I331" i="2" s="1"/>
  <c r="D332" i="2"/>
  <c r="I332" i="2" s="1"/>
  <c r="D333" i="2"/>
  <c r="I333" i="2" s="1"/>
  <c r="D334" i="2"/>
  <c r="I334" i="2" s="1"/>
  <c r="D335" i="2"/>
  <c r="I335" i="2" s="1"/>
  <c r="D336" i="2"/>
  <c r="I336" i="2" s="1"/>
  <c r="I135" i="1" s="1"/>
  <c r="D337" i="2"/>
  <c r="I337" i="2" s="1"/>
  <c r="D338" i="2"/>
  <c r="I338" i="2" s="1"/>
  <c r="D339" i="2"/>
  <c r="I339" i="2" s="1"/>
  <c r="D340" i="2"/>
  <c r="I340" i="2" s="1"/>
  <c r="D341" i="2"/>
  <c r="I341" i="2" s="1"/>
  <c r="D342" i="2"/>
  <c r="I342" i="2" s="1"/>
  <c r="D343" i="2"/>
  <c r="I343" i="2" s="1"/>
  <c r="D344" i="2"/>
  <c r="I344" i="2" s="1"/>
  <c r="D345" i="2"/>
  <c r="I345" i="2" s="1"/>
  <c r="D346" i="2"/>
  <c r="I346" i="2" s="1"/>
  <c r="I139" i="1" s="1"/>
  <c r="D347" i="2"/>
  <c r="I347" i="2" s="1"/>
  <c r="D348" i="2"/>
  <c r="I348" i="2" s="1"/>
  <c r="D349" i="2"/>
  <c r="I349" i="2" s="1"/>
  <c r="D350" i="2"/>
  <c r="I350" i="2" s="1"/>
  <c r="D351" i="2"/>
  <c r="I351" i="2" s="1"/>
  <c r="D352" i="2"/>
  <c r="I352" i="2" s="1"/>
  <c r="D353" i="2"/>
  <c r="I353" i="2" s="1"/>
  <c r="D354" i="2"/>
  <c r="I354" i="2" s="1"/>
  <c r="D355" i="2"/>
  <c r="I355" i="2" s="1"/>
  <c r="D356" i="2"/>
  <c r="I356" i="2" s="1"/>
  <c r="D357" i="2"/>
  <c r="I357" i="2" s="1"/>
  <c r="D358" i="2"/>
  <c r="I358" i="2" s="1"/>
  <c r="I144" i="1" s="1"/>
  <c r="D359" i="2"/>
  <c r="I359" i="2" s="1"/>
  <c r="I145" i="1" s="1"/>
  <c r="D360" i="2"/>
  <c r="I360" i="2" s="1"/>
  <c r="D361" i="2"/>
  <c r="I361" i="2" s="1"/>
  <c r="D362" i="2"/>
  <c r="I362" i="2" s="1"/>
  <c r="D363" i="2"/>
  <c r="I363" i="2" s="1"/>
  <c r="D364" i="2"/>
  <c r="I364" i="2" s="1"/>
  <c r="D365" i="2"/>
  <c r="I365" i="2" s="1"/>
  <c r="D366" i="2"/>
  <c r="I366" i="2" s="1"/>
  <c r="D367" i="2"/>
  <c r="I367" i="2" s="1"/>
  <c r="D368" i="2"/>
  <c r="I368" i="2" s="1"/>
  <c r="D369" i="2"/>
  <c r="I369" i="2" s="1"/>
  <c r="D370" i="2"/>
  <c r="I370" i="2" s="1"/>
  <c r="D371" i="2"/>
  <c r="I371" i="2" s="1"/>
  <c r="D372" i="2"/>
  <c r="I372" i="2" s="1"/>
  <c r="D373" i="2"/>
  <c r="I373" i="2" s="1"/>
  <c r="D374" i="2"/>
  <c r="I374" i="2" s="1"/>
  <c r="D375" i="2"/>
  <c r="I375" i="2" s="1"/>
  <c r="D376" i="2"/>
  <c r="I376" i="2" s="1"/>
  <c r="D377" i="2"/>
  <c r="I377" i="2" s="1"/>
  <c r="D378" i="2"/>
  <c r="I378" i="2" s="1"/>
  <c r="D379" i="2"/>
  <c r="I379" i="2" s="1"/>
  <c r="D380" i="2"/>
  <c r="I380" i="2" s="1"/>
  <c r="D381" i="2"/>
  <c r="I381" i="2" s="1"/>
  <c r="D382" i="2"/>
  <c r="I382" i="2" s="1"/>
  <c r="D383" i="2"/>
  <c r="I383" i="2" s="1"/>
  <c r="D384" i="2"/>
  <c r="I384" i="2" s="1"/>
  <c r="D385" i="2"/>
  <c r="I385" i="2" s="1"/>
  <c r="D386" i="2"/>
  <c r="I386" i="2" s="1"/>
  <c r="D387" i="2"/>
  <c r="I387" i="2" s="1"/>
  <c r="D388" i="2"/>
  <c r="I388" i="2" s="1"/>
  <c r="D389" i="2"/>
  <c r="I389" i="2" s="1"/>
  <c r="D390" i="2"/>
  <c r="I390" i="2" s="1"/>
  <c r="D391" i="2"/>
  <c r="I391" i="2" s="1"/>
  <c r="D392" i="2"/>
  <c r="I392" i="2" s="1"/>
  <c r="D393" i="2"/>
  <c r="I393" i="2" s="1"/>
  <c r="D394" i="2"/>
  <c r="I394" i="2" s="1"/>
  <c r="D395" i="2"/>
  <c r="I395" i="2" s="1"/>
  <c r="D396" i="2"/>
  <c r="I396" i="2" s="1"/>
  <c r="D397" i="2"/>
  <c r="I397" i="2" s="1"/>
  <c r="D398" i="2"/>
  <c r="I398" i="2" s="1"/>
  <c r="D399" i="2"/>
  <c r="I399" i="2" s="1"/>
  <c r="D400" i="2"/>
  <c r="I400" i="2" s="1"/>
  <c r="D401" i="2"/>
  <c r="I401" i="2" s="1"/>
  <c r="D402" i="2"/>
  <c r="I402" i="2" s="1"/>
  <c r="D403" i="2"/>
  <c r="I403" i="2" s="1"/>
  <c r="D404" i="2"/>
  <c r="I404" i="2" s="1"/>
  <c r="I160" i="1" s="1"/>
  <c r="D405" i="2"/>
  <c r="I405" i="2" s="1"/>
  <c r="I161" i="1" s="1"/>
  <c r="D406" i="2"/>
  <c r="I406" i="2" s="1"/>
  <c r="D407" i="2"/>
  <c r="I407" i="2" s="1"/>
  <c r="D408" i="2"/>
  <c r="I408" i="2" s="1"/>
  <c r="D409" i="2"/>
  <c r="I409" i="2" s="1"/>
  <c r="D410" i="2"/>
  <c r="I410" i="2" s="1"/>
  <c r="D411" i="2"/>
  <c r="I411" i="2" s="1"/>
  <c r="D412" i="2"/>
  <c r="I412" i="2" s="1"/>
  <c r="D413" i="2"/>
  <c r="I413" i="2" s="1"/>
  <c r="D414" i="2"/>
  <c r="I414" i="2" s="1"/>
  <c r="D415" i="2"/>
  <c r="I415" i="2" s="1"/>
  <c r="D416" i="2"/>
  <c r="I416" i="2" s="1"/>
  <c r="D417" i="2"/>
  <c r="I417" i="2" s="1"/>
  <c r="D418" i="2"/>
  <c r="I418" i="2" s="1"/>
  <c r="D419" i="2"/>
  <c r="I419" i="2" s="1"/>
  <c r="D420" i="2"/>
  <c r="I420" i="2" s="1"/>
  <c r="D421" i="2"/>
  <c r="I421" i="2" s="1"/>
  <c r="I167" i="1" s="1"/>
  <c r="D422" i="2"/>
  <c r="I422" i="2" s="1"/>
  <c r="I168" i="1" s="1"/>
  <c r="D423" i="2"/>
  <c r="I423" i="2" s="1"/>
  <c r="D424" i="2"/>
  <c r="I424" i="2" s="1"/>
  <c r="D425" i="2"/>
  <c r="I425" i="2" s="1"/>
  <c r="D426" i="2"/>
  <c r="I426" i="2" s="1"/>
  <c r="D427" i="2"/>
  <c r="I427" i="2" s="1"/>
  <c r="D428" i="2"/>
  <c r="I428" i="2" s="1"/>
  <c r="D429" i="2"/>
  <c r="I429" i="2" s="1"/>
  <c r="D430" i="2"/>
  <c r="I430" i="2" s="1"/>
  <c r="D431" i="2"/>
  <c r="I431" i="2" s="1"/>
  <c r="D432" i="2"/>
  <c r="I432" i="2" s="1"/>
  <c r="D433" i="2"/>
  <c r="I433" i="2" s="1"/>
  <c r="D434" i="2"/>
  <c r="I434" i="2" s="1"/>
  <c r="D435" i="2"/>
  <c r="I435" i="2" s="1"/>
  <c r="D436" i="2"/>
  <c r="I436" i="2" s="1"/>
  <c r="D437" i="2"/>
  <c r="I437" i="2" s="1"/>
  <c r="I173" i="1" s="1"/>
  <c r="D438" i="2"/>
  <c r="I438" i="2" s="1"/>
  <c r="I174" i="1" s="1"/>
  <c r="D439" i="2"/>
  <c r="I439" i="2" s="1"/>
  <c r="D440" i="2"/>
  <c r="I440" i="2" s="1"/>
  <c r="D441" i="2"/>
  <c r="I441" i="2" s="1"/>
  <c r="D442" i="2"/>
  <c r="I442" i="2" s="1"/>
  <c r="D443" i="2"/>
  <c r="I443" i="2" s="1"/>
  <c r="D444" i="2"/>
  <c r="I444" i="2" s="1"/>
  <c r="D445" i="2"/>
  <c r="I445" i="2" s="1"/>
  <c r="D446" i="2"/>
  <c r="I446" i="2" s="1"/>
  <c r="D447" i="2"/>
  <c r="I447" i="2" s="1"/>
  <c r="D448" i="2"/>
  <c r="I448" i="2" s="1"/>
  <c r="D449" i="2"/>
  <c r="I449" i="2" s="1"/>
  <c r="D450" i="2"/>
  <c r="I450" i="2" s="1"/>
  <c r="D451" i="2"/>
  <c r="I451" i="2" s="1"/>
  <c r="D452" i="2"/>
  <c r="I452" i="2" s="1"/>
  <c r="D453" i="2"/>
  <c r="I453" i="2" s="1"/>
  <c r="D454" i="2"/>
  <c r="I454" i="2" s="1"/>
  <c r="D455" i="2"/>
  <c r="I455" i="2" s="1"/>
  <c r="D456" i="2"/>
  <c r="I456" i="2" s="1"/>
  <c r="D457" i="2"/>
  <c r="I457" i="2" s="1"/>
  <c r="D458" i="2"/>
  <c r="I458" i="2" s="1"/>
  <c r="I181" i="1" s="1"/>
  <c r="D459" i="2"/>
  <c r="I459" i="2" s="1"/>
  <c r="D460" i="2"/>
  <c r="I460" i="2" s="1"/>
  <c r="D461" i="2"/>
  <c r="I461" i="2" s="1"/>
  <c r="D462" i="2"/>
  <c r="I462" i="2" s="1"/>
  <c r="D463" i="2"/>
  <c r="I463" i="2" s="1"/>
  <c r="I183" i="1" s="1"/>
  <c r="D464" i="2"/>
  <c r="I464" i="2" s="1"/>
  <c r="D465" i="2"/>
  <c r="I465" i="2" s="1"/>
  <c r="D466" i="2"/>
  <c r="I466" i="2" s="1"/>
  <c r="D467" i="2"/>
  <c r="I467" i="2" s="1"/>
  <c r="D468" i="2"/>
  <c r="I468" i="2" s="1"/>
  <c r="D469" i="2"/>
  <c r="I469" i="2" s="1"/>
  <c r="D470" i="2"/>
  <c r="I470" i="2" s="1"/>
  <c r="D471" i="2"/>
  <c r="I471" i="2" s="1"/>
  <c r="D472" i="2"/>
  <c r="I472" i="2" s="1"/>
  <c r="I187" i="1" s="1"/>
  <c r="D473" i="2"/>
  <c r="I473" i="2" s="1"/>
  <c r="D474" i="2"/>
  <c r="I474" i="2" s="1"/>
  <c r="D475" i="2"/>
  <c r="I475" i="2" s="1"/>
  <c r="D476" i="2"/>
  <c r="I476" i="2" s="1"/>
  <c r="D477" i="2"/>
  <c r="I477" i="2" s="1"/>
  <c r="D478" i="2"/>
  <c r="I478" i="2" s="1"/>
  <c r="D479" i="2"/>
  <c r="I479" i="2" s="1"/>
  <c r="D480" i="2"/>
  <c r="I480" i="2" s="1"/>
  <c r="D481" i="2"/>
  <c r="I481" i="2" s="1"/>
  <c r="D482" i="2"/>
  <c r="I482" i="2" s="1"/>
  <c r="D483" i="2"/>
  <c r="I483" i="2" s="1"/>
  <c r="D484" i="2"/>
  <c r="I484" i="2" s="1"/>
  <c r="I191" i="1" s="1"/>
  <c r="D485" i="2"/>
  <c r="I485" i="2" s="1"/>
  <c r="D486" i="2"/>
  <c r="I486" i="2" s="1"/>
  <c r="D487" i="2"/>
  <c r="I487" i="2" s="1"/>
  <c r="I193" i="1" s="1"/>
  <c r="D488" i="2"/>
  <c r="I488" i="2" s="1"/>
  <c r="D489" i="2"/>
  <c r="I489" i="2" s="1"/>
  <c r="D490" i="2"/>
  <c r="I490" i="2" s="1"/>
  <c r="D491" i="2"/>
  <c r="I491" i="2" s="1"/>
  <c r="D492" i="2"/>
  <c r="I492" i="2" s="1"/>
  <c r="D493" i="2"/>
  <c r="I493" i="2" s="1"/>
  <c r="D494" i="2"/>
  <c r="I494" i="2" s="1"/>
  <c r="D495" i="2"/>
  <c r="I495" i="2" s="1"/>
  <c r="D496" i="2"/>
  <c r="I496" i="2" s="1"/>
  <c r="D497" i="2"/>
  <c r="I497" i="2" s="1"/>
  <c r="D498" i="2"/>
  <c r="I498" i="2" s="1"/>
  <c r="D499" i="2"/>
  <c r="I499" i="2" s="1"/>
  <c r="D500" i="2"/>
  <c r="I500" i="2" s="1"/>
  <c r="D501" i="2"/>
  <c r="I501" i="2" s="1"/>
  <c r="D502" i="2"/>
  <c r="I502" i="2" s="1"/>
  <c r="D503" i="2"/>
  <c r="I503" i="2" s="1"/>
  <c r="D504" i="2"/>
  <c r="I504" i="2" s="1"/>
  <c r="D505" i="2"/>
  <c r="I505" i="2" s="1"/>
  <c r="D506" i="2"/>
  <c r="I506" i="2" s="1"/>
  <c r="D507" i="2"/>
  <c r="I507" i="2" s="1"/>
  <c r="D508" i="2"/>
  <c r="I508" i="2" s="1"/>
  <c r="D509" i="2"/>
  <c r="I509" i="2" s="1"/>
  <c r="I201" i="1" s="1"/>
  <c r="D510" i="2"/>
  <c r="I510" i="2" s="1"/>
  <c r="I202" i="1" s="1"/>
  <c r="D511" i="2"/>
  <c r="I511" i="2" s="1"/>
  <c r="I203" i="1" s="1"/>
  <c r="D512" i="2"/>
  <c r="I512" i="2" s="1"/>
  <c r="D513" i="2"/>
  <c r="I513" i="2" s="1"/>
  <c r="D514" i="2"/>
  <c r="I514" i="2" s="1"/>
  <c r="D515" i="2"/>
  <c r="I515" i="2" s="1"/>
  <c r="D516" i="2"/>
  <c r="I516" i="2" s="1"/>
  <c r="D517" i="2"/>
  <c r="I517" i="2" s="1"/>
  <c r="D518" i="2"/>
  <c r="I518" i="2" s="1"/>
  <c r="D519" i="2"/>
  <c r="I519" i="2" s="1"/>
  <c r="D520" i="2"/>
  <c r="I520" i="2" s="1"/>
  <c r="D521" i="2"/>
  <c r="I521" i="2" s="1"/>
  <c r="D522" i="2"/>
  <c r="I522" i="2" s="1"/>
  <c r="D523" i="2"/>
  <c r="I523" i="2" s="1"/>
  <c r="D524" i="2"/>
  <c r="I524" i="2" s="1"/>
  <c r="D525" i="2"/>
  <c r="I525" i="2" s="1"/>
  <c r="D526" i="2"/>
  <c r="I526" i="2" s="1"/>
  <c r="D527" i="2"/>
  <c r="I527" i="2" s="1"/>
  <c r="D528" i="2"/>
  <c r="I528" i="2" s="1"/>
  <c r="D529" i="2"/>
  <c r="I529" i="2" s="1"/>
  <c r="D530" i="2"/>
  <c r="I530" i="2" s="1"/>
  <c r="D531" i="2"/>
  <c r="I531" i="2" s="1"/>
  <c r="D532" i="2"/>
  <c r="I532" i="2" s="1"/>
  <c r="D533" i="2"/>
  <c r="I533" i="2" s="1"/>
  <c r="D534" i="2"/>
  <c r="I534" i="2" s="1"/>
  <c r="D535" i="2"/>
  <c r="I535" i="2" s="1"/>
  <c r="D536" i="2"/>
  <c r="I536" i="2" s="1"/>
  <c r="D537" i="2"/>
  <c r="I537" i="2" s="1"/>
  <c r="D538" i="2"/>
  <c r="I538" i="2" s="1"/>
  <c r="D539" i="2"/>
  <c r="I539" i="2" s="1"/>
  <c r="D540" i="2"/>
  <c r="I540" i="2" s="1"/>
  <c r="D541" i="2"/>
  <c r="I541" i="2" s="1"/>
  <c r="D542" i="2"/>
  <c r="I542" i="2" s="1"/>
  <c r="D543" i="2"/>
  <c r="I543" i="2" s="1"/>
  <c r="D544" i="2"/>
  <c r="I544" i="2" s="1"/>
  <c r="D545" i="2"/>
  <c r="I545" i="2" s="1"/>
  <c r="D546" i="2"/>
  <c r="I546" i="2" s="1"/>
  <c r="D547" i="2"/>
  <c r="I547" i="2" s="1"/>
  <c r="D548" i="2"/>
  <c r="I548" i="2" s="1"/>
  <c r="D549" i="2"/>
  <c r="I549" i="2" s="1"/>
  <c r="D550" i="2"/>
  <c r="I550" i="2" s="1"/>
  <c r="D551" i="2"/>
  <c r="I551" i="2" s="1"/>
  <c r="D552" i="2"/>
  <c r="I552" i="2" s="1"/>
  <c r="D553" i="2"/>
  <c r="I553" i="2" s="1"/>
  <c r="D554" i="2"/>
  <c r="I554" i="2" s="1"/>
  <c r="D555" i="2"/>
  <c r="I555" i="2" s="1"/>
  <c r="D556" i="2"/>
  <c r="I556" i="2" s="1"/>
  <c r="D557" i="2"/>
  <c r="I557" i="2" s="1"/>
  <c r="D558" i="2"/>
  <c r="I558" i="2" s="1"/>
  <c r="I219" i="1" s="1"/>
  <c r="D559" i="2"/>
  <c r="I559" i="2" s="1"/>
  <c r="D560" i="2"/>
  <c r="I560" i="2" s="1"/>
  <c r="D561" i="2"/>
  <c r="I561" i="2" s="1"/>
  <c r="D562" i="2"/>
  <c r="I562" i="2" s="1"/>
  <c r="D563" i="2"/>
  <c r="I563" i="2" s="1"/>
  <c r="D564" i="2"/>
  <c r="I564" i="2" s="1"/>
  <c r="D565" i="2"/>
  <c r="I565" i="2" s="1"/>
  <c r="I222" i="1" s="1"/>
  <c r="D566" i="2"/>
  <c r="I566" i="2" s="1"/>
  <c r="D567" i="2"/>
  <c r="I567" i="2" s="1"/>
  <c r="D568" i="2"/>
  <c r="I568" i="2" s="1"/>
  <c r="D569" i="2"/>
  <c r="I569" i="2" s="1"/>
  <c r="D570" i="2"/>
  <c r="I570" i="2" s="1"/>
  <c r="D571" i="2"/>
  <c r="I571" i="2" s="1"/>
  <c r="D572" i="2"/>
  <c r="I572" i="2" s="1"/>
  <c r="D573" i="2"/>
  <c r="I573" i="2" s="1"/>
  <c r="I225" i="1" s="1"/>
  <c r="D574" i="2"/>
  <c r="I574" i="2" s="1"/>
  <c r="D575" i="2"/>
  <c r="I575" i="2" s="1"/>
  <c r="D576" i="2"/>
  <c r="I576" i="2" s="1"/>
  <c r="D577" i="2"/>
  <c r="I577" i="2" s="1"/>
  <c r="D578" i="2"/>
  <c r="I578" i="2" s="1"/>
  <c r="D579" i="2"/>
  <c r="I579" i="2" s="1"/>
  <c r="D580" i="2"/>
  <c r="I580" i="2" s="1"/>
  <c r="D581" i="2"/>
  <c r="I581" i="2" s="1"/>
  <c r="D582" i="2"/>
  <c r="I582" i="2" s="1"/>
  <c r="D583" i="2"/>
  <c r="I583" i="2" s="1"/>
  <c r="I229" i="1" s="1"/>
  <c r="D584" i="2"/>
  <c r="I584" i="2" s="1"/>
  <c r="D585" i="2"/>
  <c r="I585" i="2" s="1"/>
  <c r="D586" i="2"/>
  <c r="I586" i="2" s="1"/>
  <c r="D587" i="2"/>
  <c r="I587" i="2" s="1"/>
  <c r="D588" i="2"/>
  <c r="I588" i="2" s="1"/>
  <c r="D589" i="2"/>
  <c r="I589" i="2" s="1"/>
  <c r="D590" i="2"/>
  <c r="I590" i="2" s="1"/>
  <c r="D591" i="2"/>
  <c r="I591" i="2" s="1"/>
  <c r="D592" i="2"/>
  <c r="I592" i="2" s="1"/>
  <c r="D593" i="2"/>
  <c r="I593" i="2" s="1"/>
  <c r="D594" i="2"/>
  <c r="I594" i="2" s="1"/>
  <c r="D595" i="2"/>
  <c r="I595" i="2" s="1"/>
  <c r="D596" i="2"/>
  <c r="I596" i="2" s="1"/>
  <c r="D597" i="2"/>
  <c r="I597" i="2" s="1"/>
  <c r="D598" i="2"/>
  <c r="I598" i="2" s="1"/>
  <c r="I235" i="1" s="1"/>
  <c r="D599" i="2"/>
  <c r="I599" i="2" s="1"/>
  <c r="I236" i="1" s="1"/>
  <c r="D600" i="2"/>
  <c r="I600" i="2" s="1"/>
  <c r="D601" i="2"/>
  <c r="I601" i="2" s="1"/>
  <c r="D602" i="2"/>
  <c r="I602" i="2" s="1"/>
  <c r="I238" i="1" s="1"/>
  <c r="D603" i="2"/>
  <c r="I603" i="2" s="1"/>
  <c r="D604" i="2"/>
  <c r="I604" i="2" s="1"/>
  <c r="D605" i="2"/>
  <c r="I605" i="2" s="1"/>
  <c r="D606" i="2"/>
  <c r="I606" i="2" s="1"/>
  <c r="D607" i="2"/>
  <c r="I607" i="2" s="1"/>
  <c r="D608" i="2"/>
  <c r="I608" i="2" s="1"/>
  <c r="D609" i="2"/>
  <c r="I609" i="2" s="1"/>
  <c r="D610" i="2"/>
  <c r="I610" i="2" s="1"/>
  <c r="D611" i="2"/>
  <c r="I611" i="2" s="1"/>
  <c r="D612" i="2"/>
  <c r="I612" i="2" s="1"/>
  <c r="D613" i="2"/>
  <c r="I613" i="2" s="1"/>
  <c r="D614" i="2"/>
  <c r="I614" i="2" s="1"/>
  <c r="D615" i="2"/>
  <c r="I615" i="2" s="1"/>
  <c r="D616" i="2"/>
  <c r="I616" i="2" s="1"/>
  <c r="D617" i="2"/>
  <c r="I617" i="2" s="1"/>
  <c r="D618" i="2"/>
  <c r="I618" i="2" s="1"/>
  <c r="D619" i="2"/>
  <c r="I619" i="2" s="1"/>
  <c r="D620" i="2"/>
  <c r="I620" i="2" s="1"/>
  <c r="D621" i="2"/>
  <c r="I621" i="2" s="1"/>
  <c r="D622" i="2"/>
  <c r="I622" i="2" s="1"/>
  <c r="D623" i="2"/>
  <c r="I623" i="2" s="1"/>
  <c r="D624" i="2"/>
  <c r="I624" i="2" s="1"/>
  <c r="D625" i="2"/>
  <c r="I625" i="2" s="1"/>
  <c r="D626" i="2"/>
  <c r="I626" i="2" s="1"/>
  <c r="D627" i="2"/>
  <c r="I627" i="2" s="1"/>
  <c r="D628" i="2"/>
  <c r="I628" i="2" s="1"/>
  <c r="D629" i="2"/>
  <c r="I629" i="2" s="1"/>
  <c r="D630" i="2"/>
  <c r="I630" i="2" s="1"/>
  <c r="I247" i="1" s="1"/>
  <c r="D631" i="2"/>
  <c r="I631" i="2" s="1"/>
  <c r="D632" i="2"/>
  <c r="I632" i="2" s="1"/>
  <c r="D633" i="2"/>
  <c r="I633" i="2" s="1"/>
  <c r="D634" i="2"/>
  <c r="I634" i="2" s="1"/>
  <c r="D635" i="2"/>
  <c r="I635" i="2" s="1"/>
  <c r="D636" i="2"/>
  <c r="I636" i="2" s="1"/>
  <c r="D637" i="2"/>
  <c r="I637" i="2" s="1"/>
  <c r="D638" i="2"/>
  <c r="I638" i="2" s="1"/>
  <c r="D639" i="2"/>
  <c r="I639" i="2" s="1"/>
  <c r="D640" i="2"/>
  <c r="I640" i="2" s="1"/>
  <c r="D641" i="2"/>
  <c r="I641" i="2" s="1"/>
  <c r="D642" i="2"/>
  <c r="I642" i="2" s="1"/>
  <c r="D643" i="2"/>
  <c r="I643" i="2" s="1"/>
  <c r="D644" i="2"/>
  <c r="I644" i="2" s="1"/>
  <c r="D645" i="2"/>
  <c r="I645" i="2" s="1"/>
  <c r="D646" i="2"/>
  <c r="I646" i="2" s="1"/>
  <c r="D647" i="2"/>
  <c r="I647" i="2" s="1"/>
  <c r="D648" i="2"/>
  <c r="I648" i="2" s="1"/>
  <c r="D649" i="2"/>
  <c r="I649" i="2" s="1"/>
  <c r="D650" i="2"/>
  <c r="I650" i="2" s="1"/>
  <c r="D651" i="2"/>
  <c r="I651" i="2" s="1"/>
  <c r="D652" i="2"/>
  <c r="I652" i="2" s="1"/>
  <c r="D653" i="2"/>
  <c r="I653" i="2" s="1"/>
  <c r="D654" i="2"/>
  <c r="I654" i="2" s="1"/>
  <c r="D655" i="2"/>
  <c r="I655" i="2" s="1"/>
  <c r="D656" i="2"/>
  <c r="I656" i="2" s="1"/>
  <c r="D657" i="2"/>
  <c r="I657" i="2" s="1"/>
  <c r="D658" i="2"/>
  <c r="I658" i="2" s="1"/>
  <c r="D659" i="2"/>
  <c r="I659" i="2" s="1"/>
  <c r="D660" i="2"/>
  <c r="I660" i="2" s="1"/>
  <c r="D661" i="2"/>
  <c r="I661" i="2" s="1"/>
  <c r="D662" i="2"/>
  <c r="I662" i="2" s="1"/>
  <c r="D663" i="2"/>
  <c r="I663" i="2" s="1"/>
  <c r="D664" i="2"/>
  <c r="I664" i="2" s="1"/>
  <c r="D665" i="2"/>
  <c r="I665" i="2" s="1"/>
  <c r="D666" i="2"/>
  <c r="I666" i="2" s="1"/>
  <c r="D667" i="2"/>
  <c r="I667" i="2" s="1"/>
  <c r="D668" i="2"/>
  <c r="I668" i="2" s="1"/>
  <c r="D669" i="2"/>
  <c r="I669" i="2" s="1"/>
  <c r="D670" i="2"/>
  <c r="I670" i="2" s="1"/>
  <c r="D671" i="2"/>
  <c r="I671" i="2" s="1"/>
  <c r="D672" i="2"/>
  <c r="I672" i="2" s="1"/>
  <c r="D673" i="2"/>
  <c r="I673" i="2" s="1"/>
  <c r="D674" i="2"/>
  <c r="I674" i="2" s="1"/>
  <c r="D675" i="2"/>
  <c r="I675" i="2" s="1"/>
  <c r="D676" i="2"/>
  <c r="I676" i="2" s="1"/>
  <c r="D677" i="2"/>
  <c r="I677" i="2" s="1"/>
  <c r="D678" i="2"/>
  <c r="I678" i="2" s="1"/>
  <c r="D679" i="2"/>
  <c r="I679" i="2" s="1"/>
  <c r="D680" i="2"/>
  <c r="I680" i="2" s="1"/>
  <c r="D681" i="2"/>
  <c r="I681" i="2" s="1"/>
  <c r="D682" i="2"/>
  <c r="I682" i="2" s="1"/>
  <c r="D683" i="2"/>
  <c r="I683" i="2" s="1"/>
  <c r="D684" i="2"/>
  <c r="I684" i="2" s="1"/>
  <c r="D685" i="2"/>
  <c r="I685" i="2" s="1"/>
  <c r="D686" i="2"/>
  <c r="I686" i="2" s="1"/>
  <c r="D687" i="2"/>
  <c r="I687" i="2" s="1"/>
  <c r="D688" i="2"/>
  <c r="I688" i="2" s="1"/>
  <c r="D689" i="2"/>
  <c r="I689" i="2" s="1"/>
  <c r="D690" i="2"/>
  <c r="I690" i="2" s="1"/>
  <c r="D691" i="2"/>
  <c r="I691" i="2" s="1"/>
  <c r="D692" i="2"/>
  <c r="I692" i="2" s="1"/>
  <c r="D693" i="2"/>
  <c r="I693" i="2" s="1"/>
  <c r="D694" i="2"/>
  <c r="I694" i="2" s="1"/>
  <c r="D695" i="2"/>
  <c r="I695" i="2" s="1"/>
  <c r="D696" i="2"/>
  <c r="I696" i="2" s="1"/>
  <c r="D697" i="2"/>
  <c r="I697" i="2" s="1"/>
  <c r="D698" i="2"/>
  <c r="I698" i="2" s="1"/>
  <c r="D699" i="2"/>
  <c r="I699" i="2" s="1"/>
  <c r="D700" i="2"/>
  <c r="I700" i="2" s="1"/>
  <c r="D701" i="2"/>
  <c r="I701" i="2" s="1"/>
  <c r="D702" i="2"/>
  <c r="I702" i="2" s="1"/>
  <c r="D703" i="2"/>
  <c r="I703" i="2" s="1"/>
  <c r="D704" i="2"/>
  <c r="I704" i="2" s="1"/>
  <c r="D705" i="2"/>
  <c r="I705" i="2" s="1"/>
  <c r="D706" i="2"/>
  <c r="I706" i="2" s="1"/>
  <c r="D707" i="2"/>
  <c r="I707" i="2" s="1"/>
  <c r="D708" i="2"/>
  <c r="I708" i="2" s="1"/>
  <c r="I274" i="1" s="1"/>
  <c r="D709" i="2"/>
  <c r="I709" i="2" s="1"/>
  <c r="D710" i="2"/>
  <c r="I710" i="2" s="1"/>
  <c r="D711" i="2"/>
  <c r="I711" i="2" s="1"/>
  <c r="D712" i="2"/>
  <c r="I712" i="2" s="1"/>
  <c r="D713" i="2"/>
  <c r="I713" i="2" s="1"/>
  <c r="D714" i="2"/>
  <c r="I714" i="2" s="1"/>
  <c r="D715" i="2"/>
  <c r="I715" i="2" s="1"/>
  <c r="D716" i="2"/>
  <c r="I716" i="2" s="1"/>
  <c r="D717" i="2"/>
  <c r="I717" i="2" s="1"/>
  <c r="D718" i="2"/>
  <c r="I718" i="2" s="1"/>
  <c r="D719" i="2"/>
  <c r="I719" i="2" s="1"/>
  <c r="D720" i="2"/>
  <c r="I720" i="2" s="1"/>
  <c r="D721" i="2"/>
  <c r="I721" i="2" s="1"/>
  <c r="D722" i="2"/>
  <c r="I722" i="2" s="1"/>
  <c r="D723" i="2"/>
  <c r="I723" i="2" s="1"/>
  <c r="D724" i="2"/>
  <c r="I724" i="2" s="1"/>
  <c r="D725" i="2"/>
  <c r="I725" i="2" s="1"/>
  <c r="I280" i="1" s="1"/>
  <c r="D726" i="2"/>
  <c r="I726" i="2" s="1"/>
  <c r="D727" i="2"/>
  <c r="I727" i="2" s="1"/>
  <c r="D728" i="2"/>
  <c r="I728" i="2" s="1"/>
  <c r="D729" i="2"/>
  <c r="I729" i="2" s="1"/>
  <c r="I282" i="1" s="1"/>
  <c r="D730" i="2"/>
  <c r="I730" i="2" s="1"/>
  <c r="D731" i="2"/>
  <c r="I731" i="2" s="1"/>
  <c r="D732" i="2"/>
  <c r="I732" i="2" s="1"/>
  <c r="D733" i="2"/>
  <c r="I733" i="2" s="1"/>
  <c r="D734" i="2"/>
  <c r="I734" i="2" s="1"/>
  <c r="D735" i="2"/>
  <c r="I735" i="2" s="1"/>
  <c r="D736" i="2"/>
  <c r="I736" i="2" s="1"/>
  <c r="D737" i="2"/>
  <c r="I737" i="2" s="1"/>
  <c r="D738" i="2"/>
  <c r="I738" i="2" s="1"/>
  <c r="D739" i="2"/>
  <c r="I739" i="2" s="1"/>
  <c r="D740" i="2"/>
  <c r="I740" i="2" s="1"/>
  <c r="D741" i="2"/>
  <c r="I741" i="2" s="1"/>
  <c r="D742" i="2"/>
  <c r="I742" i="2" s="1"/>
  <c r="D743" i="2"/>
  <c r="I743" i="2" s="1"/>
  <c r="D744" i="2"/>
  <c r="I744" i="2" s="1"/>
  <c r="D745" i="2"/>
  <c r="I745" i="2" s="1"/>
  <c r="D746" i="2"/>
  <c r="I746" i="2" s="1"/>
  <c r="D747" i="2"/>
  <c r="I747" i="2" s="1"/>
  <c r="D748" i="2"/>
  <c r="I748" i="2" s="1"/>
  <c r="D749" i="2"/>
  <c r="I749" i="2" s="1"/>
  <c r="D750" i="2"/>
  <c r="I750" i="2" s="1"/>
  <c r="D751" i="2"/>
  <c r="I751" i="2" s="1"/>
  <c r="D752" i="2"/>
  <c r="I752" i="2" s="1"/>
  <c r="D753" i="2"/>
  <c r="I753" i="2" s="1"/>
  <c r="D754" i="2"/>
  <c r="I754" i="2" s="1"/>
  <c r="D755" i="2"/>
  <c r="I755" i="2" s="1"/>
  <c r="D756" i="2"/>
  <c r="I756" i="2" s="1"/>
  <c r="I292" i="1" s="1"/>
  <c r="D757" i="2"/>
  <c r="I757" i="2" s="1"/>
  <c r="D758" i="2"/>
  <c r="I758" i="2" s="1"/>
  <c r="D759" i="2"/>
  <c r="I759" i="2" s="1"/>
  <c r="D760" i="2"/>
  <c r="I760" i="2" s="1"/>
  <c r="D761" i="2"/>
  <c r="I761" i="2" s="1"/>
  <c r="I295" i="1" s="1"/>
  <c r="D762" i="2"/>
  <c r="I762" i="2" s="1"/>
  <c r="D763" i="2"/>
  <c r="I763" i="2" s="1"/>
  <c r="D764" i="2"/>
  <c r="I764" i="2" s="1"/>
  <c r="D765" i="2"/>
  <c r="I765" i="2" s="1"/>
  <c r="D766" i="2"/>
  <c r="I766" i="2" s="1"/>
  <c r="I298" i="1" s="1"/>
  <c r="D767" i="2"/>
  <c r="I767" i="2" s="1"/>
  <c r="I299" i="1" s="1"/>
  <c r="D768" i="2"/>
  <c r="I768" i="2" s="1"/>
  <c r="D769" i="2"/>
  <c r="I769" i="2" s="1"/>
  <c r="D770" i="2"/>
  <c r="I770" i="2" s="1"/>
  <c r="D771" i="2"/>
  <c r="I771" i="2" s="1"/>
  <c r="D772" i="2"/>
  <c r="I772" i="2" s="1"/>
  <c r="D773" i="2"/>
  <c r="I773" i="2" s="1"/>
  <c r="D774" i="2"/>
  <c r="I774" i="2" s="1"/>
  <c r="D775" i="2"/>
  <c r="I775" i="2" s="1"/>
  <c r="D776" i="2"/>
  <c r="I776" i="2" s="1"/>
  <c r="D777" i="2"/>
  <c r="I777" i="2" s="1"/>
  <c r="D778" i="2"/>
  <c r="I778" i="2" s="1"/>
  <c r="D779" i="2"/>
  <c r="I779" i="2" s="1"/>
  <c r="I303" i="1" s="1"/>
  <c r="D780" i="2"/>
  <c r="I780" i="2" s="1"/>
  <c r="D781" i="2"/>
  <c r="I781" i="2" s="1"/>
  <c r="D782" i="2"/>
  <c r="I782" i="2" s="1"/>
  <c r="I305" i="1" s="1"/>
  <c r="D783" i="2"/>
  <c r="I783" i="2" s="1"/>
  <c r="D784" i="2"/>
  <c r="I784" i="2" s="1"/>
  <c r="D785" i="2"/>
  <c r="I785" i="2" s="1"/>
  <c r="D786" i="2"/>
  <c r="I786" i="2" s="1"/>
  <c r="D787" i="2"/>
  <c r="I787" i="2" s="1"/>
  <c r="D788" i="2"/>
  <c r="I788" i="2" s="1"/>
  <c r="D789" i="2"/>
  <c r="I789" i="2" s="1"/>
  <c r="D790" i="2"/>
  <c r="I790" i="2" s="1"/>
  <c r="D791" i="2"/>
  <c r="I791" i="2" s="1"/>
  <c r="D792" i="2"/>
  <c r="I792" i="2" s="1"/>
  <c r="D793" i="2"/>
  <c r="I793" i="2" s="1"/>
  <c r="D794" i="2"/>
  <c r="I794" i="2" s="1"/>
  <c r="D795" i="2"/>
  <c r="I795" i="2" s="1"/>
  <c r="D796" i="2"/>
  <c r="I796" i="2" s="1"/>
  <c r="D797" i="2"/>
  <c r="I797" i="2" s="1"/>
  <c r="D798" i="2"/>
  <c r="I798" i="2" s="1"/>
  <c r="D799" i="2"/>
  <c r="I799" i="2" s="1"/>
  <c r="D800" i="2"/>
  <c r="I800" i="2" s="1"/>
  <c r="D801" i="2"/>
  <c r="I801" i="2" s="1"/>
  <c r="D802" i="2"/>
  <c r="I802" i="2" s="1"/>
  <c r="D803" i="2"/>
  <c r="I803" i="2" s="1"/>
  <c r="D804" i="2"/>
  <c r="I804" i="2" s="1"/>
  <c r="D805" i="2"/>
  <c r="I805" i="2" s="1"/>
  <c r="D806" i="2"/>
  <c r="I806" i="2" s="1"/>
  <c r="D807" i="2"/>
  <c r="I807" i="2" s="1"/>
  <c r="D808" i="2"/>
  <c r="I808" i="2" s="1"/>
  <c r="I314" i="1" s="1"/>
  <c r="D809" i="2"/>
  <c r="I809" i="2" s="1"/>
  <c r="I315" i="1" s="1"/>
  <c r="D810" i="2"/>
  <c r="I810" i="2" s="1"/>
  <c r="D811" i="2"/>
  <c r="I811" i="2" s="1"/>
  <c r="D812" i="2"/>
  <c r="I812" i="2" s="1"/>
  <c r="I317" i="1" s="1"/>
  <c r="D813" i="2"/>
  <c r="I813" i="2" s="1"/>
  <c r="D814" i="2"/>
  <c r="I814" i="2" s="1"/>
  <c r="D815" i="2"/>
  <c r="I815" i="2" s="1"/>
  <c r="D816" i="2"/>
  <c r="I816" i="2" s="1"/>
  <c r="D817" i="2"/>
  <c r="I817" i="2" s="1"/>
  <c r="D818" i="2"/>
  <c r="I818" i="2" s="1"/>
  <c r="D819" i="2"/>
  <c r="I819" i="2" s="1"/>
  <c r="D820" i="2"/>
  <c r="I820" i="2" s="1"/>
  <c r="D821" i="2"/>
  <c r="I821" i="2" s="1"/>
  <c r="I321" i="1" s="1"/>
  <c r="D822" i="2"/>
  <c r="I822" i="2" s="1"/>
  <c r="D823" i="2"/>
  <c r="I823" i="2" s="1"/>
  <c r="D824" i="2"/>
  <c r="I824" i="2" s="1"/>
  <c r="D825" i="2"/>
  <c r="I825" i="2" s="1"/>
  <c r="D826" i="2"/>
  <c r="I826" i="2" s="1"/>
  <c r="D827" i="2"/>
  <c r="I827" i="2" s="1"/>
  <c r="D828" i="2"/>
  <c r="I828" i="2" s="1"/>
  <c r="D829" i="2"/>
  <c r="I829" i="2" s="1"/>
  <c r="D830" i="2"/>
  <c r="I830" i="2" s="1"/>
  <c r="D831" i="2"/>
  <c r="I831" i="2" s="1"/>
  <c r="D832" i="2"/>
  <c r="I832" i="2" s="1"/>
  <c r="D833" i="2"/>
  <c r="I833" i="2" s="1"/>
  <c r="D834" i="2"/>
  <c r="I834" i="2" s="1"/>
  <c r="D835" i="2"/>
  <c r="I835" i="2" s="1"/>
  <c r="I326" i="1" s="1"/>
  <c r="D836" i="2"/>
  <c r="I836" i="2" s="1"/>
  <c r="I327" i="1" s="1"/>
  <c r="D837" i="2"/>
  <c r="I837" i="2" s="1"/>
  <c r="D838" i="2"/>
  <c r="I838" i="2" s="1"/>
  <c r="D839" i="2"/>
  <c r="I839" i="2" s="1"/>
  <c r="D840" i="2"/>
  <c r="I840" i="2" s="1"/>
  <c r="I329" i="1" s="1"/>
  <c r="D841" i="2"/>
  <c r="I841" i="2" s="1"/>
  <c r="D842" i="2"/>
  <c r="I842" i="2" s="1"/>
  <c r="D843" i="2"/>
  <c r="I843" i="2" s="1"/>
  <c r="D844" i="2"/>
  <c r="I844" i="2" s="1"/>
  <c r="D845" i="2"/>
  <c r="I845" i="2" s="1"/>
  <c r="D846" i="2"/>
  <c r="I846" i="2" s="1"/>
  <c r="D847" i="2"/>
  <c r="I847" i="2" s="1"/>
  <c r="D848" i="2"/>
  <c r="I848" i="2" s="1"/>
  <c r="D849" i="2"/>
  <c r="I849" i="2" s="1"/>
  <c r="D850" i="2"/>
  <c r="I850" i="2" s="1"/>
  <c r="D851" i="2"/>
  <c r="I851" i="2" s="1"/>
  <c r="D852" i="2"/>
  <c r="I852" i="2" s="1"/>
  <c r="D853" i="2"/>
  <c r="I853" i="2" s="1"/>
  <c r="D854" i="2"/>
  <c r="I854" i="2" s="1"/>
  <c r="D855" i="2"/>
  <c r="I855" i="2" s="1"/>
  <c r="D856" i="2"/>
  <c r="I856" i="2" s="1"/>
  <c r="D857" i="2"/>
  <c r="I857" i="2" s="1"/>
  <c r="D858" i="2"/>
  <c r="I858" i="2" s="1"/>
  <c r="D859" i="2"/>
  <c r="I859" i="2" s="1"/>
  <c r="D860" i="2"/>
  <c r="I860" i="2" s="1"/>
  <c r="D861" i="2"/>
  <c r="I861" i="2" s="1"/>
  <c r="D862" i="2"/>
  <c r="I862" i="2" s="1"/>
  <c r="D863" i="2"/>
  <c r="I863" i="2" s="1"/>
  <c r="D864" i="2"/>
  <c r="I864" i="2" s="1"/>
  <c r="D865" i="2"/>
  <c r="I865" i="2" s="1"/>
  <c r="D866" i="2"/>
  <c r="I866" i="2" s="1"/>
  <c r="I338" i="1" s="1"/>
  <c r="D867" i="2"/>
  <c r="I867" i="2" s="1"/>
  <c r="D868" i="2"/>
  <c r="I868" i="2" s="1"/>
  <c r="D869" i="2"/>
  <c r="I869" i="2" s="1"/>
  <c r="D870" i="2"/>
  <c r="I870" i="2" s="1"/>
  <c r="D871" i="2"/>
  <c r="I871" i="2" s="1"/>
  <c r="D872" i="2"/>
  <c r="I872" i="2" s="1"/>
  <c r="D873" i="2"/>
  <c r="I873" i="2" s="1"/>
  <c r="D874" i="2"/>
  <c r="I874" i="2" s="1"/>
  <c r="D875" i="2"/>
  <c r="I875" i="2" s="1"/>
  <c r="D876" i="2"/>
  <c r="I876" i="2" s="1"/>
  <c r="D877" i="2"/>
  <c r="I877" i="2" s="1"/>
  <c r="D878" i="2"/>
  <c r="I878" i="2" s="1"/>
  <c r="D879" i="2"/>
  <c r="I879" i="2" s="1"/>
  <c r="D880" i="2"/>
  <c r="I880" i="2" s="1"/>
  <c r="D881" i="2"/>
  <c r="I881" i="2" s="1"/>
  <c r="I344" i="1" s="1"/>
  <c r="D882" i="2"/>
  <c r="I882" i="2" s="1"/>
  <c r="D883" i="2"/>
  <c r="I883" i="2" s="1"/>
  <c r="D884" i="2"/>
  <c r="I884" i="2" s="1"/>
  <c r="D885" i="2"/>
  <c r="I885" i="2" s="1"/>
  <c r="D886" i="2"/>
  <c r="I886" i="2" s="1"/>
  <c r="D887" i="2"/>
  <c r="I887" i="2" s="1"/>
  <c r="D888" i="2"/>
  <c r="I888" i="2" s="1"/>
  <c r="D889" i="2"/>
  <c r="I889" i="2" s="1"/>
  <c r="D890" i="2"/>
  <c r="I890" i="2" s="1"/>
  <c r="D891" i="2"/>
  <c r="I891" i="2" s="1"/>
  <c r="D892" i="2"/>
  <c r="I892" i="2" s="1"/>
  <c r="D893" i="2"/>
  <c r="I893" i="2" s="1"/>
  <c r="D894" i="2"/>
  <c r="I894" i="2" s="1"/>
  <c r="D895" i="2"/>
  <c r="I895" i="2" s="1"/>
  <c r="D896" i="2"/>
  <c r="I896" i="2" s="1"/>
  <c r="D897" i="2"/>
  <c r="I897" i="2" s="1"/>
  <c r="D898" i="2"/>
  <c r="I898" i="2" s="1"/>
  <c r="D899" i="2"/>
  <c r="I899" i="2" s="1"/>
  <c r="D900" i="2"/>
  <c r="I900" i="2" s="1"/>
  <c r="D901" i="2"/>
  <c r="I901" i="2" s="1"/>
  <c r="D902" i="2"/>
  <c r="I902" i="2" s="1"/>
  <c r="D903" i="2"/>
  <c r="I903" i="2" s="1"/>
  <c r="I352" i="1" s="1"/>
  <c r="D904" i="2"/>
  <c r="I904" i="2" s="1"/>
  <c r="D905" i="2"/>
  <c r="I905" i="2" s="1"/>
  <c r="D906" i="2"/>
  <c r="I906" i="2" s="1"/>
  <c r="D907" i="2"/>
  <c r="I907" i="2" s="1"/>
  <c r="D908" i="2"/>
  <c r="I908" i="2" s="1"/>
  <c r="I354" i="1" s="1"/>
  <c r="D909" i="2"/>
  <c r="I909" i="2" s="1"/>
  <c r="D910" i="2"/>
  <c r="I910" i="2" s="1"/>
  <c r="D911" i="2"/>
  <c r="I911" i="2" s="1"/>
  <c r="D912" i="2"/>
  <c r="I912" i="2" s="1"/>
  <c r="D913" i="2"/>
  <c r="I913" i="2" s="1"/>
  <c r="D914" i="2"/>
  <c r="I914" i="2" s="1"/>
  <c r="D915" i="2"/>
  <c r="I915" i="2" s="1"/>
  <c r="D916" i="2"/>
  <c r="I916" i="2" s="1"/>
  <c r="D917" i="2"/>
  <c r="I917" i="2" s="1"/>
  <c r="D918" i="2"/>
  <c r="I918" i="2" s="1"/>
  <c r="D919" i="2"/>
  <c r="I919" i="2" s="1"/>
  <c r="D920" i="2"/>
  <c r="I920" i="2" s="1"/>
  <c r="D921" i="2"/>
  <c r="I921" i="2" s="1"/>
  <c r="D922" i="2"/>
  <c r="I922" i="2" s="1"/>
  <c r="I360" i="1" s="1"/>
  <c r="D923" i="2"/>
  <c r="I923" i="2" s="1"/>
  <c r="D924" i="2"/>
  <c r="I924" i="2" s="1"/>
  <c r="D925" i="2"/>
  <c r="I925" i="2" s="1"/>
  <c r="E22" i="11" l="1"/>
  <c r="B22" i="11" s="1"/>
  <c r="C22" i="11" s="1"/>
  <c r="E16" i="11"/>
  <c r="B16" i="11" s="1"/>
  <c r="C16" i="11" s="1"/>
  <c r="E17" i="11"/>
  <c r="B17" i="11" s="1"/>
  <c r="D17" i="11" s="1"/>
  <c r="D16" i="11"/>
  <c r="E23" i="11"/>
  <c r="B23" i="11" s="1"/>
  <c r="E21" i="11"/>
  <c r="B21" i="11" s="1"/>
  <c r="E20" i="11"/>
  <c r="B20" i="11" s="1"/>
  <c r="E14" i="11"/>
  <c r="B14" i="11" s="1"/>
  <c r="E19" i="11"/>
  <c r="B19" i="11" s="1"/>
  <c r="E18" i="11"/>
  <c r="B18" i="11" s="1"/>
  <c r="E15" i="11"/>
  <c r="B15" i="11" s="1"/>
  <c r="H355" i="1"/>
  <c r="H347" i="1"/>
  <c r="H339" i="1"/>
  <c r="H331" i="1"/>
  <c r="H323" i="1"/>
  <c r="H315" i="1"/>
  <c r="H307" i="1"/>
  <c r="H299" i="1"/>
  <c r="H291" i="1"/>
  <c r="H267" i="1"/>
  <c r="H251" i="1"/>
  <c r="H235" i="1"/>
  <c r="H219" i="1"/>
  <c r="H211" i="1"/>
  <c r="H203" i="1"/>
  <c r="H195" i="1"/>
  <c r="H187" i="1"/>
  <c r="H171" i="1"/>
  <c r="H139" i="1"/>
  <c r="H131" i="1"/>
  <c r="H115" i="1"/>
  <c r="H107" i="1"/>
  <c r="H83" i="1"/>
  <c r="H59" i="1"/>
  <c r="H51" i="1"/>
  <c r="H35" i="1"/>
  <c r="H27" i="1"/>
  <c r="H3" i="1"/>
  <c r="I2" i="2"/>
  <c r="K13" i="1"/>
  <c r="K9" i="1"/>
  <c r="K19" i="1"/>
  <c r="K28" i="1"/>
  <c r="K36" i="1"/>
  <c r="K44" i="1"/>
  <c r="K52" i="1"/>
  <c r="K60" i="1"/>
  <c r="K68" i="1"/>
  <c r="K76" i="1"/>
  <c r="K84" i="1"/>
  <c r="K92" i="1"/>
  <c r="K100" i="1"/>
  <c r="K108" i="1"/>
  <c r="K116" i="1"/>
  <c r="K124" i="1"/>
  <c r="K132" i="1"/>
  <c r="K140" i="1"/>
  <c r="K148" i="1"/>
  <c r="K156" i="1"/>
  <c r="K164" i="1"/>
  <c r="K172" i="1"/>
  <c r="K180" i="1"/>
  <c r="K188" i="1"/>
  <c r="K196" i="1"/>
  <c r="K204" i="1"/>
  <c r="K212" i="1"/>
  <c r="K220" i="1"/>
  <c r="K228" i="1"/>
  <c r="K236" i="1"/>
  <c r="K244" i="1"/>
  <c r="K252" i="1"/>
  <c r="K260" i="1"/>
  <c r="K268" i="1"/>
  <c r="K276" i="1"/>
  <c r="K284" i="1"/>
  <c r="K292" i="1"/>
  <c r="K300" i="1"/>
  <c r="K308" i="1"/>
  <c r="K316" i="1"/>
  <c r="K324" i="1"/>
  <c r="K332" i="1"/>
  <c r="K340" i="1"/>
  <c r="K348" i="1"/>
  <c r="K356" i="1"/>
  <c r="K2" i="1"/>
  <c r="K10" i="1"/>
  <c r="K20" i="1"/>
  <c r="K29" i="1"/>
  <c r="K37" i="1"/>
  <c r="K45" i="1"/>
  <c r="K53" i="1"/>
  <c r="K61" i="1"/>
  <c r="K69" i="1"/>
  <c r="K77" i="1"/>
  <c r="K85" i="1"/>
  <c r="K93" i="1"/>
  <c r="K101" i="1"/>
  <c r="K109" i="1"/>
  <c r="K117" i="1"/>
  <c r="K125" i="1"/>
  <c r="K133" i="1"/>
  <c r="K141" i="1"/>
  <c r="K149" i="1"/>
  <c r="K157" i="1"/>
  <c r="K165" i="1"/>
  <c r="K173" i="1"/>
  <c r="K181" i="1"/>
  <c r="K189" i="1"/>
  <c r="K197" i="1"/>
  <c r="K205" i="1"/>
  <c r="K213" i="1"/>
  <c r="K221" i="1"/>
  <c r="K229" i="1"/>
  <c r="K237" i="1"/>
  <c r="K245" i="1"/>
  <c r="K253" i="1"/>
  <c r="K261" i="1"/>
  <c r="K269" i="1"/>
  <c r="K277" i="1"/>
  <c r="K285" i="1"/>
  <c r="K293" i="1"/>
  <c r="K301" i="1"/>
  <c r="K309" i="1"/>
  <c r="K317" i="1"/>
  <c r="K325" i="1"/>
  <c r="K333" i="1"/>
  <c r="K341" i="1"/>
  <c r="K349" i="1"/>
  <c r="K357" i="1"/>
  <c r="K3" i="1"/>
  <c r="K11" i="1"/>
  <c r="K21" i="1"/>
  <c r="K30" i="1"/>
  <c r="K38" i="1"/>
  <c r="K46" i="1"/>
  <c r="K54" i="1"/>
  <c r="K62" i="1"/>
  <c r="K70" i="1"/>
  <c r="K78" i="1"/>
  <c r="K86" i="1"/>
  <c r="K94" i="1"/>
  <c r="K102" i="1"/>
  <c r="K110" i="1"/>
  <c r="K118" i="1"/>
  <c r="K126" i="1"/>
  <c r="K134" i="1"/>
  <c r="K142" i="1"/>
  <c r="K150" i="1"/>
  <c r="K158" i="1"/>
  <c r="K166" i="1"/>
  <c r="K174" i="1"/>
  <c r="K182" i="1"/>
  <c r="K190" i="1"/>
  <c r="K198" i="1"/>
  <c r="K206" i="1"/>
  <c r="K214" i="1"/>
  <c r="K222" i="1"/>
  <c r="K230" i="1"/>
  <c r="K238" i="1"/>
  <c r="K246" i="1"/>
  <c r="K254" i="1"/>
  <c r="K262" i="1"/>
  <c r="K270" i="1"/>
  <c r="K278" i="1"/>
  <c r="K286" i="1"/>
  <c r="K294" i="1"/>
  <c r="K302" i="1"/>
  <c r="K310" i="1"/>
  <c r="K318" i="1"/>
  <c r="K326" i="1"/>
  <c r="K334" i="1"/>
  <c r="K342" i="1"/>
  <c r="K350" i="1"/>
  <c r="K358" i="1"/>
  <c r="K4" i="1"/>
  <c r="K12" i="1"/>
  <c r="K22" i="1"/>
  <c r="K31" i="1"/>
  <c r="K39" i="1"/>
  <c r="K47" i="1"/>
  <c r="K55" i="1"/>
  <c r="K63" i="1"/>
  <c r="K71" i="1"/>
  <c r="K79" i="1"/>
  <c r="K87" i="1"/>
  <c r="K95" i="1"/>
  <c r="K103" i="1"/>
  <c r="K111" i="1"/>
  <c r="K119" i="1"/>
  <c r="K127" i="1"/>
  <c r="K135" i="1"/>
  <c r="K143" i="1"/>
  <c r="K151" i="1"/>
  <c r="K159" i="1"/>
  <c r="K167" i="1"/>
  <c r="K175" i="1"/>
  <c r="K183" i="1"/>
  <c r="K191" i="1"/>
  <c r="K199" i="1"/>
  <c r="K207" i="1"/>
  <c r="K215" i="1"/>
  <c r="K223" i="1"/>
  <c r="K231" i="1"/>
  <c r="K239" i="1"/>
  <c r="K247" i="1"/>
  <c r="K255" i="1"/>
  <c r="K263" i="1"/>
  <c r="K271" i="1"/>
  <c r="K279" i="1"/>
  <c r="K287" i="1"/>
  <c r="K295" i="1"/>
  <c r="K303" i="1"/>
  <c r="K311" i="1"/>
  <c r="K319" i="1"/>
  <c r="K327" i="1"/>
  <c r="K335" i="1"/>
  <c r="K343" i="1"/>
  <c r="K351" i="1"/>
  <c r="K359" i="1"/>
  <c r="K5" i="1"/>
  <c r="K15" i="1"/>
  <c r="K23" i="1"/>
  <c r="K32" i="1"/>
  <c r="K40" i="1"/>
  <c r="K48" i="1"/>
  <c r="K56" i="1"/>
  <c r="K64" i="1"/>
  <c r="K72" i="1"/>
  <c r="K80" i="1"/>
  <c r="K88" i="1"/>
  <c r="K96" i="1"/>
  <c r="K104" i="1"/>
  <c r="K112" i="1"/>
  <c r="K120" i="1"/>
  <c r="K128" i="1"/>
  <c r="K136" i="1"/>
  <c r="K144" i="1"/>
  <c r="K152" i="1"/>
  <c r="K160" i="1"/>
  <c r="K168" i="1"/>
  <c r="K176" i="1"/>
  <c r="K184" i="1"/>
  <c r="K192" i="1"/>
  <c r="K200" i="1"/>
  <c r="K208" i="1"/>
  <c r="K216" i="1"/>
  <c r="K224" i="1"/>
  <c r="K232" i="1"/>
  <c r="K240" i="1"/>
  <c r="K248" i="1"/>
  <c r="K256" i="1"/>
  <c r="K264" i="1"/>
  <c r="K272" i="1"/>
  <c r="K280" i="1"/>
  <c r="K288" i="1"/>
  <c r="K296" i="1"/>
  <c r="K304" i="1"/>
  <c r="K312" i="1"/>
  <c r="K320" i="1"/>
  <c r="K328" i="1"/>
  <c r="K336" i="1"/>
  <c r="K344" i="1"/>
  <c r="K352" i="1"/>
  <c r="K360" i="1"/>
  <c r="K6" i="1"/>
  <c r="K16" i="1"/>
  <c r="K24" i="1"/>
  <c r="K33" i="1"/>
  <c r="K41" i="1"/>
  <c r="K49" i="1"/>
  <c r="K57" i="1"/>
  <c r="K65" i="1"/>
  <c r="K73" i="1"/>
  <c r="K81" i="1"/>
  <c r="K89" i="1"/>
  <c r="K97" i="1"/>
  <c r="K105" i="1"/>
  <c r="K113" i="1"/>
  <c r="K121" i="1"/>
  <c r="K129" i="1"/>
  <c r="K137" i="1"/>
  <c r="K145" i="1"/>
  <c r="K153" i="1"/>
  <c r="K161" i="1"/>
  <c r="K169" i="1"/>
  <c r="K177" i="1"/>
  <c r="K185" i="1"/>
  <c r="K193" i="1"/>
  <c r="K201" i="1"/>
  <c r="K209" i="1"/>
  <c r="K217" i="1"/>
  <c r="K225" i="1"/>
  <c r="K233" i="1"/>
  <c r="K241" i="1"/>
  <c r="K249" i="1"/>
  <c r="K257" i="1"/>
  <c r="K265" i="1"/>
  <c r="K273" i="1"/>
  <c r="K281" i="1"/>
  <c r="K289" i="1"/>
  <c r="K297" i="1"/>
  <c r="K305" i="1"/>
  <c r="K313" i="1"/>
  <c r="K321" i="1"/>
  <c r="K329" i="1"/>
  <c r="K337" i="1"/>
  <c r="K345" i="1"/>
  <c r="K353" i="1"/>
  <c r="K361" i="1"/>
  <c r="K14" i="1"/>
  <c r="K7" i="1"/>
  <c r="K17" i="1"/>
  <c r="K26" i="1"/>
  <c r="K34" i="1"/>
  <c r="K42" i="1"/>
  <c r="K50" i="1"/>
  <c r="K58" i="1"/>
  <c r="K66" i="1"/>
  <c r="K74" i="1"/>
  <c r="K82" i="1"/>
  <c r="K90" i="1"/>
  <c r="K98" i="1"/>
  <c r="K106" i="1"/>
  <c r="K114" i="1"/>
  <c r="K122" i="1"/>
  <c r="K130" i="1"/>
  <c r="K138" i="1"/>
  <c r="K146" i="1"/>
  <c r="K154" i="1"/>
  <c r="K162" i="1"/>
  <c r="K170" i="1"/>
  <c r="K178" i="1"/>
  <c r="K186" i="1"/>
  <c r="K194" i="1"/>
  <c r="K202" i="1"/>
  <c r="K210" i="1"/>
  <c r="K218" i="1"/>
  <c r="K226" i="1"/>
  <c r="K234" i="1"/>
  <c r="K242" i="1"/>
  <c r="K250" i="1"/>
  <c r="K258" i="1"/>
  <c r="K266" i="1"/>
  <c r="K274" i="1"/>
  <c r="K282" i="1"/>
  <c r="K290" i="1"/>
  <c r="K298" i="1"/>
  <c r="K306" i="1"/>
  <c r="K314" i="1"/>
  <c r="K322" i="1"/>
  <c r="K330" i="1"/>
  <c r="K338" i="1"/>
  <c r="K346" i="1"/>
  <c r="K354" i="1"/>
  <c r="K25" i="1"/>
  <c r="K8" i="1"/>
  <c r="K18" i="1"/>
  <c r="K27" i="1"/>
  <c r="K35" i="1"/>
  <c r="K43" i="1"/>
  <c r="K51" i="1"/>
  <c r="K59" i="1"/>
  <c r="K67" i="1"/>
  <c r="K75" i="1"/>
  <c r="K83" i="1"/>
  <c r="K91" i="1"/>
  <c r="K99" i="1"/>
  <c r="K107" i="1"/>
  <c r="K115" i="1"/>
  <c r="K123" i="1"/>
  <c r="K131" i="1"/>
  <c r="K139" i="1"/>
  <c r="K147" i="1"/>
  <c r="K155" i="1"/>
  <c r="K163" i="1"/>
  <c r="K171" i="1"/>
  <c r="K179" i="1"/>
  <c r="K187" i="1"/>
  <c r="K195" i="1"/>
  <c r="K203" i="1"/>
  <c r="K211" i="1"/>
  <c r="K219" i="1"/>
  <c r="K227" i="1"/>
  <c r="K235" i="1"/>
  <c r="K243" i="1"/>
  <c r="K251" i="1"/>
  <c r="K259" i="1"/>
  <c r="K267" i="1"/>
  <c r="K275" i="1"/>
  <c r="K283" i="1"/>
  <c r="K291" i="1"/>
  <c r="K299" i="1"/>
  <c r="K307" i="1"/>
  <c r="K315" i="1"/>
  <c r="K323" i="1"/>
  <c r="K331" i="1"/>
  <c r="K339" i="1"/>
  <c r="K347" i="1"/>
  <c r="K355" i="1"/>
  <c r="J271" i="1"/>
  <c r="J266" i="1"/>
  <c r="J263" i="1"/>
  <c r="J255" i="1"/>
  <c r="J250" i="1"/>
  <c r="J239" i="1"/>
  <c r="J216" i="1"/>
  <c r="J182" i="1"/>
  <c r="J179" i="1"/>
  <c r="J176" i="1"/>
  <c r="J149" i="1"/>
  <c r="J147" i="1"/>
  <c r="J140" i="1"/>
  <c r="J133" i="1"/>
  <c r="J125" i="1"/>
  <c r="J123" i="1"/>
  <c r="J109" i="1"/>
  <c r="J100" i="1"/>
  <c r="J96" i="1"/>
  <c r="J93" i="1"/>
  <c r="J86" i="1"/>
  <c r="J76" i="1"/>
  <c r="J73" i="1"/>
  <c r="J34" i="1"/>
  <c r="J19" i="1"/>
  <c r="J16" i="1"/>
  <c r="H354" i="1"/>
  <c r="H346" i="1"/>
  <c r="H338" i="1"/>
  <c r="H330" i="1"/>
  <c r="H322" i="1"/>
  <c r="H314" i="1"/>
  <c r="H306" i="1"/>
  <c r="H298" i="1"/>
  <c r="H282" i="1"/>
  <c r="H274" i="1"/>
  <c r="H266" i="1"/>
  <c r="H250" i="1"/>
  <c r="H242" i="1"/>
  <c r="H234" i="1"/>
  <c r="H226" i="1"/>
  <c r="H202" i="1"/>
  <c r="H162" i="1"/>
  <c r="H138" i="1"/>
  <c r="H106" i="1"/>
  <c r="H98" i="1"/>
  <c r="H90" i="1"/>
  <c r="H82" i="1"/>
  <c r="H74" i="1"/>
  <c r="H50" i="1"/>
  <c r="H42" i="1"/>
  <c r="H34" i="1"/>
  <c r="H26" i="1"/>
  <c r="H18" i="1"/>
  <c r="J283" i="1"/>
  <c r="J279" i="1"/>
  <c r="J257" i="1"/>
  <c r="J252" i="1"/>
  <c r="J246" i="1"/>
  <c r="J241" i="1"/>
  <c r="J227" i="1"/>
  <c r="J224" i="1"/>
  <c r="J221" i="1"/>
  <c r="J218" i="1"/>
  <c r="J205" i="1"/>
  <c r="J197" i="1"/>
  <c r="J185" i="1"/>
  <c r="J172" i="1"/>
  <c r="J170" i="1"/>
  <c r="J166" i="1"/>
  <c r="J163" i="1"/>
  <c r="J152" i="1"/>
  <c r="J142" i="1"/>
  <c r="J114" i="1"/>
  <c r="J89" i="1"/>
  <c r="J78" i="1"/>
  <c r="J61" i="1"/>
  <c r="J58" i="1"/>
  <c r="J41" i="1"/>
  <c r="J13" i="1"/>
  <c r="J10" i="1"/>
  <c r="J6" i="1"/>
  <c r="H361" i="1"/>
  <c r="H353" i="1"/>
  <c r="H345" i="1"/>
  <c r="H337" i="1"/>
  <c r="H329" i="1"/>
  <c r="H321" i="1"/>
  <c r="H313" i="1"/>
  <c r="H305" i="1"/>
  <c r="H297" i="1"/>
  <c r="H289" i="1"/>
  <c r="H281" i="1"/>
  <c r="H257" i="1"/>
  <c r="H241" i="1"/>
  <c r="H233" i="1"/>
  <c r="H225" i="1"/>
  <c r="H201" i="1"/>
  <c r="H193" i="1"/>
  <c r="H185" i="1"/>
  <c r="H161" i="1"/>
  <c r="H145" i="1"/>
  <c r="H137" i="1"/>
  <c r="H129" i="1"/>
  <c r="H105" i="1"/>
  <c r="H89" i="1"/>
  <c r="H73" i="1"/>
  <c r="H65" i="1"/>
  <c r="H41" i="1"/>
  <c r="H25" i="1"/>
  <c r="J285" i="1"/>
  <c r="J276" i="1"/>
  <c r="J273" i="1"/>
  <c r="J254" i="1"/>
  <c r="J249" i="1"/>
  <c r="J213" i="1"/>
  <c r="J210" i="1"/>
  <c r="J207" i="1"/>
  <c r="J200" i="1"/>
  <c r="J190" i="1"/>
  <c r="J188" i="1"/>
  <c r="J157" i="1"/>
  <c r="J155" i="1"/>
  <c r="J136" i="1"/>
  <c r="J130" i="1"/>
  <c r="J127" i="1"/>
  <c r="J108" i="1"/>
  <c r="J99" i="1"/>
  <c r="J72" i="1"/>
  <c r="J63" i="1"/>
  <c r="J53" i="1"/>
  <c r="J31" i="1"/>
  <c r="H360" i="1"/>
  <c r="H352" i="1"/>
  <c r="H344" i="1"/>
  <c r="H336" i="1"/>
  <c r="H328" i="1"/>
  <c r="H320" i="1"/>
  <c r="H312" i="1"/>
  <c r="H304" i="1"/>
  <c r="H296" i="1"/>
  <c r="H288" i="1"/>
  <c r="H280" i="1"/>
  <c r="H272" i="1"/>
  <c r="H264" i="1"/>
  <c r="H232" i="1"/>
  <c r="H224" i="1"/>
  <c r="H216" i="1"/>
  <c r="H200" i="1"/>
  <c r="H184" i="1"/>
  <c r="H176" i="1"/>
  <c r="H168" i="1"/>
  <c r="H160" i="1"/>
  <c r="H152" i="1"/>
  <c r="H144" i="1"/>
  <c r="H136" i="1"/>
  <c r="H128" i="1"/>
  <c r="H120" i="1"/>
  <c r="H112" i="1"/>
  <c r="H104" i="1"/>
  <c r="H96" i="1"/>
  <c r="H80" i="1"/>
  <c r="H72" i="1"/>
  <c r="H64" i="1"/>
  <c r="H56" i="1"/>
  <c r="H48" i="1"/>
  <c r="H40" i="1"/>
  <c r="H32" i="1"/>
  <c r="H24" i="1"/>
  <c r="H16" i="1"/>
  <c r="J268" i="1"/>
  <c r="J265" i="1"/>
  <c r="J262" i="1"/>
  <c r="J259" i="1"/>
  <c r="J243" i="1"/>
  <c r="J230" i="1"/>
  <c r="J194" i="1"/>
  <c r="J178" i="1"/>
  <c r="J159" i="1"/>
  <c r="J146" i="1"/>
  <c r="J116" i="1"/>
  <c r="J111" i="1"/>
  <c r="J95" i="1"/>
  <c r="J85" i="1"/>
  <c r="J81" i="1"/>
  <c r="J69" i="1"/>
  <c r="J67" i="1"/>
  <c r="J57" i="1"/>
  <c r="J46" i="1"/>
  <c r="J43" i="1"/>
  <c r="J36" i="1"/>
  <c r="J28" i="1"/>
  <c r="J21" i="1"/>
  <c r="J15" i="1"/>
  <c r="H359" i="1"/>
  <c r="H351" i="1"/>
  <c r="H343" i="1"/>
  <c r="H335" i="1"/>
  <c r="H327" i="1"/>
  <c r="H319" i="1"/>
  <c r="H311" i="1"/>
  <c r="H303" i="1"/>
  <c r="H295" i="1"/>
  <c r="H287" i="1"/>
  <c r="H279" i="1"/>
  <c r="H271" i="1"/>
  <c r="H263" i="1"/>
  <c r="H255" i="1"/>
  <c r="H247" i="1"/>
  <c r="H239" i="1"/>
  <c r="H231" i="1"/>
  <c r="H223" i="1"/>
  <c r="H215" i="1"/>
  <c r="H207" i="1"/>
  <c r="H191" i="1"/>
  <c r="H183" i="1"/>
  <c r="H167" i="1"/>
  <c r="H159" i="1"/>
  <c r="H143" i="1"/>
  <c r="H135" i="1"/>
  <c r="H127" i="1"/>
  <c r="H119" i="1"/>
  <c r="H111" i="1"/>
  <c r="H103" i="1"/>
  <c r="H95" i="1"/>
  <c r="H79" i="1"/>
  <c r="H71" i="1"/>
  <c r="H63" i="1"/>
  <c r="H55" i="1"/>
  <c r="H47" i="1"/>
  <c r="H31" i="1"/>
  <c r="H15" i="1"/>
  <c r="H7" i="1"/>
  <c r="J294" i="1"/>
  <c r="J290" i="1"/>
  <c r="J270" i="1"/>
  <c r="J256" i="1"/>
  <c r="J248" i="1"/>
  <c r="J240" i="1"/>
  <c r="J220" i="1"/>
  <c r="J217" i="1"/>
  <c r="J212" i="1"/>
  <c r="J209" i="1"/>
  <c r="J199" i="1"/>
  <c r="J196" i="1"/>
  <c r="J180" i="1"/>
  <c r="J175" i="1"/>
  <c r="J169" i="1"/>
  <c r="J154" i="1"/>
  <c r="J151" i="1"/>
  <c r="J148" i="1"/>
  <c r="J132" i="1"/>
  <c r="J126" i="1"/>
  <c r="J124" i="1"/>
  <c r="J122" i="1"/>
  <c r="J118" i="1"/>
  <c r="J113" i="1"/>
  <c r="J102" i="1"/>
  <c r="J91" i="1"/>
  <c r="J88" i="1"/>
  <c r="J77" i="1"/>
  <c r="J75" i="1"/>
  <c r="J60" i="1"/>
  <c r="J49" i="1"/>
  <c r="J39" i="1"/>
  <c r="J33" i="1"/>
  <c r="J23" i="1"/>
  <c r="J9" i="1"/>
  <c r="H358" i="1"/>
  <c r="H350" i="1"/>
  <c r="H342" i="1"/>
  <c r="H334" i="1"/>
  <c r="H326" i="1"/>
  <c r="H318" i="1"/>
  <c r="H310" i="1"/>
  <c r="H302" i="1"/>
  <c r="H294" i="1"/>
  <c r="H286" i="1"/>
  <c r="H278" i="1"/>
  <c r="H270" i="1"/>
  <c r="H262" i="1"/>
  <c r="H254" i="1"/>
  <c r="H246" i="1"/>
  <c r="H238" i="1"/>
  <c r="H230" i="1"/>
  <c r="H222" i="1"/>
  <c r="H190" i="1"/>
  <c r="H182" i="1"/>
  <c r="H174" i="1"/>
  <c r="H166" i="1"/>
  <c r="H142" i="1"/>
  <c r="H126" i="1"/>
  <c r="H118" i="1"/>
  <c r="H110" i="1"/>
  <c r="H102" i="1"/>
  <c r="H94" i="1"/>
  <c r="H86" i="1"/>
  <c r="H78" i="1"/>
  <c r="H70" i="1"/>
  <c r="H54" i="1"/>
  <c r="H46" i="1"/>
  <c r="H38" i="1"/>
  <c r="H30" i="1"/>
  <c r="H22" i="1"/>
  <c r="H14" i="1"/>
  <c r="H6" i="1"/>
  <c r="C6" i="11"/>
  <c r="C7" i="11"/>
  <c r="B4" i="11"/>
  <c r="C4" i="11"/>
  <c r="D5" i="11"/>
  <c r="B5" i="11"/>
  <c r="D6" i="11"/>
  <c r="B6" i="11"/>
  <c r="D7" i="11"/>
  <c r="B7" i="11"/>
  <c r="D4" i="11"/>
  <c r="D8" i="11" s="1"/>
  <c r="J2" i="1"/>
  <c r="C5" i="11"/>
  <c r="J17" i="1"/>
  <c r="H357" i="1"/>
  <c r="H349" i="1"/>
  <c r="H341" i="1"/>
  <c r="H333" i="1"/>
  <c r="H325" i="1"/>
  <c r="H317" i="1"/>
  <c r="H309" i="1"/>
  <c r="H301" i="1"/>
  <c r="H285" i="1"/>
  <c r="H269" i="1"/>
  <c r="H261" i="1"/>
  <c r="H253" i="1"/>
  <c r="H245" i="1"/>
  <c r="H237" i="1"/>
  <c r="H229" i="1"/>
  <c r="H221" i="1"/>
  <c r="H213" i="1"/>
  <c r="H205" i="1"/>
  <c r="H197" i="1"/>
  <c r="H181" i="1"/>
  <c r="H173" i="1"/>
  <c r="H165" i="1"/>
  <c r="H157" i="1"/>
  <c r="H149" i="1"/>
  <c r="H141" i="1"/>
  <c r="H133" i="1"/>
  <c r="H125" i="1"/>
  <c r="H117" i="1"/>
  <c r="H109" i="1"/>
  <c r="H93" i="1"/>
  <c r="H85" i="1"/>
  <c r="H77" i="1"/>
  <c r="H69" i="1"/>
  <c r="H61" i="1"/>
  <c r="H53" i="1"/>
  <c r="H37" i="1"/>
  <c r="H29" i="1"/>
  <c r="H21" i="1"/>
  <c r="H13" i="1"/>
  <c r="H5" i="1"/>
  <c r="J293" i="1"/>
  <c r="J284" i="1"/>
  <c r="J277" i="1"/>
  <c r="J275" i="1"/>
  <c r="J258" i="1"/>
  <c r="J228" i="1"/>
  <c r="J214" i="1"/>
  <c r="J208" i="1"/>
  <c r="J206" i="1"/>
  <c r="J198" i="1"/>
  <c r="J192" i="1"/>
  <c r="J189" i="1"/>
  <c r="J186" i="1"/>
  <c r="J177" i="1"/>
  <c r="J158" i="1"/>
  <c r="J156" i="1"/>
  <c r="J153" i="1"/>
  <c r="J150" i="1"/>
  <c r="J134" i="1"/>
  <c r="J121" i="1"/>
  <c r="J101" i="1"/>
  <c r="J97" i="1"/>
  <c r="J87" i="1"/>
  <c r="J66" i="1"/>
  <c r="J62" i="1"/>
  <c r="J45" i="1"/>
  <c r="J20" i="1"/>
  <c r="J11" i="1"/>
  <c r="J8" i="1"/>
  <c r="J4" i="1"/>
  <c r="H356" i="1"/>
  <c r="H348" i="1"/>
  <c r="H340" i="1"/>
  <c r="H332" i="1"/>
  <c r="H324" i="1"/>
  <c r="H316" i="1"/>
  <c r="H308" i="1"/>
  <c r="H300" i="1"/>
  <c r="H292" i="1"/>
  <c r="H284" i="1"/>
  <c r="H276" i="1"/>
  <c r="H268" i="1"/>
  <c r="H260" i="1"/>
  <c r="H252" i="1"/>
  <c r="H244" i="1"/>
  <c r="H236" i="1"/>
  <c r="H228" i="1"/>
  <c r="H220" i="1"/>
  <c r="H212" i="1"/>
  <c r="H204" i="1"/>
  <c r="H196" i="1"/>
  <c r="H188" i="1"/>
  <c r="H180" i="1"/>
  <c r="H172" i="1"/>
  <c r="H164" i="1"/>
  <c r="H156" i="1"/>
  <c r="H148" i="1"/>
  <c r="H140" i="1"/>
  <c r="H132" i="1"/>
  <c r="H124" i="1"/>
  <c r="H116" i="1"/>
  <c r="H108" i="1"/>
  <c r="H100" i="1"/>
  <c r="H92" i="1"/>
  <c r="H84" i="1"/>
  <c r="H76" i="1"/>
  <c r="H68" i="1"/>
  <c r="H60" i="1"/>
  <c r="H52" i="1"/>
  <c r="H44" i="1"/>
  <c r="H36" i="1"/>
  <c r="H28" i="1"/>
  <c r="H20" i="1"/>
  <c r="H12" i="1"/>
  <c r="H4" i="1"/>
  <c r="B10" i="9" s="1"/>
  <c r="B8" i="11"/>
  <c r="I356" i="1"/>
  <c r="I343" i="1"/>
  <c r="I334" i="1"/>
  <c r="I306" i="1"/>
  <c r="I294" i="1"/>
  <c r="I248" i="1"/>
  <c r="I212" i="1"/>
  <c r="I209" i="1"/>
  <c r="I199" i="1"/>
  <c r="I154" i="1"/>
  <c r="I126" i="1"/>
  <c r="I39" i="1"/>
  <c r="I345" i="1"/>
  <c r="I312" i="1"/>
  <c r="I279" i="1"/>
  <c r="I218" i="1"/>
  <c r="I170" i="1"/>
  <c r="I41" i="1"/>
  <c r="I291" i="1"/>
  <c r="I257" i="1"/>
  <c r="I224" i="1"/>
  <c r="I163" i="1"/>
  <c r="I142" i="1"/>
  <c r="I78" i="1"/>
  <c r="I50" i="1"/>
  <c r="I6" i="1"/>
  <c r="I348" i="1"/>
  <c r="I316" i="1"/>
  <c r="I283" i="1"/>
  <c r="I246" i="1"/>
  <c r="I227" i="1"/>
  <c r="I205" i="1"/>
  <c r="I172" i="1"/>
  <c r="I152" i="1"/>
  <c r="I114" i="1"/>
  <c r="I89" i="1"/>
  <c r="I58" i="1"/>
  <c r="I10" i="1"/>
  <c r="I311" i="1"/>
  <c r="I290" i="1"/>
  <c r="I256" i="1"/>
  <c r="I220" i="1"/>
  <c r="I180" i="1"/>
  <c r="I151" i="1"/>
  <c r="I113" i="1"/>
  <c r="I49" i="1"/>
  <c r="I296" i="1"/>
  <c r="I241" i="1"/>
  <c r="I221" i="1"/>
  <c r="I197" i="1"/>
  <c r="I61" i="1"/>
  <c r="I24" i="1"/>
  <c r="I13" i="1"/>
  <c r="I102" i="1"/>
  <c r="I88" i="1"/>
  <c r="I60" i="1"/>
  <c r="I23" i="1"/>
  <c r="I323" i="1"/>
  <c r="I288" i="1"/>
  <c r="I252" i="1"/>
  <c r="I233" i="1"/>
  <c r="I185" i="1"/>
  <c r="I166" i="1"/>
  <c r="I240" i="1"/>
  <c r="I217" i="1"/>
  <c r="I196" i="1"/>
  <c r="I169" i="1"/>
  <c r="I91" i="1"/>
  <c r="I77" i="1"/>
  <c r="I9" i="1"/>
  <c r="I304" i="1"/>
  <c r="I297" i="1"/>
  <c r="I260" i="1"/>
  <c r="I244" i="1"/>
  <c r="I234" i="1"/>
  <c r="I231" i="1"/>
  <c r="I143" i="1"/>
  <c r="I137" i="1"/>
  <c r="I128" i="1"/>
  <c r="I79" i="1"/>
  <c r="I55" i="1"/>
  <c r="I51" i="1"/>
  <c r="I37" i="1"/>
  <c r="I319" i="1"/>
  <c r="I302" i="1"/>
  <c r="I270" i="1"/>
  <c r="I148" i="1"/>
  <c r="I122" i="1"/>
  <c r="I324" i="1"/>
  <c r="I281" i="1"/>
  <c r="I267" i="1"/>
  <c r="I251" i="1"/>
  <c r="I242" i="1"/>
  <c r="I162" i="1"/>
  <c r="I141" i="1"/>
  <c r="I94" i="1"/>
  <c r="I80" i="1"/>
  <c r="I56" i="1"/>
  <c r="I52" i="1"/>
  <c r="I42" i="1"/>
  <c r="I27" i="1"/>
  <c r="I17" i="1"/>
  <c r="I340" i="1"/>
  <c r="I264" i="1"/>
  <c r="I232" i="1"/>
  <c r="I223" i="1"/>
  <c r="I129" i="1"/>
  <c r="I84" i="1"/>
  <c r="I355" i="1"/>
  <c r="I346" i="1"/>
  <c r="I336" i="1"/>
  <c r="I328" i="1"/>
  <c r="I318" i="1"/>
  <c r="I313" i="1"/>
  <c r="I310" i="1"/>
  <c r="I308" i="1"/>
  <c r="I293" i="1"/>
  <c r="I284" i="1"/>
  <c r="I277" i="1"/>
  <c r="I275" i="1"/>
  <c r="I258" i="1"/>
  <c r="I228" i="1"/>
  <c r="I214" i="1"/>
  <c r="I208" i="1"/>
  <c r="I206" i="1"/>
  <c r="I198" i="1"/>
  <c r="I192" i="1"/>
  <c r="I189" i="1"/>
  <c r="I186" i="1"/>
  <c r="I177" i="1"/>
  <c r="I158" i="1"/>
  <c r="I156" i="1"/>
  <c r="I153" i="1"/>
  <c r="I150" i="1"/>
  <c r="I134" i="1"/>
  <c r="I121" i="1"/>
  <c r="I101" i="1"/>
  <c r="I97" i="1"/>
  <c r="I87" i="1"/>
  <c r="I66" i="1"/>
  <c r="I62" i="1"/>
  <c r="I45" i="1"/>
  <c r="I35" i="1"/>
  <c r="I20" i="1"/>
  <c r="I11" i="1"/>
  <c r="I8" i="1"/>
  <c r="I4" i="1"/>
  <c r="I332" i="1"/>
  <c r="I132" i="1"/>
  <c r="I33" i="1"/>
  <c r="I322" i="1"/>
  <c r="I272" i="1"/>
  <c r="I253" i="1"/>
  <c r="I226" i="1"/>
  <c r="I171" i="1"/>
  <c r="I107" i="1"/>
  <c r="I358" i="1"/>
  <c r="I351" i="1"/>
  <c r="I342" i="1"/>
  <c r="I331" i="1"/>
  <c r="I289" i="1"/>
  <c r="I286" i="1"/>
  <c r="I269" i="1"/>
  <c r="I211" i="1"/>
  <c r="I195" i="1"/>
  <c r="I131" i="1"/>
  <c r="I117" i="1"/>
  <c r="I112" i="1"/>
  <c r="I90" i="1"/>
  <c r="I70" i="1"/>
  <c r="I68" i="1"/>
  <c r="I48" i="1"/>
  <c r="I32" i="1"/>
  <c r="I29" i="1"/>
  <c r="I22" i="1"/>
  <c r="I14" i="1"/>
  <c r="B2" i="9"/>
  <c r="I175" i="1"/>
  <c r="I124" i="1"/>
  <c r="I118" i="1"/>
  <c r="I75" i="1"/>
  <c r="I261" i="1"/>
  <c r="I245" i="1"/>
  <c r="I164" i="1"/>
  <c r="I138" i="1"/>
  <c r="I115" i="1"/>
  <c r="I349" i="1"/>
  <c r="I301" i="1"/>
  <c r="I361" i="1"/>
  <c r="I339" i="1"/>
  <c r="I333" i="1"/>
  <c r="I320" i="1"/>
  <c r="I271" i="1"/>
  <c r="I266" i="1"/>
  <c r="I263" i="1"/>
  <c r="I255" i="1"/>
  <c r="I250" i="1"/>
  <c r="I239" i="1"/>
  <c r="I216" i="1"/>
  <c r="I182" i="1"/>
  <c r="I179" i="1"/>
  <c r="I176" i="1"/>
  <c r="I149" i="1"/>
  <c r="I147" i="1"/>
  <c r="I140" i="1"/>
  <c r="I133" i="1"/>
  <c r="I125" i="1"/>
  <c r="I123" i="1"/>
  <c r="I109" i="1"/>
  <c r="I100" i="1"/>
  <c r="I96" i="1"/>
  <c r="I93" i="1"/>
  <c r="I86" i="1"/>
  <c r="I76" i="1"/>
  <c r="I73" i="1"/>
  <c r="I34" i="1"/>
  <c r="I19" i="1"/>
  <c r="I16" i="1"/>
  <c r="I3" i="1"/>
  <c r="I357" i="1"/>
  <c r="I335" i="1"/>
  <c r="I330" i="1"/>
  <c r="I309" i="1"/>
  <c r="I307" i="1"/>
  <c r="I285" i="1"/>
  <c r="I276" i="1"/>
  <c r="I273" i="1"/>
  <c r="I254" i="1"/>
  <c r="I249" i="1"/>
  <c r="I213" i="1"/>
  <c r="I210" i="1"/>
  <c r="I207" i="1"/>
  <c r="I200" i="1"/>
  <c r="I190" i="1"/>
  <c r="I188" i="1"/>
  <c r="I157" i="1"/>
  <c r="I155" i="1"/>
  <c r="I136" i="1"/>
  <c r="I130" i="1"/>
  <c r="I127" i="1"/>
  <c r="I108" i="1"/>
  <c r="I99" i="1"/>
  <c r="I72" i="1"/>
  <c r="I63" i="1"/>
  <c r="I53" i="1"/>
  <c r="I31" i="1"/>
  <c r="B3" i="9"/>
  <c r="I359" i="1"/>
  <c r="I353" i="1"/>
  <c r="I350" i="1"/>
  <c r="I347" i="1"/>
  <c r="I341" i="1"/>
  <c r="I337" i="1"/>
  <c r="I325" i="1"/>
  <c r="I300" i="1"/>
  <c r="I287" i="1"/>
  <c r="I278" i="1"/>
  <c r="I268" i="1"/>
  <c r="I265" i="1"/>
  <c r="I262" i="1"/>
  <c r="I259" i="1"/>
  <c r="I243" i="1"/>
  <c r="I237" i="1"/>
  <c r="I230" i="1"/>
  <c r="I215" i="1"/>
  <c r="I204" i="1"/>
  <c r="I194" i="1"/>
  <c r="I184" i="1"/>
  <c r="I178" i="1"/>
  <c r="I165" i="1"/>
  <c r="I159" i="1"/>
  <c r="I146" i="1"/>
  <c r="I116" i="1"/>
  <c r="I111" i="1"/>
  <c r="I95" i="1"/>
  <c r="I85" i="1"/>
  <c r="I81" i="1"/>
  <c r="I69" i="1"/>
  <c r="I67" i="1"/>
  <c r="I57" i="1"/>
  <c r="I46" i="1"/>
  <c r="I43" i="1"/>
  <c r="I36" i="1"/>
  <c r="I28" i="1"/>
  <c r="I21" i="1"/>
  <c r="I15" i="1"/>
  <c r="B7" i="9"/>
  <c r="I5" i="1"/>
  <c r="I2" i="1"/>
  <c r="C17" i="11" l="1"/>
  <c r="D22" i="11"/>
  <c r="D18" i="11"/>
  <c r="C18" i="11"/>
  <c r="D19" i="11"/>
  <c r="C19" i="11"/>
  <c r="C23" i="11"/>
  <c r="D23" i="11"/>
  <c r="C14" i="11"/>
  <c r="D14" i="11"/>
  <c r="D20" i="11"/>
  <c r="C20" i="11"/>
  <c r="D21" i="11"/>
  <c r="C21" i="11"/>
  <c r="C15" i="11"/>
  <c r="D15" i="11"/>
  <c r="C8" i="11"/>
  <c r="E6" i="11"/>
  <c r="F6" i="11" s="1"/>
  <c r="E5" i="11"/>
  <c r="G5" i="11" s="1"/>
  <c r="F5" i="11"/>
  <c r="H5" i="11"/>
  <c r="G4" i="11"/>
  <c r="B4" i="9"/>
  <c r="E4" i="11"/>
  <c r="E7" i="11"/>
  <c r="H7" i="11" s="1"/>
  <c r="B13" i="9"/>
  <c r="B15" i="9"/>
  <c r="B14" i="9"/>
  <c r="G6" i="11" l="1"/>
  <c r="G7" i="11"/>
  <c r="F7" i="11"/>
  <c r="H6" i="11"/>
  <c r="H4" i="11"/>
  <c r="F4" i="11"/>
  <c r="E8" i="11"/>
</calcChain>
</file>

<file path=xl/sharedStrings.xml><?xml version="1.0" encoding="utf-8"?>
<sst xmlns="http://schemas.openxmlformats.org/spreadsheetml/2006/main" count="4611" uniqueCount="554">
  <si>
    <t>OrderID</t>
  </si>
  <si>
    <t>OrderDateTime</t>
  </si>
  <si>
    <t>Branch</t>
  </si>
  <si>
    <t>CustomerType</t>
  </si>
  <si>
    <t>PaymentType</t>
  </si>
  <si>
    <t>Shift</t>
  </si>
  <si>
    <t>StaffID</t>
  </si>
  <si>
    <t>DiscountPct</t>
  </si>
  <si>
    <t>O00001</t>
  </si>
  <si>
    <t>Head Office Café</t>
  </si>
  <si>
    <t>Visitor</t>
  </si>
  <si>
    <t>UPI</t>
  </si>
  <si>
    <t>Breakfast</t>
  </si>
  <si>
    <t>E016</t>
  </si>
  <si>
    <t>O00002</t>
  </si>
  <si>
    <t>Plant 2 Canteen</t>
  </si>
  <si>
    <t>Staff</t>
  </si>
  <si>
    <t>Cash</t>
  </si>
  <si>
    <t>Dinner</t>
  </si>
  <si>
    <t>E004</t>
  </si>
  <si>
    <t>O00003</t>
  </si>
  <si>
    <t>Card</t>
  </si>
  <si>
    <t>Lunch</t>
  </si>
  <si>
    <t>E014</t>
  </si>
  <si>
    <t>O00004</t>
  </si>
  <si>
    <t>O00005</t>
  </si>
  <si>
    <t>O00006</t>
  </si>
  <si>
    <t>Plant 1 Canteen</t>
  </si>
  <si>
    <t>Worker</t>
  </si>
  <si>
    <t>E015</t>
  </si>
  <si>
    <t>O00007</t>
  </si>
  <si>
    <t>O00008</t>
  </si>
  <si>
    <t>O00009</t>
  </si>
  <si>
    <t>E003</t>
  </si>
  <si>
    <t>O00010</t>
  </si>
  <si>
    <t>O00011</t>
  </si>
  <si>
    <t>E013</t>
  </si>
  <si>
    <t>O00012</t>
  </si>
  <si>
    <t>E010</t>
  </si>
  <si>
    <t>O00013</t>
  </si>
  <si>
    <t>O00014</t>
  </si>
  <si>
    <t>E002</t>
  </si>
  <si>
    <t>O00015</t>
  </si>
  <si>
    <t>E011</t>
  </si>
  <si>
    <t>O00016</t>
  </si>
  <si>
    <t>E017</t>
  </si>
  <si>
    <t>O00017</t>
  </si>
  <si>
    <t>O00018</t>
  </si>
  <si>
    <t>E008</t>
  </si>
  <si>
    <t>O00019</t>
  </si>
  <si>
    <t>O00020</t>
  </si>
  <si>
    <t>O00021</t>
  </si>
  <si>
    <t>O00022</t>
  </si>
  <si>
    <t>O00023</t>
  </si>
  <si>
    <t>O00024</t>
  </si>
  <si>
    <t>E007</t>
  </si>
  <si>
    <t>O00025</t>
  </si>
  <si>
    <t>O00026</t>
  </si>
  <si>
    <t>O00027</t>
  </si>
  <si>
    <t>O00028</t>
  </si>
  <si>
    <t>O00029</t>
  </si>
  <si>
    <t>E018</t>
  </si>
  <si>
    <t>O00030</t>
  </si>
  <si>
    <t>O00031</t>
  </si>
  <si>
    <t>E009</t>
  </si>
  <si>
    <t>O00032</t>
  </si>
  <si>
    <t>O00033</t>
  </si>
  <si>
    <t>O00034</t>
  </si>
  <si>
    <t>O00035</t>
  </si>
  <si>
    <t>E001</t>
  </si>
  <si>
    <t>O00036</t>
  </si>
  <si>
    <t>O00037</t>
  </si>
  <si>
    <t>E005</t>
  </si>
  <si>
    <t>O00038</t>
  </si>
  <si>
    <t>E012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</si>
  <si>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</si>
  <si>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</si>
  <si>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</si>
  <si>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</si>
  <si>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</si>
  <si>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</si>
  <si>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</si>
  <si>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</si>
  <si>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</si>
  <si>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</si>
  <si>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</si>
  <si>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</si>
  <si>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</si>
  <si>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</si>
  <si>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</si>
  <si>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</si>
  <si>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</si>
  <si>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</si>
  <si>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</si>
  <si>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</si>
  <si>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E006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</si>
  <si>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</si>
  <si>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</si>
  <si>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</si>
  <si>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</si>
  <si>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</si>
  <si>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</si>
  <si>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</si>
  <si>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</si>
  <si>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</si>
  <si>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</si>
  <si>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</si>
  <si>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</si>
  <si>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</si>
  <si>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</si>
  <si>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</si>
  <si>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</si>
  <si>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</si>
  <si>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</si>
  <si>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</si>
  <si>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</si>
  <si>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</si>
  <si>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</si>
  <si>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</si>
  <si>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</si>
  <si>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</si>
  <si>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</si>
  <si>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</si>
  <si>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</si>
  <si>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</si>
  <si>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</si>
  <si>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</si>
  <si>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</si>
  <si>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</si>
  <si>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</si>
  <si>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</si>
  <si>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</si>
  <si>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</si>
  <si>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</si>
  <si>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</si>
  <si>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</si>
  <si>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</si>
  <si>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</si>
  <si>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</si>
  <si>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</si>
  <si>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</si>
  <si>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</si>
  <si>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</si>
  <si>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</si>
  <si>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</si>
  <si>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</si>
  <si>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</si>
  <si>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</si>
  <si>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</si>
  <si>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</si>
  <si>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</si>
  <si>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</si>
  <si>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</si>
  <si>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</si>
  <si>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</si>
  <si>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</si>
  <si>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</si>
  <si>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</si>
  <si>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</si>
  <si>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</si>
  <si>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</si>
  <si>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</si>
  <si>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</si>
  <si>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</si>
  <si>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</si>
  <si>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</si>
  <si>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</si>
  <si>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</si>
  <si>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</si>
  <si>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</si>
  <si>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</si>
  <si>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</si>
  <si>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</si>
  <si>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</si>
  <si>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</si>
  <si>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</si>
  <si>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</si>
  <si>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</si>
  <si>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</si>
  <si>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</si>
  <si>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</si>
  <si>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</si>
  <si>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</si>
  <si>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</si>
  <si>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</si>
  <si>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</si>
  <si>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</si>
  <si>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</si>
  <si>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</si>
  <si>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</si>
  <si>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</si>
  <si>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</si>
  <si>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</si>
  <si>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</si>
  <si>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</si>
  <si>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</si>
  <si>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</si>
  <si>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</si>
  <si>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</si>
  <si>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</si>
  <si>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</si>
  <si>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</si>
  <si>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</si>
  <si>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</si>
  <si>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</si>
  <si>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</si>
  <si>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</si>
  <si>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</si>
  <si>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</si>
  <si>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</si>
  <si>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</si>
  <si>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</si>
  <si>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</si>
  <si>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</si>
  <si>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</si>
  <si>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</si>
  <si>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</si>
  <si>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</si>
  <si>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</si>
  <si>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</si>
  <si>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</si>
  <si>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</si>
  <si>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</si>
  <si>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</si>
  <si>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</si>
  <si>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</si>
  <si>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</si>
  <si>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</si>
  <si>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</si>
  <si>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</si>
  <si>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</si>
  <si>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</si>
  <si>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</si>
  <si>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</si>
  <si>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</si>
  <si>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</si>
  <si>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</si>
  <si>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</si>
  <si>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</si>
  <si>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</si>
  <si>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</si>
  <si>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</si>
  <si>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</si>
  <si>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</si>
  <si>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</si>
  <si>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</si>
  <si>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</si>
  <si>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</si>
  <si>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</si>
  <si>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</si>
  <si>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</si>
  <si>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</si>
  <si>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</si>
  <si>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</si>
  <si>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</si>
  <si>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</si>
  <si>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</si>
  <si>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</si>
  <si>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</si>
  <si>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</si>
  <si>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</si>
  <si>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</si>
  <si>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</si>
  <si>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</si>
  <si>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</si>
  <si>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</si>
  <si>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</si>
  <si>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</si>
  <si>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</si>
  <si>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</si>
  <si>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</si>
  <si>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</si>
  <si>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</si>
  <si>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</si>
  <si>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</si>
  <si>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</si>
  <si>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</si>
  <si>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</si>
  <si>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</si>
  <si>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</si>
  <si>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</si>
  <si>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</si>
  <si>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</si>
  <si>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</si>
  <si>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</si>
  <si>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</si>
  <si>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</si>
  <si>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</si>
  <si>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</si>
  <si>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</si>
  <si>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</si>
  <si>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</si>
  <si>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</si>
  <si>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</si>
  <si>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</si>
  <si>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</si>
  <si>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</si>
  <si>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</si>
  <si>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</si>
  <si>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</si>
  <si>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</si>
  <si>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</si>
  <si>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</si>
  <si>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</si>
  <si>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</si>
  <si>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</si>
  <si>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</si>
  <si>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</si>
  <si>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</si>
  <si>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</si>
  <si>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</si>
  <si>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</si>
  <si>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</si>
  <si>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</si>
  <si>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</si>
  <si>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</si>
  <si>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</si>
  <si>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</si>
  <si>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</si>
  <si>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</si>
  <si>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</si>
  <si>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</si>
  <si>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</si>
  <si>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</si>
  <si>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</si>
  <si>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</si>
  <si>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</si>
  <si>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</si>
  <si>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</si>
  <si>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</si>
  <si>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</si>
  <si>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</si>
  <si>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</si>
  <si>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</si>
  <si>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</si>
  <si>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</si>
  <si>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</si>
  <si>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</si>
  <si>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</si>
  <si>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</si>
  <si>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</si>
  <si>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</si>
  <si>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</si>
  <si>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</si>
  <si>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</si>
  <si>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</si>
  <si>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</si>
  <si>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</si>
  <si>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</si>
  <si>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</si>
  <si>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</si>
  <si>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</si>
  <si>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</si>
  <si>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</si>
  <si>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</si>
  <si>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</si>
  <si>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</si>
  <si>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</si>
  <si>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</si>
  <si>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</si>
  <si>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</si>
  <si>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</si>
  <si>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</si>
  <si>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</si>
  <si>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</si>
  <si>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</si>
  <si>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</si>
  <si>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</si>
  <si>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</si>
  <si>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</si>
  <si>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</si>
  <si>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</si>
  <si>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</si>
  <si>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</si>
  <si>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</si>
  <si>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</si>
  <si>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</si>
  <si>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</si>
  <si>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</si>
  <si>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</si>
  <si>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</si>
  <si>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</si>
  <si>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</si>
  <si>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</si>
  <si>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</si>
  <si>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</si>
  <si>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</si>
  <si>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</si>
  <si>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</si>
  <si>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</si>
  <si>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</si>
  <si>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</si>
  <si>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</si>
  <si>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</si>
  <si>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</si>
  <si>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</si>
  <si>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</si>
  <si>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</si>
  <si>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SKU</t>
  </si>
  <si>
    <t>Qty</t>
  </si>
  <si>
    <t>UnitPrice</t>
  </si>
  <si>
    <t>SHJ7XV</t>
  </si>
  <si>
    <t>BTIQJ7</t>
  </si>
  <si>
    <t>DH9SDB</t>
  </si>
  <si>
    <t>BOC6UZ</t>
  </si>
  <si>
    <t>H3A3ZM</t>
  </si>
  <si>
    <t>SZBIKC</t>
  </si>
  <si>
    <t>HH1DNM</t>
  </si>
  <si>
    <t>SCKW5N</t>
  </si>
  <si>
    <t>B0T0PV</t>
  </si>
  <si>
    <t>BXO6QJ</t>
  </si>
  <si>
    <t>BHL1C3</t>
  </si>
  <si>
    <t>DYTJXE</t>
  </si>
  <si>
    <t>DFFYVN</t>
  </si>
  <si>
    <t>D9T84A</t>
  </si>
  <si>
    <t>HDPBHS</t>
  </si>
  <si>
    <t>HXAJI0</t>
  </si>
  <si>
    <t>HUZZPQ</t>
  </si>
  <si>
    <t>SV30T9</t>
  </si>
  <si>
    <t>S5NQ4F</t>
  </si>
  <si>
    <t>ItemName</t>
  </si>
  <si>
    <t>Category</t>
  </si>
  <si>
    <t>SupplierID</t>
  </si>
  <si>
    <t>UnitCost</t>
  </si>
  <si>
    <t>Veg Thali</t>
  </si>
  <si>
    <t>Hot Meal</t>
  </si>
  <si>
    <t>S009</t>
  </si>
  <si>
    <t>Chicken Thali</t>
  </si>
  <si>
    <t>S001</t>
  </si>
  <si>
    <t>Rajma Chawal</t>
  </si>
  <si>
    <t>S005</t>
  </si>
  <si>
    <t>Paneer Butter Masala + Naan</t>
  </si>
  <si>
    <t>S003</t>
  </si>
  <si>
    <t>Egg Curry + Rice</t>
  </si>
  <si>
    <t>S006</t>
  </si>
  <si>
    <t>Samosa</t>
  </si>
  <si>
    <t>Snack</t>
  </si>
  <si>
    <t>S007</t>
  </si>
  <si>
    <t>Veg Sandwich</t>
  </si>
  <si>
    <t>S004</t>
  </si>
  <si>
    <t>Paneer Roll</t>
  </si>
  <si>
    <t>Masala Puff</t>
  </si>
  <si>
    <t>Poha</t>
  </si>
  <si>
    <t>Tea</t>
  </si>
  <si>
    <t>Beverage</t>
  </si>
  <si>
    <t>Coffee</t>
  </si>
  <si>
    <t>Masala Chaas</t>
  </si>
  <si>
    <t>Nimbu Pani</t>
  </si>
  <si>
    <t>Bottled Water</t>
  </si>
  <si>
    <t>Gulab Jamun (2 pc)</t>
  </si>
  <si>
    <t>Dessert</t>
  </si>
  <si>
    <t>S002</t>
  </si>
  <si>
    <t>Kheer Cup</t>
  </si>
  <si>
    <t>S010</t>
  </si>
  <si>
    <t>Brownie</t>
  </si>
  <si>
    <t>Fruit Cup</t>
  </si>
  <si>
    <t>StaffName</t>
  </si>
  <si>
    <t>Role</t>
  </si>
  <si>
    <t>HourlyRateINR</t>
  </si>
  <si>
    <t>Tarun</t>
  </si>
  <si>
    <t>Cashier</t>
  </si>
  <si>
    <t>Payal</t>
  </si>
  <si>
    <t>Karan</t>
  </si>
  <si>
    <t>Cook</t>
  </si>
  <si>
    <t>Vikram</t>
  </si>
  <si>
    <t>Rina</t>
  </si>
  <si>
    <t>Sanjay</t>
  </si>
  <si>
    <t>Manish</t>
  </si>
  <si>
    <t>Pooja</t>
  </si>
  <si>
    <t>Server</t>
  </si>
  <si>
    <t>Sourav</t>
  </si>
  <si>
    <t>Neha</t>
  </si>
  <si>
    <t>Amit</t>
  </si>
  <si>
    <t>Sneha</t>
  </si>
  <si>
    <t>Iqbal</t>
  </si>
  <si>
    <t>OnHandQty</t>
  </si>
  <si>
    <t>ReorderPoint</t>
  </si>
  <si>
    <t>LeadTimeDays</t>
  </si>
  <si>
    <t>LastRestockDate</t>
  </si>
  <si>
    <t>SupplierName</t>
  </si>
  <si>
    <t>City</t>
  </si>
  <si>
    <t>Phone</t>
  </si>
  <si>
    <t>DailyDairy 1</t>
  </si>
  <si>
    <t>Howrah</t>
  </si>
  <si>
    <t>+91-9624636385</t>
  </si>
  <si>
    <t>BakersHub 2</t>
  </si>
  <si>
    <t>Durgapur</t>
  </si>
  <si>
    <t>+91-9120912992</t>
  </si>
  <si>
    <t>FreshFoods 3</t>
  </si>
  <si>
    <t>+91-9220117054</t>
  </si>
  <si>
    <t>Tea&amp;Co 4</t>
  </si>
  <si>
    <t>Jamshedpur</t>
  </si>
  <si>
    <t>+91-9489747629</t>
  </si>
  <si>
    <t>SpiceRoute 5</t>
  </si>
  <si>
    <t>+91-9992994062</t>
  </si>
  <si>
    <t>DailyDairy 6</t>
  </si>
  <si>
    <t>+91-9966267851</t>
  </si>
  <si>
    <t>SpiceRoute 7</t>
  </si>
  <si>
    <t>+91-9430190783</t>
  </si>
  <si>
    <t>S008</t>
  </si>
  <si>
    <t>AgroDelight 8</t>
  </si>
  <si>
    <t>Kolkata</t>
  </si>
  <si>
    <t>+91-9357109965</t>
  </si>
  <si>
    <t>Tea&amp;Co 9</t>
  </si>
  <si>
    <t>+91-9162196678</t>
  </si>
  <si>
    <t>SpiceRoute 10</t>
  </si>
  <si>
    <t>+91-9358633898</t>
  </si>
  <si>
    <t>Date</t>
  </si>
  <si>
    <t>Reason</t>
  </si>
  <si>
    <t>Spoilage</t>
  </si>
  <si>
    <t>Damaged</t>
  </si>
  <si>
    <t>Expired</t>
  </si>
  <si>
    <t>Overproduction</t>
  </si>
  <si>
    <t>Rating</t>
  </si>
  <si>
    <t>Comment</t>
  </si>
  <si>
    <t>Ok</t>
  </si>
  <si>
    <t>Great staff</t>
  </si>
  <si>
    <t>Good</t>
  </si>
  <si>
    <t>Less spicy</t>
  </si>
  <si>
    <t>Loved chai</t>
  </si>
  <si>
    <t>Crowded</t>
  </si>
  <si>
    <t>Slow service</t>
  </si>
  <si>
    <t>OrderDate</t>
  </si>
  <si>
    <t>LineNetAmount</t>
  </si>
  <si>
    <t>HasBeverageLine</t>
  </si>
  <si>
    <t>OrderTotalRevenue</t>
  </si>
  <si>
    <t>2) Monthly Revenue &amp; Month-on-Month Change</t>
  </si>
  <si>
    <t>July revenue:</t>
  </si>
  <si>
    <t>Value</t>
  </si>
  <si>
    <t>August revenue:</t>
  </si>
  <si>
    <t>MOM:</t>
  </si>
  <si>
    <t>3) Lunch shift Revenue in August 2025 for Head Office Café</t>
  </si>
  <si>
    <t>Lunch Revenue:</t>
  </si>
  <si>
    <t>Beverage + UPI count:</t>
  </si>
  <si>
    <t>4) Orders with any Beverage item and paid via UPI</t>
  </si>
  <si>
    <t>5) Average ticket size by Shift for July and August combined</t>
  </si>
  <si>
    <t>ComboFlag</t>
  </si>
  <si>
    <t>DiscountFlag</t>
  </si>
  <si>
    <t>Total Revenue</t>
  </si>
  <si>
    <t>Head Office Café % Contribution</t>
  </si>
  <si>
    <t>Plant 1 Canteen % Contribution</t>
  </si>
  <si>
    <t>Plant 2 Canteen % Contribution</t>
  </si>
  <si>
    <t>Grand Total</t>
  </si>
  <si>
    <t>1) Revenue by Category and Branch for July plus August</t>
  </si>
  <si>
    <t>2) Top 10 SKUs by Revenue in August only</t>
  </si>
  <si>
    <t>Rank</t>
  </si>
  <si>
    <t>Qty Sold</t>
  </si>
  <si>
    <t>Revenue</t>
  </si>
  <si>
    <t>Helper: SKU</t>
  </si>
  <si>
    <t>Helper: Aug Revenue</t>
  </si>
  <si>
    <t>3) Gross Margin% by Branch</t>
  </si>
  <si>
    <t>Food Cost</t>
  </si>
  <si>
    <t>Gross Margin</t>
  </si>
  <si>
    <t>Gross Margin%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</si>
</sst>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yyyy\-mm\-dd"/>
    <numFmt numFmtId="173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4" fontId="0" fillId="0" borderId="0" xfId="0" applyNumberFormat="1"/>
    <xf numFmtId="10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0" borderId="2" xfId="0" applyFont="1" applyBorder="1"/>
    <xf numFmtId="0" fontId="1" fillId="0" borderId="3" xfId="0" applyFont="1" applyBorder="1" applyAlignment="1">
      <alignment horizontal="center" vertical="top"/>
    </xf>
    <xf numFmtId="9" fontId="0" fillId="0" borderId="0" xfId="0" applyNumberForma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4" fontId="5" fillId="0" borderId="0" xfId="0" applyNumberFormat="1" applyFont="1"/>
    <xf numFmtId="173" fontId="0" fillId="0" borderId="0" xfId="0" applyNumberFormat="1"/>
    <xf numFmtId="0" fontId="6" fillId="2" borderId="4" xfId="0" applyFont="1" applyFill="1" applyBorder="1" applyAlignment="1">
      <alignment horizontal="center"/>
    </xf>
  </cellXfs>
  <cellStyles count="1">
    <cellStyle name="Normal" xfId="0" builtinId="0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666699"/>
          <bgColor rgb="FF30549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numFmt numFmtId="173" formatCode="0.0%"/>
    </dxf>
    <dxf>
      <numFmt numFmtId="2" formatCode="0.00"/>
    </dxf>
    <dxf>
      <numFmt numFmtId="2" formatCode="0.00"/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3" formatCode="0%"/>
    </dxf>
    <dxf>
      <numFmt numFmtId="164" formatCode="yyyy\-mm\-dd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F6D2C2-660C-42BD-A8A1-696DD2388F3D}" name="Table2" displayName="Table2" ref="A1:K361" totalsRowShown="0" headerRowDxfId="35">
  <autoFilter ref="A1:K361" xr:uid="{5DF6D2C2-660C-42BD-A8A1-696DD2388F3D}"/>
  <tableColumns count="11">
    <tableColumn id="1" xr3:uid="{54914CCC-FBA3-4A73-9B16-0059EFEC5FAA}" name="OrderID"/>
    <tableColumn id="2" xr3:uid="{53D79FBB-311D-49C1-A686-59D068823D39}" name="OrderDateTime" dataDxfId="34"/>
    <tableColumn id="3" xr3:uid="{788D45B2-13DD-44A8-BC29-0F07F13AD84B}" name="Branch"/>
    <tableColumn id="4" xr3:uid="{E6A38A5A-CC50-466A-9E2E-2DFCE3665832}" name="CustomerType"/>
    <tableColumn id="5" xr3:uid="{3A930481-6829-4130-906E-B2CC8F1DEAAB}" name="PaymentType"/>
    <tableColumn id="6" xr3:uid="{0AAB3160-0C43-4FCF-8199-3A23B0FF23D8}" name="Shift"/>
    <tableColumn id="7" xr3:uid="{E6E7B865-F1BC-4E55-AC37-9C8A34FB2F38}" name="DiscountPct" dataDxfId="33"/>
    <tableColumn id="8" xr3:uid="{74B2EADB-CC74-4E81-A721-F6D1F02ED1E4}" name="HasBeverageLine">
      <calculatedColumnFormula>(COUNTIFS(OrderLines!$A:$A,A2,OrderLines!$F:$F,"Beverage")&gt;0)</calculatedColumnFormula>
    </tableColumn>
    <tableColumn id="9" xr3:uid="{C23FC87F-1975-42DC-97BD-AE9385A77CC2}" name="OrderTotalRevenue">
      <calculatedColumnFormula>SUMIFS(OrderLines!$I:$I,OrderLines!$A:$A,A2)</calculatedColumnFormula>
    </tableColumn>
    <tableColumn id="10" xr3:uid="{81313EDC-4A73-40B4-9D03-A34374FA87ED}" name="ComboFlag" dataDxfId="32">
      <calculatedColumnFormula>IF(AND(COUNTIFS(OrderLines!$A$2:$A$925,A2,OrderLines!$F$2:$F$925,"Hot Meal")&gt;0,COUNTIFS(OrderLines!$A$2:$A$925,A2,OrderLines!$F$2:$F$925,"Beverage")&gt;0),"Combo","Single")</calculatedColumnFormula>
    </tableColumn>
    <tableColumn id="11" xr3:uid="{34903D7E-3F81-4856-AD9A-3A8D521BDB49}" name="DiscountFlag" dataDxfId="31">
      <calculatedColumnFormula>IF(SUMPRODUCT((OrderLines!$A$2:$A$925=A2)*OrderLines!$C$2:$C$925*OrderLines!$D$2:$D$925)*G2&gt;40,"HighDisc","OK")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54F855-4FAB-46BE-900C-BD07B30BF31B}" name="Table1" displayName="Table1" ref="A1:K925" totalsRowShown="0" headerRowDxfId="30">
  <autoFilter ref="A1:K925" xr:uid="{C854F855-4FAB-46BE-900C-BD07B30BF31B}"/>
  <tableColumns count="11">
    <tableColumn id="1" xr3:uid="{188AD749-6563-4B65-B327-8FC95FD745D6}" name="OrderID"/>
    <tableColumn id="2" xr3:uid="{5131FE47-8C83-4BE6-B475-70171833BBE1}" name="SKU"/>
    <tableColumn id="3" xr3:uid="{39601ACE-A7A8-449A-836A-85CEEFA59ACA}" name="Qty"/>
    <tableColumn id="4" xr3:uid="{0BDFF15D-E108-4A9B-88F2-5DD4407224E4}" name="UnitPrice">
      <calculatedColumnFormula>VLOOKUP(B2, Menu!$A:$F, 6, 0)</calculatedColumnFormula>
    </tableColumn>
    <tableColumn id="5" xr3:uid="{40FBA542-CE9C-408C-B6BD-0D4FF22577E4}" name="UnitCost">
      <calculatedColumnFormula>VLOOKUP(B2, Menu!$A:$F, 5, 0)</calculatedColumnFormula>
    </tableColumn>
    <tableColumn id="6" xr3:uid="{ED6B9DA2-5CF7-4E58-8443-4AEDB059DECE}" name="Category">
      <calculatedColumnFormula>VLOOKUP(B2, Menu!$A:$F, 3, 0)</calculatedColumnFormula>
    </tableColumn>
    <tableColumn id="7" xr3:uid="{87D4D1B8-E44A-430B-AFB8-1706577FCDF8}" name="OrderDate" dataDxfId="29">
      <calculatedColumnFormula>VLOOKUP(A2, Orders!$A:$B, 2, 0)</calculatedColumnFormula>
    </tableColumn>
    <tableColumn id="8" xr3:uid="{86FAB342-BC99-4663-8BA2-CFDBA35BC3D4}" name="Branch">
      <calculatedColumnFormula>VLOOKUP(A2, Orders!$A:$C, 3, 0)</calculatedColumnFormula>
    </tableColumn>
    <tableColumn id="9" xr3:uid="{0A89C9E9-FD34-43B2-B00C-7BD3B1366CCD}" name="LineNetAmount" dataDxfId="28">
      <calculatedColumnFormula>C2*D2*(1-VLOOKUP(A2,Orders!$A:$G,7,0))</calculatedColumnFormula>
    </tableColumn>
    <tableColumn id="10" xr3:uid="{A68780A0-3256-4B5C-B7D9-720336F009B0}" name="Shift" dataDxfId="27">
      <calculatedColumnFormula>VLOOKUP(A2,Orders!$A:$G,6,0)</calculatedColumnFormula>
    </tableColumn>
    <tableColumn id="11" xr3:uid="{5993DBD7-0C25-4BB7-9A14-137DB31D4C0F}" name="PaymentType" dataDxfId="26">
      <calculatedColumnFormula>VLOOKUP(A2,Orders!$A:$G,5,0)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09DA42-9CAF-43B2-A78B-036C792EFFB3}" name="Table3" displayName="Table3" ref="A1:B4" totalsRowShown="0">
  <autoFilter ref="A1:B4" xr:uid="{4E09DA42-9CAF-43B2-A78B-036C792EFFB3}"/>
  <tableColumns count="2">
    <tableColumn id="1" xr3:uid="{3E4B53E5-B201-4DBF-9457-9760A447E6A9}" name="2) Monthly Revenue &amp; Month-on-Month Change" dataDxfId="25"/>
    <tableColumn id="2" xr3:uid="{232676A2-69E2-4500-A3A0-26156946C57E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678DDC-2F70-41FE-A45C-11C7B52280CF}" name="Table4" displayName="Table4" ref="A6:B7" totalsRowShown="0" headerRowDxfId="24">
  <autoFilter ref="A6:B7" xr:uid="{14678DDC-2F70-41FE-A45C-11C7B52280CF}"/>
  <tableColumns count="2">
    <tableColumn id="1" xr3:uid="{5A9E61E9-97AD-47A7-9BE7-8CF5A764565B}" name="3) Lunch shift Revenue in August 2025 for Head Office Café" dataDxfId="23"/>
    <tableColumn id="2" xr3:uid="{4FEE7D45-8470-4806-AC31-7C9DEE16B344}" name="Value" dataDxfId="22">
      <calculatedColumnFormula>SUMIFS(OrderLines!I:I, OrderLines!G:G,"&gt;="&amp;DATE(2025,8,1), OrderLines!G:G,"&lt;"&amp;DATE(2025,9,1), OrderLines!H:H,"Head Office Café", OrderLines!J:J,"Lunch")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CD7302-BB1E-4689-92D5-62060FD3B975}" name="Table5" displayName="Table5" ref="A9:B10" totalsRowShown="0" headerRowDxfId="21">
  <autoFilter ref="A9:B10" xr:uid="{8CCD7302-BB1E-4689-92D5-62060FD3B975}"/>
  <tableColumns count="2">
    <tableColumn id="1" xr3:uid="{D2F15CC9-ABA8-4B4A-8984-4DA0F3F841F4}" name="4) Orders with any Beverage item and paid via UPI" dataDxfId="20"/>
    <tableColumn id="2" xr3:uid="{4FC19055-C03C-49E6-9BBB-FBDEDCC2D8E3}" name="Value">
      <calculatedColumnFormula>COUNTIFS(Orders!H:H,TRUE,Orders!E:E,"UPI")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4E333F-C3DE-4D02-A08D-27F0BDF4D220}" name="Table6" displayName="Table6" ref="A12:B15" totalsRowShown="0" headerRowDxfId="19">
  <autoFilter ref="A12:B15" xr:uid="{634E333F-C3DE-4D02-A08D-27F0BDF4D220}"/>
  <tableColumns count="2">
    <tableColumn id="1" xr3:uid="{21036FDC-371C-48A6-904D-75D5410214A0}" name="5) Average ticket size by Shift for July and August combined" dataDxfId="18"/>
    <tableColumn id="2" xr3:uid="{4C18D9F4-8838-46CA-91F5-B1A31A2B458C}" name="Value" dataDxfId="1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AF456C-27B2-42C2-9FE9-647513ED7A41}" name="Table8" displayName="Table8" ref="A3:H8" totalsRowShown="0" headerRowDxfId="8">
  <autoFilter ref="A3:H8" xr:uid="{70AF456C-27B2-42C2-9FE9-647513ED7A41}"/>
  <tableColumns count="8">
    <tableColumn id="1" xr3:uid="{8E8839A6-B8AE-49C3-A921-341F31712327}" name="Category" dataDxfId="16"/>
    <tableColumn id="2" xr3:uid="{8905FAB8-46EB-4C4D-9534-B0CA969FC188}" name="Head Office Café" dataDxfId="15"/>
    <tableColumn id="3" xr3:uid="{F0BF6C14-34B8-4C14-8B88-1206D74EDF97}" name="Plant 1 Canteen" dataDxfId="14"/>
    <tableColumn id="4" xr3:uid="{6CD486D1-2D6D-4FA7-A195-8B5D1312AE51}" name="Plant 2 Canteen" dataDxfId="13"/>
    <tableColumn id="5" xr3:uid="{D14FAEBF-529B-46CD-86AF-A015B92349A7}" name="Total Revenue" dataDxfId="12"/>
    <tableColumn id="6" xr3:uid="{718ACBC4-40BE-4C30-9821-5D6DE4080365}" name="Head Office Café % Contribution" dataDxfId="11"/>
    <tableColumn id="7" xr3:uid="{B6A353DF-6B59-4A91-B0EF-09825E1D0CF1}" name="Plant 1 Canteen % Contribution" dataDxfId="10"/>
    <tableColumn id="8" xr3:uid="{FFC0E668-8DFF-4F5F-803F-D4545FB51DE8}" name="Plant 2 Canteen % Contribution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410E15D-3030-42E8-9F5B-98E6157E1A9B}" name="Table9" displayName="Table9" ref="A13:E23" totalsRowShown="0" headerRowDxfId="6">
  <autoFilter ref="A13:E23" xr:uid="{C410E15D-3030-42E8-9F5B-98E6157E1A9B}"/>
  <tableColumns count="5">
    <tableColumn id="1" xr3:uid="{6538F5CF-6D4A-4A43-AE3F-2C52A038E6C5}" name="Rank"/>
    <tableColumn id="2" xr3:uid="{D0A003BE-2616-40DD-9731-5BA417B884DA}" name="SKU">
      <calculatedColumnFormula>INDEX($J$14:$J$32,MATCH($E14,$K$14:$K$32,0))</calculatedColumnFormula>
    </tableColumn>
    <tableColumn id="3" xr3:uid="{D584BDD0-7707-49DC-BE61-99C7714AD940}" name="ItemName">
      <calculatedColumnFormula>VLOOKUP(B14,Menu!$A:$B,2,FALSE())</calculatedColumnFormula>
    </tableColumn>
    <tableColumn id="4" xr3:uid="{0ECF6173-CC5C-43C3-9263-3C6C4AA5A4B5}" name="Qty Sold">
      <calculatedColumnFormula>SUMIFS(OrderLines!$C:$C, OrderLines!$B:$B, B14, OrderLines!$G:$G, "&gt;="&amp;DATE(2025,8,1), OrderLines!$G:$G, "&lt;"&amp;DATE(2025,9,1))</calculatedColumnFormula>
    </tableColumn>
    <tableColumn id="5" xr3:uid="{92603F6D-631C-40A1-A54E-FA626C485B1F}" name="Revenue" dataDxfId="7">
      <calculatedColumnFormula>LARGE($K$14:$K$32,$A14)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6DE67E7-0E49-4E1B-AF7E-2A65FE981AB6}" name="Table10" displayName="Table10" ref="A28:E31" totalsRowShown="0" headerRowDxfId="0" headerRowBorderDxfId="4" tableBorderDxfId="5">
  <autoFilter ref="A28:E31" xr:uid="{B6DE67E7-0E49-4E1B-AF7E-2A65FE981AB6}"/>
  <tableColumns count="5">
    <tableColumn id="1" xr3:uid="{8DAFB5B3-ED4F-42E6-AAC4-769728EA7ECE}" name="Branch"/>
    <tableColumn id="2" xr3:uid="{C5C3DB81-0335-4AC9-90F5-533E06AB6854}" name="Revenue" dataDxfId="3">
      <calculatedColumnFormula>SUMIFS(OrderLines!$I:$I, OrderLines!$H:$H, $A29)</calculatedColumnFormula>
    </tableColumn>
    <tableColumn id="3" xr3:uid="{5B511D80-F766-46B8-ADC1-0DB3160F7E5B}" name="Food Cost">
      <calculatedColumnFormula>SUMPRODUCT((OrderLines!$H$2:$H$925=$A29)*OrderLines!$C$2:$C$925*OrderLines!$E$2:$E$925)</calculatedColumnFormula>
    </tableColumn>
    <tableColumn id="4" xr3:uid="{85675E4C-59E5-40A0-B0C7-0A3EDA8E79FB}" name="Gross Margin" dataDxfId="2">
      <calculatedColumnFormula>B29-C29</calculatedColumnFormula>
    </tableColumn>
    <tableColumn id="5" xr3:uid="{A3999E50-9986-42C9-A3CB-7A573DF265D7}" name="Gross Margin%" dataDxfId="1">
      <calculatedColumnFormula>IFERROR(D29/B29,0)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EBC0-0F11-45B2-8A82-CAFF1D8A612A}">
  <dimension ref="A1:K361"/>
  <sheetViews>
    <sheetView topLeftCell="D1" workbookViewId="0">
      <selection activeCell="K15" sqref="K15"/>
    </sheetView>
  </sheetViews>
  <sheetFormatPr defaultRowHeight="14.4" x14ac:dyDescent="0.3"/>
  <cols>
    <col min="1" max="1" width="12" bestFit="1" customWidth="1"/>
    <col min="2" max="2" width="18.33203125" bestFit="1" customWidth="1"/>
    <col min="3" max="3" width="15" bestFit="1" customWidth="1"/>
    <col min="4" max="4" width="17.77734375" bestFit="1" customWidth="1"/>
    <col min="5" max="5" width="17.109375" bestFit="1" customWidth="1"/>
    <col min="6" max="6" width="9.33203125" bestFit="1" customWidth="1"/>
    <col min="7" max="7" width="15.44140625" bestFit="1" customWidth="1"/>
    <col min="8" max="8" width="17.5546875" bestFit="1" customWidth="1"/>
    <col min="9" max="9" width="19.77734375" bestFit="1" customWidth="1"/>
    <col min="10" max="10" width="14.88671875" bestFit="1" customWidth="1"/>
    <col min="11" max="11" width="16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4" t="s">
        <v>524</v>
      </c>
      <c r="I1" s="4" t="s">
        <v>525</v>
      </c>
      <c r="J1" s="10" t="s">
        <v>536</v>
      </c>
      <c r="K1" s="10" t="s">
        <v>537</v>
      </c>
    </row>
    <row r="2" spans="1:11" x14ac:dyDescent="0.3">
      <c r="A2" t="s">
        <v>8</v>
      </c>
      <c r="B2" s="2">
        <v>45852.096203703702</v>
      </c>
      <c r="C2" t="s">
        <v>9</v>
      </c>
      <c r="D2" t="s">
        <v>10</v>
      </c>
      <c r="E2" t="s">
        <v>11</v>
      </c>
      <c r="F2" t="s">
        <v>12</v>
      </c>
      <c r="G2" s="11">
        <v>0.06</v>
      </c>
      <c r="H2" t="b">
        <f>(COUNTIFS(OrderLines!$A:$A,A2,OrderLines!$F:$F,"Beverage")&gt;0)</f>
        <v>0</v>
      </c>
      <c r="I2">
        <f>SUMIFS(OrderLines!$I:$I,OrderLines!$A:$A,A2)</f>
        <v>147.90900000000002</v>
      </c>
      <c r="J2" t="str">
        <f>IF(AND(COUNTIFS(OrderLines!$A$2:$A$925,A2,OrderLines!$F$2:$F$925,"Hot Meal")&gt;0,COUNTIFS(OrderLines!$A$2:$A$925,A2,OrderLines!$F$2:$F$925,"Beverage")&gt;0),"Combo","Single")</f>
        <v>Single</v>
      </c>
      <c r="K2" t="str">
        <f>IF(SUMPRODUCT((OrderLines!$A$2:$A$925=A2)*OrderLines!$C$2:$C$925*OrderLines!$D$2:$D$925)*G2&gt;40,"HighDisc","OK")</f>
        <v>OK</v>
      </c>
    </row>
    <row r="3" spans="1:11" x14ac:dyDescent="0.3">
      <c r="A3" t="s">
        <v>14</v>
      </c>
      <c r="B3" s="2">
        <v>45862.842685185176</v>
      </c>
      <c r="C3" t="s">
        <v>15</v>
      </c>
      <c r="D3" t="s">
        <v>16</v>
      </c>
      <c r="E3" t="s">
        <v>17</v>
      </c>
      <c r="F3" t="s">
        <v>18</v>
      </c>
      <c r="G3" s="11">
        <v>0.05</v>
      </c>
      <c r="H3" t="b">
        <f>(COUNTIFS(OrderLines!$A:$A,A3,OrderLines!$F:$F,"Beverage")&gt;0)</f>
        <v>1</v>
      </c>
      <c r="I3">
        <f>SUMIFS(OrderLines!$I:$I,OrderLines!$A:$A,A3)</f>
        <v>101.54549999999999</v>
      </c>
      <c r="J3" t="str">
        <f>IF(AND(COUNTIFS(OrderLines!$A$2:$A$925,A3,OrderLines!$F$2:$F$925,"Hot Meal")&gt;0,COUNTIFS(OrderLines!$A$2:$A$925,A3,OrderLines!$F$2:$F$925,"Beverage")&gt;0),"Combo","Single")</f>
        <v>Single</v>
      </c>
      <c r="K3" t="str">
        <f>IF(SUMPRODUCT((OrderLines!$A$2:$A$925=A3)*OrderLines!$C$2:$C$925*OrderLines!$D$2:$D$925)*G3&gt;40,"HighDisc","OK")</f>
        <v>OK</v>
      </c>
    </row>
    <row r="4" spans="1:11" x14ac:dyDescent="0.3">
      <c r="A4" t="s">
        <v>20</v>
      </c>
      <c r="B4" s="2">
        <v>45848.661041666674</v>
      </c>
      <c r="C4" t="s">
        <v>9</v>
      </c>
      <c r="D4" t="s">
        <v>16</v>
      </c>
      <c r="E4" t="s">
        <v>21</v>
      </c>
      <c r="F4" t="s">
        <v>22</v>
      </c>
      <c r="G4" s="11">
        <v>0</v>
      </c>
      <c r="H4" t="b">
        <f>(COUNTIFS(OrderLines!$A:$A,A4,OrderLines!$F:$F,"Beverage")&gt;0)</f>
        <v>1</v>
      </c>
      <c r="I4">
        <f>SUMIFS(OrderLines!$I:$I,OrderLines!$A:$A,A4)</f>
        <v>668.96</v>
      </c>
      <c r="J4" t="str">
        <f>IF(AND(COUNTIFS(OrderLines!$A$2:$A$925,A4,OrderLines!$F$2:$F$925,"Hot Meal")&gt;0,COUNTIFS(OrderLines!$A$2:$A$925,A4,OrderLines!$F$2:$F$925,"Beverage")&gt;0),"Combo","Single")</f>
        <v>Combo</v>
      </c>
      <c r="K4" t="str">
        <f>IF(SUMPRODUCT((OrderLines!$A$2:$A$925=A4)*OrderLines!$C$2:$C$925*OrderLines!$D$2:$D$925)*G4&gt;40,"HighDisc","OK")</f>
        <v>OK</v>
      </c>
    </row>
    <row r="5" spans="1:11" x14ac:dyDescent="0.3">
      <c r="A5" t="s">
        <v>24</v>
      </c>
      <c r="B5" s="2">
        <v>45879.1640625</v>
      </c>
      <c r="C5" t="s">
        <v>15</v>
      </c>
      <c r="D5" t="s">
        <v>10</v>
      </c>
      <c r="E5" t="s">
        <v>17</v>
      </c>
      <c r="F5" t="s">
        <v>12</v>
      </c>
      <c r="G5" s="11">
        <v>0.03</v>
      </c>
      <c r="H5" t="b">
        <f>(COUNTIFS(OrderLines!$A:$A,A5,OrderLines!$F:$F,"Beverage")&gt;0)</f>
        <v>0</v>
      </c>
      <c r="I5">
        <f>SUMIFS(OrderLines!$I:$I,OrderLines!$A:$A,A5)</f>
        <v>477.41460000000001</v>
      </c>
      <c r="J5" t="str">
        <f>IF(AND(COUNTIFS(OrderLines!$A$2:$A$925,A5,OrderLines!$F$2:$F$925,"Hot Meal")&gt;0,COUNTIFS(OrderLines!$A$2:$A$925,A5,OrderLines!$F$2:$F$925,"Beverage")&gt;0),"Combo","Single")</f>
        <v>Single</v>
      </c>
      <c r="K5" t="str">
        <f>IF(SUMPRODUCT((OrderLines!$A$2:$A$925=A5)*OrderLines!$C$2:$C$925*OrderLines!$D$2:$D$925)*G5&gt;40,"HighDisc","OK")</f>
        <v>OK</v>
      </c>
    </row>
    <row r="6" spans="1:11" x14ac:dyDescent="0.3">
      <c r="A6" t="s">
        <v>25</v>
      </c>
      <c r="B6" s="2">
        <v>45845.134895833333</v>
      </c>
      <c r="C6" t="s">
        <v>15</v>
      </c>
      <c r="D6" t="s">
        <v>10</v>
      </c>
      <c r="E6" t="s">
        <v>21</v>
      </c>
      <c r="F6" t="s">
        <v>12</v>
      </c>
      <c r="G6" s="11">
        <v>0.04</v>
      </c>
      <c r="H6" t="b">
        <f>(COUNTIFS(OrderLines!$A:$A,A6,OrderLines!$F:$F,"Beverage")&gt;0)</f>
        <v>1</v>
      </c>
      <c r="I6">
        <f>SUMIFS(OrderLines!$I:$I,OrderLines!$A:$A,A6)</f>
        <v>95.011200000000002</v>
      </c>
      <c r="J6" t="str">
        <f>IF(AND(COUNTIFS(OrderLines!$A$2:$A$925,A6,OrderLines!$F$2:$F$925,"Hot Meal")&gt;0,COUNTIFS(OrderLines!$A$2:$A$925,A6,OrderLines!$F$2:$F$925,"Beverage")&gt;0),"Combo","Single")</f>
        <v>Single</v>
      </c>
      <c r="K6" t="str">
        <f>IF(SUMPRODUCT((OrderLines!$A$2:$A$925=A6)*OrderLines!$C$2:$C$925*OrderLines!$D$2:$D$925)*G6&gt;40,"HighDisc","OK")</f>
        <v>OK</v>
      </c>
    </row>
    <row r="7" spans="1:11" x14ac:dyDescent="0.3">
      <c r="A7" t="s">
        <v>26</v>
      </c>
      <c r="B7" s="2">
        <v>45863.392129629632</v>
      </c>
      <c r="C7" t="s">
        <v>27</v>
      </c>
      <c r="D7" t="s">
        <v>28</v>
      </c>
      <c r="E7" t="s">
        <v>11</v>
      </c>
      <c r="F7" t="s">
        <v>12</v>
      </c>
      <c r="G7" s="11">
        <v>0.1</v>
      </c>
      <c r="H7" t="b">
        <f>(COUNTIFS(OrderLines!$A:$A,A7,OrderLines!$F:$F,"Beverage")&gt;0)</f>
        <v>1</v>
      </c>
      <c r="I7">
        <f>SUMIFS(OrderLines!$I:$I,OrderLines!$A:$A,A7)</f>
        <v>54.296999999999997</v>
      </c>
      <c r="J7" t="str">
        <f>IF(AND(COUNTIFS(OrderLines!$A$2:$A$925,A7,OrderLines!$F$2:$F$925,"Hot Meal")&gt;0,COUNTIFS(OrderLines!$A$2:$A$925,A7,OrderLines!$F$2:$F$925,"Beverage")&gt;0),"Combo","Single")</f>
        <v>Single</v>
      </c>
      <c r="K7" t="str">
        <f>IF(SUMPRODUCT((OrderLines!$A$2:$A$925=A7)*OrderLines!$C$2:$C$925*OrderLines!$D$2:$D$925)*G7&gt;40,"HighDisc","OK")</f>
        <v>OK</v>
      </c>
    </row>
    <row r="8" spans="1:11" x14ac:dyDescent="0.3">
      <c r="A8" t="s">
        <v>30</v>
      </c>
      <c r="B8" s="2">
        <v>45852.860347222217</v>
      </c>
      <c r="C8" t="s">
        <v>15</v>
      </c>
      <c r="D8" t="s">
        <v>28</v>
      </c>
      <c r="E8" t="s">
        <v>21</v>
      </c>
      <c r="F8" t="s">
        <v>18</v>
      </c>
      <c r="G8" s="11">
        <v>7.0000000000000007E-2</v>
      </c>
      <c r="H8" t="b">
        <f>(COUNTIFS(OrderLines!$A:$A,A8,OrderLines!$F:$F,"Beverage")&gt;0)</f>
        <v>1</v>
      </c>
      <c r="I8">
        <f>SUMIFS(OrderLines!$I:$I,OrderLines!$A:$A,A8)</f>
        <v>348.41520000000003</v>
      </c>
      <c r="J8" t="str">
        <f>IF(AND(COUNTIFS(OrderLines!$A$2:$A$925,A8,OrderLines!$F$2:$F$925,"Hot Meal")&gt;0,COUNTIFS(OrderLines!$A$2:$A$925,A8,OrderLines!$F$2:$F$925,"Beverage")&gt;0),"Combo","Single")</f>
        <v>Combo</v>
      </c>
      <c r="K8" t="str">
        <f>IF(SUMPRODUCT((OrderLines!$A$2:$A$925=A8)*OrderLines!$C$2:$C$925*OrderLines!$D$2:$D$925)*G8&gt;40,"HighDisc","OK")</f>
        <v>OK</v>
      </c>
    </row>
    <row r="9" spans="1:11" x14ac:dyDescent="0.3">
      <c r="A9" t="s">
        <v>31</v>
      </c>
      <c r="B9" s="2">
        <v>45863.503796296303</v>
      </c>
      <c r="C9" t="s">
        <v>27</v>
      </c>
      <c r="D9" t="s">
        <v>16</v>
      </c>
      <c r="E9" t="s">
        <v>11</v>
      </c>
      <c r="F9" t="s">
        <v>22</v>
      </c>
      <c r="G9" s="11">
        <v>0</v>
      </c>
      <c r="H9" t="b">
        <f>(COUNTIFS(OrderLines!$A:$A,A9,OrderLines!$F:$F,"Beverage")&gt;0)</f>
        <v>1</v>
      </c>
      <c r="I9">
        <f>SUMIFS(OrderLines!$I:$I,OrderLines!$A:$A,A9)</f>
        <v>223.75</v>
      </c>
      <c r="J9" t="str">
        <f>IF(AND(COUNTIFS(OrderLines!$A$2:$A$925,A9,OrderLines!$F$2:$F$925,"Hot Meal")&gt;0,COUNTIFS(OrderLines!$A$2:$A$925,A9,OrderLines!$F$2:$F$925,"Beverage")&gt;0),"Combo","Single")</f>
        <v>Single</v>
      </c>
      <c r="K9" t="str">
        <f>IF(SUMPRODUCT((OrderLines!$A$2:$A$925=A9)*OrderLines!$C$2:$C$925*OrderLines!$D$2:$D$925)*G9&gt;40,"HighDisc","OK")</f>
        <v>OK</v>
      </c>
    </row>
    <row r="10" spans="1:11" x14ac:dyDescent="0.3">
      <c r="A10" t="s">
        <v>32</v>
      </c>
      <c r="B10" s="2">
        <v>45844.161631944437</v>
      </c>
      <c r="C10" t="s">
        <v>9</v>
      </c>
      <c r="D10" t="s">
        <v>10</v>
      </c>
      <c r="E10" t="s">
        <v>17</v>
      </c>
      <c r="F10" t="s">
        <v>12</v>
      </c>
      <c r="G10" s="11">
        <v>7.0000000000000007E-2</v>
      </c>
      <c r="H10" t="b">
        <f>(COUNTIFS(OrderLines!$A:$A,A10,OrderLines!$F:$F,"Beverage")&gt;0)</f>
        <v>0</v>
      </c>
      <c r="I10">
        <f>SUMIFS(OrderLines!$I:$I,OrderLines!$A:$A,A10)</f>
        <v>459.28980000000001</v>
      </c>
      <c r="J10" t="str">
        <f>IF(AND(COUNTIFS(OrderLines!$A$2:$A$925,A10,OrderLines!$F$2:$F$925,"Hot Meal")&gt;0,COUNTIFS(OrderLines!$A$2:$A$925,A10,OrderLines!$F$2:$F$925,"Beverage")&gt;0),"Combo","Single")</f>
        <v>Single</v>
      </c>
      <c r="K10" t="str">
        <f>IF(SUMPRODUCT((OrderLines!$A$2:$A$925=A10)*OrderLines!$C$2:$C$925*OrderLines!$D$2:$D$925)*G10&gt;40,"HighDisc","OK")</f>
        <v>OK</v>
      </c>
    </row>
    <row r="11" spans="1:11" x14ac:dyDescent="0.3">
      <c r="A11" t="s">
        <v>34</v>
      </c>
      <c r="B11" s="2">
        <v>45862.200162037043</v>
      </c>
      <c r="C11" t="s">
        <v>27</v>
      </c>
      <c r="D11" t="s">
        <v>16</v>
      </c>
      <c r="E11" t="s">
        <v>21</v>
      </c>
      <c r="F11" t="s">
        <v>12</v>
      </c>
      <c r="G11" s="11">
        <v>0.04</v>
      </c>
      <c r="H11" t="b">
        <f>(COUNTIFS(OrderLines!$A:$A,A11,OrderLines!$F:$F,"Beverage")&gt;0)</f>
        <v>1</v>
      </c>
      <c r="I11">
        <f>SUMIFS(OrderLines!$I:$I,OrderLines!$A:$A,A11)</f>
        <v>420.07679999999999</v>
      </c>
      <c r="J11" t="str">
        <f>IF(AND(COUNTIFS(OrderLines!$A$2:$A$925,A11,OrderLines!$F$2:$F$925,"Hot Meal")&gt;0,COUNTIFS(OrderLines!$A$2:$A$925,A11,OrderLines!$F$2:$F$925,"Beverage")&gt;0),"Combo","Single")</f>
        <v>Combo</v>
      </c>
      <c r="K11" t="str">
        <f>IF(SUMPRODUCT((OrderLines!$A$2:$A$925=A11)*OrderLines!$C$2:$C$925*OrderLines!$D$2:$D$925)*G11&gt;40,"HighDisc","OK")</f>
        <v>OK</v>
      </c>
    </row>
    <row r="12" spans="1:11" x14ac:dyDescent="0.3">
      <c r="A12" t="s">
        <v>35</v>
      </c>
      <c r="B12" s="2">
        <v>45860.002800925933</v>
      </c>
      <c r="C12" t="s">
        <v>15</v>
      </c>
      <c r="D12" t="s">
        <v>28</v>
      </c>
      <c r="E12" t="s">
        <v>17</v>
      </c>
      <c r="F12" t="s">
        <v>12</v>
      </c>
      <c r="G12" s="11">
        <v>0.03</v>
      </c>
      <c r="H12" t="b">
        <f>(COUNTIFS(OrderLines!$A:$A,A12,OrderLines!$F:$F,"Beverage")&gt;0)</f>
        <v>1</v>
      </c>
      <c r="I12">
        <f>SUMIFS(OrderLines!$I:$I,OrderLines!$A:$A,A12)</f>
        <v>27.577099999999998</v>
      </c>
      <c r="J12" t="str">
        <f>IF(AND(COUNTIFS(OrderLines!$A$2:$A$925,A12,OrderLines!$F$2:$F$925,"Hot Meal")&gt;0,COUNTIFS(OrderLines!$A$2:$A$925,A12,OrderLines!$F$2:$F$925,"Beverage")&gt;0),"Combo","Single")</f>
        <v>Single</v>
      </c>
      <c r="K12" t="str">
        <f>IF(SUMPRODUCT((OrderLines!$A$2:$A$925=A12)*OrderLines!$C$2:$C$925*OrderLines!$D$2:$D$925)*G12&gt;40,"HighDisc","OK")</f>
        <v>OK</v>
      </c>
    </row>
    <row r="13" spans="1:11" x14ac:dyDescent="0.3">
      <c r="A13" t="s">
        <v>37</v>
      </c>
      <c r="B13" s="2">
        <v>45839.45925925926</v>
      </c>
      <c r="C13" t="s">
        <v>15</v>
      </c>
      <c r="D13" t="s">
        <v>16</v>
      </c>
      <c r="E13" t="s">
        <v>21</v>
      </c>
      <c r="F13" t="s">
        <v>22</v>
      </c>
      <c r="G13" s="11">
        <v>0.08</v>
      </c>
      <c r="H13" t="b">
        <f>(COUNTIFS(OrderLines!$A:$A,A13,OrderLines!$F:$F,"Beverage")&gt;0)</f>
        <v>0</v>
      </c>
      <c r="I13">
        <f>SUMIFS(OrderLines!$I:$I,OrderLines!$A:$A,A13)</f>
        <v>98.118000000000009</v>
      </c>
      <c r="J13" t="str">
        <f>IF(AND(COUNTIFS(OrderLines!$A$2:$A$925,A13,OrderLines!$F$2:$F$925,"Hot Meal")&gt;0,COUNTIFS(OrderLines!$A$2:$A$925,A13,OrderLines!$F$2:$F$925,"Beverage")&gt;0),"Combo","Single")</f>
        <v>Single</v>
      </c>
      <c r="K13" t="str">
        <f>IF(SUMPRODUCT((OrderLines!$A$2:$A$925=A13)*OrderLines!$C$2:$C$925*OrderLines!$D$2:$D$925)*G13&gt;40,"HighDisc","OK")</f>
        <v>OK</v>
      </c>
    </row>
    <row r="14" spans="1:11" x14ac:dyDescent="0.3">
      <c r="A14" t="s">
        <v>39</v>
      </c>
      <c r="B14" s="2">
        <v>45880.31994212963</v>
      </c>
      <c r="C14" t="s">
        <v>9</v>
      </c>
      <c r="D14" t="s">
        <v>10</v>
      </c>
      <c r="E14" t="s">
        <v>11</v>
      </c>
      <c r="F14" t="s">
        <v>12</v>
      </c>
      <c r="G14" s="11">
        <v>0.1</v>
      </c>
      <c r="H14" t="b">
        <f>(COUNTIFS(OrderLines!$A:$A,A14,OrderLines!$F:$F,"Beverage")&gt;0)</f>
        <v>1</v>
      </c>
      <c r="I14">
        <f>SUMIFS(OrderLines!$I:$I,OrderLines!$A:$A,A14)</f>
        <v>807.87599999999998</v>
      </c>
      <c r="J14" t="str">
        <f>IF(AND(COUNTIFS(OrderLines!$A$2:$A$925,A14,OrderLines!$F$2:$F$925,"Hot Meal")&gt;0,COUNTIFS(OrderLines!$A$2:$A$925,A14,OrderLines!$F$2:$F$925,"Beverage")&gt;0),"Combo","Single")</f>
        <v>Combo</v>
      </c>
      <c r="K14" t="str">
        <f>IF(SUMPRODUCT((OrderLines!$A$2:$A$925=A14)*OrderLines!$C$2:$C$925*OrderLines!$D$2:$D$925)*G14&gt;40,"HighDisc","OK")</f>
        <v>HighDisc</v>
      </c>
    </row>
    <row r="15" spans="1:11" x14ac:dyDescent="0.3">
      <c r="A15" t="s">
        <v>40</v>
      </c>
      <c r="B15" s="2">
        <v>45854.279270833344</v>
      </c>
      <c r="C15" t="s">
        <v>27</v>
      </c>
      <c r="D15" t="s">
        <v>16</v>
      </c>
      <c r="E15" t="s">
        <v>17</v>
      </c>
      <c r="F15" t="s">
        <v>12</v>
      </c>
      <c r="G15" s="11">
        <v>0.1</v>
      </c>
      <c r="H15" t="b">
        <f>(COUNTIFS(OrderLines!$A:$A,A15,OrderLines!$F:$F,"Beverage")&gt;0)</f>
        <v>1</v>
      </c>
      <c r="I15">
        <f>SUMIFS(OrderLines!$I:$I,OrderLines!$A:$A,A15)</f>
        <v>181.47599999999997</v>
      </c>
      <c r="J15" t="str">
        <f>IF(AND(COUNTIFS(OrderLines!$A$2:$A$925,A15,OrderLines!$F$2:$F$925,"Hot Meal")&gt;0,COUNTIFS(OrderLines!$A$2:$A$925,A15,OrderLines!$F$2:$F$925,"Beverage")&gt;0),"Combo","Single")</f>
        <v>Single</v>
      </c>
      <c r="K15" t="str">
        <f>IF(SUMPRODUCT((OrderLines!$A$2:$A$925=A15)*OrderLines!$C$2:$C$925*OrderLines!$D$2:$D$925)*G15&gt;40,"HighDisc","OK")</f>
        <v>OK</v>
      </c>
    </row>
    <row r="16" spans="1:11" x14ac:dyDescent="0.3">
      <c r="A16" t="s">
        <v>42</v>
      </c>
      <c r="B16" s="2">
        <v>45895.482824074083</v>
      </c>
      <c r="C16" t="s">
        <v>9</v>
      </c>
      <c r="D16" t="s">
        <v>10</v>
      </c>
      <c r="E16" t="s">
        <v>17</v>
      </c>
      <c r="F16" t="s">
        <v>22</v>
      </c>
      <c r="G16" s="11">
        <v>0.03</v>
      </c>
      <c r="H16" t="b">
        <f>(COUNTIFS(OrderLines!$A:$A,A16,OrderLines!$F:$F,"Beverage")&gt;0)</f>
        <v>1</v>
      </c>
      <c r="I16">
        <f>SUMIFS(OrderLines!$I:$I,OrderLines!$A:$A,A16)</f>
        <v>410.18389999999999</v>
      </c>
      <c r="J16" t="str">
        <f>IF(AND(COUNTIFS(OrderLines!$A$2:$A$925,A16,OrderLines!$F$2:$F$925,"Hot Meal")&gt;0,COUNTIFS(OrderLines!$A$2:$A$925,A16,OrderLines!$F$2:$F$925,"Beverage")&gt;0),"Combo","Single")</f>
        <v>Combo</v>
      </c>
      <c r="K16" t="str">
        <f>IF(SUMPRODUCT((OrderLines!$A$2:$A$925=A16)*OrderLines!$C$2:$C$925*OrderLines!$D$2:$D$925)*G16&gt;40,"HighDisc","OK")</f>
        <v>OK</v>
      </c>
    </row>
    <row r="17" spans="1:11" x14ac:dyDescent="0.3">
      <c r="A17" t="s">
        <v>44</v>
      </c>
      <c r="B17" s="2">
        <v>45844.800196759257</v>
      </c>
      <c r="C17" t="s">
        <v>27</v>
      </c>
      <c r="D17" t="s">
        <v>10</v>
      </c>
      <c r="E17" t="s">
        <v>21</v>
      </c>
      <c r="F17" t="s">
        <v>18</v>
      </c>
      <c r="G17" s="11">
        <v>0.05</v>
      </c>
      <c r="H17" t="b">
        <f>(COUNTIFS(OrderLines!$A:$A,A17,OrderLines!$F:$F,"Beverage")&gt;0)</f>
        <v>0</v>
      </c>
      <c r="I17">
        <f>SUMIFS(OrderLines!$I:$I,OrderLines!$A:$A,A17)</f>
        <v>486.94150000000002</v>
      </c>
      <c r="J17" t="str">
        <f>IF(AND(COUNTIFS(OrderLines!$A$2:$A$925,A17,OrderLines!$F$2:$F$925,"Hot Meal")&gt;0,COUNTIFS(OrderLines!$A$2:$A$925,A17,OrderLines!$F$2:$F$925,"Beverage")&gt;0),"Combo","Single")</f>
        <v>Single</v>
      </c>
      <c r="K17" t="str">
        <f>IF(SUMPRODUCT((OrderLines!$A$2:$A$925=A17)*OrderLines!$C$2:$C$925*OrderLines!$D$2:$D$925)*G17&gt;40,"HighDisc","OK")</f>
        <v>OK</v>
      </c>
    </row>
    <row r="18" spans="1:11" x14ac:dyDescent="0.3">
      <c r="A18" t="s">
        <v>46</v>
      </c>
      <c r="B18" s="2">
        <v>45890.81722222222</v>
      </c>
      <c r="C18" t="s">
        <v>27</v>
      </c>
      <c r="D18" t="s">
        <v>28</v>
      </c>
      <c r="E18" t="s">
        <v>11</v>
      </c>
      <c r="F18" t="s">
        <v>18</v>
      </c>
      <c r="G18" s="11">
        <v>7.0000000000000007E-2</v>
      </c>
      <c r="H18" t="b">
        <f>(COUNTIFS(OrderLines!$A:$A,A18,OrderLines!$F:$F,"Beverage")&gt;0)</f>
        <v>1</v>
      </c>
      <c r="I18">
        <f>SUMIFS(OrderLines!$I:$I,OrderLines!$A:$A,A18)</f>
        <v>30.671399999999995</v>
      </c>
      <c r="J18" t="str">
        <f>IF(AND(COUNTIFS(OrderLines!$A$2:$A$925,A18,OrderLines!$F$2:$F$925,"Hot Meal")&gt;0,COUNTIFS(OrderLines!$A$2:$A$925,A18,OrderLines!$F$2:$F$925,"Beverage")&gt;0),"Combo","Single")</f>
        <v>Single</v>
      </c>
      <c r="K18" t="str">
        <f>IF(SUMPRODUCT((OrderLines!$A$2:$A$925=A18)*OrderLines!$C$2:$C$925*OrderLines!$D$2:$D$925)*G18&gt;40,"HighDisc","OK")</f>
        <v>OK</v>
      </c>
    </row>
    <row r="19" spans="1:11" x14ac:dyDescent="0.3">
      <c r="A19" t="s">
        <v>47</v>
      </c>
      <c r="B19" s="2">
        <v>45857.291805555556</v>
      </c>
      <c r="C19" t="s">
        <v>27</v>
      </c>
      <c r="D19" t="s">
        <v>10</v>
      </c>
      <c r="E19" t="s">
        <v>17</v>
      </c>
      <c r="F19" t="s">
        <v>12</v>
      </c>
      <c r="G19" s="11">
        <v>0.1</v>
      </c>
      <c r="H19" t="b">
        <f>(COUNTIFS(OrderLines!$A:$A,A19,OrderLines!$F:$F,"Beverage")&gt;0)</f>
        <v>1</v>
      </c>
      <c r="I19">
        <f>SUMIFS(OrderLines!$I:$I,OrderLines!$A:$A,A19)</f>
        <v>164.48400000000001</v>
      </c>
      <c r="J19" t="str">
        <f>IF(AND(COUNTIFS(OrderLines!$A$2:$A$925,A19,OrderLines!$F$2:$F$925,"Hot Meal")&gt;0,COUNTIFS(OrderLines!$A$2:$A$925,A19,OrderLines!$F$2:$F$925,"Beverage")&gt;0),"Combo","Single")</f>
        <v>Single</v>
      </c>
      <c r="K19" t="str">
        <f>IF(SUMPRODUCT((OrderLines!$A$2:$A$925=A19)*OrderLines!$C$2:$C$925*OrderLines!$D$2:$D$925)*G19&gt;40,"HighDisc","OK")</f>
        <v>OK</v>
      </c>
    </row>
    <row r="20" spans="1:11" x14ac:dyDescent="0.3">
      <c r="A20" t="s">
        <v>49</v>
      </c>
      <c r="B20" s="2">
        <v>45878.452708333331</v>
      </c>
      <c r="C20" t="s">
        <v>27</v>
      </c>
      <c r="D20" t="s">
        <v>10</v>
      </c>
      <c r="E20" t="s">
        <v>17</v>
      </c>
      <c r="F20" t="s">
        <v>12</v>
      </c>
      <c r="G20" s="11">
        <v>0.04</v>
      </c>
      <c r="H20" t="b">
        <f>(COUNTIFS(OrderLines!$A:$A,A20,OrderLines!$F:$F,"Beverage")&gt;0)</f>
        <v>0</v>
      </c>
      <c r="I20">
        <f>SUMIFS(OrderLines!$I:$I,OrderLines!$A:$A,A20)</f>
        <v>701.52960000000007</v>
      </c>
      <c r="J20" t="str">
        <f>IF(AND(COUNTIFS(OrderLines!$A$2:$A$925,A20,OrderLines!$F$2:$F$925,"Hot Meal")&gt;0,COUNTIFS(OrderLines!$A$2:$A$925,A20,OrderLines!$F$2:$F$925,"Beverage")&gt;0),"Combo","Single")</f>
        <v>Single</v>
      </c>
      <c r="K20" t="str">
        <f>IF(SUMPRODUCT((OrderLines!$A$2:$A$925=A20)*OrderLines!$C$2:$C$925*OrderLines!$D$2:$D$925)*G20&gt;40,"HighDisc","OK")</f>
        <v>OK</v>
      </c>
    </row>
    <row r="21" spans="1:11" x14ac:dyDescent="0.3">
      <c r="A21" t="s">
        <v>50</v>
      </c>
      <c r="B21" s="2">
        <v>45847.209791666668</v>
      </c>
      <c r="C21" t="s">
        <v>15</v>
      </c>
      <c r="D21" t="s">
        <v>10</v>
      </c>
      <c r="E21" t="s">
        <v>11</v>
      </c>
      <c r="F21" t="s">
        <v>12</v>
      </c>
      <c r="G21" s="11">
        <v>0.05</v>
      </c>
      <c r="H21" t="b">
        <f>(COUNTIFS(OrderLines!$A:$A,A21,OrderLines!$F:$F,"Beverage")&gt;0)</f>
        <v>1</v>
      </c>
      <c r="I21">
        <f>SUMIFS(OrderLines!$I:$I,OrderLines!$A:$A,A21)</f>
        <v>474.75300000000004</v>
      </c>
      <c r="J21" t="str">
        <f>IF(AND(COUNTIFS(OrderLines!$A$2:$A$925,A21,OrderLines!$F$2:$F$925,"Hot Meal")&gt;0,COUNTIFS(OrderLines!$A$2:$A$925,A21,OrderLines!$F$2:$F$925,"Beverage")&gt;0),"Combo","Single")</f>
        <v>Combo</v>
      </c>
      <c r="K21" t="str">
        <f>IF(SUMPRODUCT((OrderLines!$A$2:$A$925=A21)*OrderLines!$C$2:$C$925*OrderLines!$D$2:$D$925)*G21&gt;40,"HighDisc","OK")</f>
        <v>OK</v>
      </c>
    </row>
    <row r="22" spans="1:11" x14ac:dyDescent="0.3">
      <c r="A22" t="s">
        <v>51</v>
      </c>
      <c r="B22" s="2">
        <v>45869.966458333343</v>
      </c>
      <c r="C22" t="s">
        <v>15</v>
      </c>
      <c r="D22" t="s">
        <v>28</v>
      </c>
      <c r="E22" t="s">
        <v>11</v>
      </c>
      <c r="F22" t="s">
        <v>18</v>
      </c>
      <c r="G22" s="11">
        <v>0.02</v>
      </c>
      <c r="H22" t="b">
        <f>(COUNTIFS(OrderLines!$A:$A,A22,OrderLines!$F:$F,"Beverage")&gt;0)</f>
        <v>0</v>
      </c>
      <c r="I22">
        <f>SUMIFS(OrderLines!$I:$I,OrderLines!$A:$A,A22)</f>
        <v>291.72640000000001</v>
      </c>
      <c r="J22" t="str">
        <f>IF(AND(COUNTIFS(OrderLines!$A$2:$A$925,A22,OrderLines!$F$2:$F$925,"Hot Meal")&gt;0,COUNTIFS(OrderLines!$A$2:$A$925,A22,OrderLines!$F$2:$F$925,"Beverage")&gt;0),"Combo","Single")</f>
        <v>Single</v>
      </c>
      <c r="K22" t="str">
        <f>IF(SUMPRODUCT((OrderLines!$A$2:$A$925=A22)*OrderLines!$C$2:$C$925*OrderLines!$D$2:$D$925)*G22&gt;40,"HighDisc","OK")</f>
        <v>OK</v>
      </c>
    </row>
    <row r="23" spans="1:11" x14ac:dyDescent="0.3">
      <c r="A23" t="s">
        <v>52</v>
      </c>
      <c r="B23" s="2">
        <v>45862.424097222232</v>
      </c>
      <c r="C23" t="s">
        <v>15</v>
      </c>
      <c r="D23" t="s">
        <v>16</v>
      </c>
      <c r="E23" t="s">
        <v>17</v>
      </c>
      <c r="F23" t="s">
        <v>12</v>
      </c>
      <c r="G23" s="11">
        <v>0.01</v>
      </c>
      <c r="H23" t="b">
        <f>(COUNTIFS(OrderLines!$A:$A,A23,OrderLines!$F:$F,"Beverage")&gt;0)</f>
        <v>1</v>
      </c>
      <c r="I23">
        <f>SUMIFS(OrderLines!$I:$I,OrderLines!$A:$A,A23)</f>
        <v>364.2903</v>
      </c>
      <c r="J23" t="str">
        <f>IF(AND(COUNTIFS(OrderLines!$A$2:$A$925,A23,OrderLines!$F$2:$F$925,"Hot Meal")&gt;0,COUNTIFS(OrderLines!$A$2:$A$925,A23,OrderLines!$F$2:$F$925,"Beverage")&gt;0),"Combo","Single")</f>
        <v>Combo</v>
      </c>
      <c r="K23" t="str">
        <f>IF(SUMPRODUCT((OrderLines!$A$2:$A$925=A23)*OrderLines!$C$2:$C$925*OrderLines!$D$2:$D$925)*G23&gt;40,"HighDisc","OK")</f>
        <v>OK</v>
      </c>
    </row>
    <row r="24" spans="1:11" x14ac:dyDescent="0.3">
      <c r="A24" t="s">
        <v>53</v>
      </c>
      <c r="B24" s="2">
        <v>45883.642094907409</v>
      </c>
      <c r="C24" t="s">
        <v>15</v>
      </c>
      <c r="D24" t="s">
        <v>28</v>
      </c>
      <c r="E24" t="s">
        <v>17</v>
      </c>
      <c r="F24" t="s">
        <v>22</v>
      </c>
      <c r="G24" s="11">
        <v>0.09</v>
      </c>
      <c r="H24" t="b">
        <f>(COUNTIFS(OrderLines!$A:$A,A24,OrderLines!$F:$F,"Beverage")&gt;0)</f>
        <v>1</v>
      </c>
      <c r="I24">
        <f>SUMIFS(OrderLines!$I:$I,OrderLines!$A:$A,A24)</f>
        <v>242.24200000000002</v>
      </c>
      <c r="J24" t="str">
        <f>IF(AND(COUNTIFS(OrderLines!$A$2:$A$925,A24,OrderLines!$F$2:$F$925,"Hot Meal")&gt;0,COUNTIFS(OrderLines!$A$2:$A$925,A24,OrderLines!$F$2:$F$925,"Beverage")&gt;0),"Combo","Single")</f>
        <v>Combo</v>
      </c>
      <c r="K24" t="str">
        <f>IF(SUMPRODUCT((OrderLines!$A$2:$A$925=A24)*OrderLines!$C$2:$C$925*OrderLines!$D$2:$D$925)*G24&gt;40,"HighDisc","OK")</f>
        <v>OK</v>
      </c>
    </row>
    <row r="25" spans="1:11" x14ac:dyDescent="0.3">
      <c r="A25" t="s">
        <v>54</v>
      </c>
      <c r="B25" s="2">
        <v>45893.911249999997</v>
      </c>
      <c r="C25" t="s">
        <v>27</v>
      </c>
      <c r="D25" t="s">
        <v>28</v>
      </c>
      <c r="E25" t="s">
        <v>11</v>
      </c>
      <c r="F25" t="s">
        <v>18</v>
      </c>
      <c r="G25" s="11">
        <v>0.11</v>
      </c>
      <c r="H25" t="b">
        <f>(COUNTIFS(OrderLines!$A:$A,A25,OrderLines!$F:$F,"Beverage")&gt;0)</f>
        <v>0</v>
      </c>
      <c r="I25">
        <f>SUMIFS(OrderLines!$I:$I,OrderLines!$A:$A,A25)</f>
        <v>390.88800000000003</v>
      </c>
      <c r="J25" t="str">
        <f>IF(AND(COUNTIFS(OrderLines!$A$2:$A$925,A25,OrderLines!$F$2:$F$925,"Hot Meal")&gt;0,COUNTIFS(OrderLines!$A$2:$A$925,A25,OrderLines!$F$2:$F$925,"Beverage")&gt;0),"Combo","Single")</f>
        <v>Single</v>
      </c>
      <c r="K25" t="str">
        <f>IF(SUMPRODUCT((OrderLines!$A$2:$A$925=A25)*OrderLines!$C$2:$C$925*OrderLines!$D$2:$D$925)*G25&gt;40,"HighDisc","OK")</f>
        <v>HighDisc</v>
      </c>
    </row>
    <row r="26" spans="1:11" x14ac:dyDescent="0.3">
      <c r="A26" t="s">
        <v>56</v>
      </c>
      <c r="B26" s="2">
        <v>45888.366527777784</v>
      </c>
      <c r="C26" t="s">
        <v>15</v>
      </c>
      <c r="D26" t="s">
        <v>28</v>
      </c>
      <c r="E26" t="s">
        <v>21</v>
      </c>
      <c r="F26" t="s">
        <v>12</v>
      </c>
      <c r="G26" s="11">
        <v>0.06</v>
      </c>
      <c r="H26" t="b">
        <f>(COUNTIFS(OrderLines!$A:$A,A26,OrderLines!$F:$F,"Beverage")&gt;0)</f>
        <v>0</v>
      </c>
      <c r="I26">
        <f>SUMIFS(OrderLines!$I:$I,OrderLines!$A:$A,A26)</f>
        <v>47.178599999999996</v>
      </c>
      <c r="J26" t="str">
        <f>IF(AND(COUNTIFS(OrderLines!$A$2:$A$925,A26,OrderLines!$F$2:$F$925,"Hot Meal")&gt;0,COUNTIFS(OrderLines!$A$2:$A$925,A26,OrderLines!$F$2:$F$925,"Beverage")&gt;0),"Combo","Single")</f>
        <v>Single</v>
      </c>
      <c r="K26" t="str">
        <f>IF(SUMPRODUCT((OrderLines!$A$2:$A$925=A26)*OrderLines!$C$2:$C$925*OrderLines!$D$2:$D$925)*G26&gt;40,"HighDisc","OK")</f>
        <v>OK</v>
      </c>
    </row>
    <row r="27" spans="1:11" x14ac:dyDescent="0.3">
      <c r="A27" t="s">
        <v>57</v>
      </c>
      <c r="B27" s="2">
        <v>45862.967662037037</v>
      </c>
      <c r="C27" t="s">
        <v>15</v>
      </c>
      <c r="D27" t="s">
        <v>16</v>
      </c>
      <c r="E27" t="s">
        <v>17</v>
      </c>
      <c r="F27" t="s">
        <v>18</v>
      </c>
      <c r="G27" s="11">
        <v>0.1</v>
      </c>
      <c r="H27" t="b">
        <f>(COUNTIFS(OrderLines!$A:$A,A27,OrderLines!$F:$F,"Beverage")&gt;0)</f>
        <v>0</v>
      </c>
      <c r="I27">
        <f>SUMIFS(OrderLines!$I:$I,OrderLines!$A:$A,A27)</f>
        <v>81.459000000000003</v>
      </c>
      <c r="J27" t="str">
        <f>IF(AND(COUNTIFS(OrderLines!$A$2:$A$925,A27,OrderLines!$F$2:$F$925,"Hot Meal")&gt;0,COUNTIFS(OrderLines!$A$2:$A$925,A27,OrderLines!$F$2:$F$925,"Beverage")&gt;0),"Combo","Single")</f>
        <v>Single</v>
      </c>
      <c r="K27" t="str">
        <f>IF(SUMPRODUCT((OrderLines!$A$2:$A$925=A27)*OrderLines!$C$2:$C$925*OrderLines!$D$2:$D$925)*G27&gt;40,"HighDisc","OK")</f>
        <v>OK</v>
      </c>
    </row>
    <row r="28" spans="1:11" x14ac:dyDescent="0.3">
      <c r="A28" t="s">
        <v>58</v>
      </c>
      <c r="B28" s="2">
        <v>45891.991226851853</v>
      </c>
      <c r="C28" t="s">
        <v>9</v>
      </c>
      <c r="D28" t="s">
        <v>16</v>
      </c>
      <c r="E28" t="s">
        <v>11</v>
      </c>
      <c r="F28" t="s">
        <v>18</v>
      </c>
      <c r="G28" s="11">
        <v>7.0000000000000007E-2</v>
      </c>
      <c r="H28" t="b">
        <f>(COUNTIFS(OrderLines!$A:$A,A28,OrderLines!$F:$F,"Beverage")&gt;0)</f>
        <v>1</v>
      </c>
      <c r="I28">
        <f>SUMIFS(OrderLines!$I:$I,OrderLines!$A:$A,A28)</f>
        <v>839.84580000000005</v>
      </c>
      <c r="J28" t="str">
        <f>IF(AND(COUNTIFS(OrderLines!$A$2:$A$925,A28,OrderLines!$F$2:$F$925,"Hot Meal")&gt;0,COUNTIFS(OrderLines!$A$2:$A$925,A28,OrderLines!$F$2:$F$925,"Beverage")&gt;0),"Combo","Single")</f>
        <v>Combo</v>
      </c>
      <c r="K28" t="str">
        <f>IF(SUMPRODUCT((OrderLines!$A$2:$A$925=A28)*OrderLines!$C$2:$C$925*OrderLines!$D$2:$D$925)*G28&gt;40,"HighDisc","OK")</f>
        <v>HighDisc</v>
      </c>
    </row>
    <row r="29" spans="1:11" x14ac:dyDescent="0.3">
      <c r="A29" t="s">
        <v>59</v>
      </c>
      <c r="B29" s="2">
        <v>45840.00953703704</v>
      </c>
      <c r="C29" t="s">
        <v>9</v>
      </c>
      <c r="D29" t="s">
        <v>10</v>
      </c>
      <c r="E29" t="s">
        <v>21</v>
      </c>
      <c r="F29" t="s">
        <v>12</v>
      </c>
      <c r="G29" s="11">
        <v>0.03</v>
      </c>
      <c r="H29" t="b">
        <f>(COUNTIFS(OrderLines!$A:$A,A29,OrderLines!$F:$F,"Beverage")&gt;0)</f>
        <v>1</v>
      </c>
      <c r="I29">
        <f>SUMIFS(OrderLines!$I:$I,OrderLines!$A:$A,A29)</f>
        <v>382.71350000000001</v>
      </c>
      <c r="J29" t="str">
        <f>IF(AND(COUNTIFS(OrderLines!$A$2:$A$925,A29,OrderLines!$F$2:$F$925,"Hot Meal")&gt;0,COUNTIFS(OrderLines!$A$2:$A$925,A29,OrderLines!$F$2:$F$925,"Beverage")&gt;0),"Combo","Single")</f>
        <v>Single</v>
      </c>
      <c r="K29" t="str">
        <f>IF(SUMPRODUCT((OrderLines!$A$2:$A$925=A29)*OrderLines!$C$2:$C$925*OrderLines!$D$2:$D$925)*G29&gt;40,"HighDisc","OK")</f>
        <v>OK</v>
      </c>
    </row>
    <row r="30" spans="1:11" x14ac:dyDescent="0.3">
      <c r="A30" t="s">
        <v>60</v>
      </c>
      <c r="B30" s="2">
        <v>45852.288368055553</v>
      </c>
      <c r="C30" t="s">
        <v>15</v>
      </c>
      <c r="D30" t="s">
        <v>28</v>
      </c>
      <c r="E30" t="s">
        <v>17</v>
      </c>
      <c r="F30" t="s">
        <v>12</v>
      </c>
      <c r="G30" s="11">
        <v>7.0000000000000007E-2</v>
      </c>
      <c r="H30" t="b">
        <f>(COUNTIFS(OrderLines!$A:$A,A30,OrderLines!$F:$F,"Beverage")&gt;0)</f>
        <v>0</v>
      </c>
      <c r="I30">
        <f>SUMIFS(OrderLines!$I:$I,OrderLines!$A:$A,A30)</f>
        <v>140.03009999999998</v>
      </c>
      <c r="J30" t="str">
        <f>IF(AND(COUNTIFS(OrderLines!$A$2:$A$925,A30,OrderLines!$F$2:$F$925,"Hot Meal")&gt;0,COUNTIFS(OrderLines!$A$2:$A$925,A30,OrderLines!$F$2:$F$925,"Beverage")&gt;0),"Combo","Single")</f>
        <v>Single</v>
      </c>
      <c r="K30" t="str">
        <f>IF(SUMPRODUCT((OrderLines!$A$2:$A$925=A30)*OrderLines!$C$2:$C$925*OrderLines!$D$2:$D$925)*G30&gt;40,"HighDisc","OK")</f>
        <v>OK</v>
      </c>
    </row>
    <row r="31" spans="1:11" x14ac:dyDescent="0.3">
      <c r="A31" t="s">
        <v>62</v>
      </c>
      <c r="B31" s="2">
        <v>45854.342488425929</v>
      </c>
      <c r="C31" t="s">
        <v>15</v>
      </c>
      <c r="D31" t="s">
        <v>16</v>
      </c>
      <c r="E31" t="s">
        <v>11</v>
      </c>
      <c r="F31" t="s">
        <v>12</v>
      </c>
      <c r="G31" s="11">
        <v>0.12</v>
      </c>
      <c r="H31" t="b">
        <f>(COUNTIFS(OrderLines!$A:$A,A31,OrderLines!$F:$F,"Beverage")&gt;0)</f>
        <v>1</v>
      </c>
      <c r="I31">
        <f>SUMIFS(OrderLines!$I:$I,OrderLines!$A:$A,A31)</f>
        <v>365.72800000000001</v>
      </c>
      <c r="J31" t="str">
        <f>IF(AND(COUNTIFS(OrderLines!$A$2:$A$925,A31,OrderLines!$F$2:$F$925,"Hot Meal")&gt;0,COUNTIFS(OrderLines!$A$2:$A$925,A31,OrderLines!$F$2:$F$925,"Beverage")&gt;0),"Combo","Single")</f>
        <v>Combo</v>
      </c>
      <c r="K31" t="str">
        <f>IF(SUMPRODUCT((OrderLines!$A$2:$A$925=A31)*OrderLines!$C$2:$C$925*OrderLines!$D$2:$D$925)*G31&gt;40,"HighDisc","OK")</f>
        <v>HighDisc</v>
      </c>
    </row>
    <row r="32" spans="1:11" x14ac:dyDescent="0.3">
      <c r="A32" t="s">
        <v>63</v>
      </c>
      <c r="B32" s="2">
        <v>45872.540370370371</v>
      </c>
      <c r="C32" t="s">
        <v>27</v>
      </c>
      <c r="D32" t="s">
        <v>10</v>
      </c>
      <c r="E32" t="s">
        <v>11</v>
      </c>
      <c r="F32" t="s">
        <v>22</v>
      </c>
      <c r="G32" s="11">
        <v>0.06</v>
      </c>
      <c r="H32" t="b">
        <f>(COUNTIFS(OrderLines!$A:$A,A32,OrderLines!$F:$F,"Beverage")&gt;0)</f>
        <v>0</v>
      </c>
      <c r="I32">
        <f>SUMIFS(OrderLines!$I:$I,OrderLines!$A:$A,A32)</f>
        <v>435.97199999999992</v>
      </c>
      <c r="J32" t="str">
        <f>IF(AND(COUNTIFS(OrderLines!$A$2:$A$925,A32,OrderLines!$F$2:$F$925,"Hot Meal")&gt;0,COUNTIFS(OrderLines!$A$2:$A$925,A32,OrderLines!$F$2:$F$925,"Beverage")&gt;0),"Combo","Single")</f>
        <v>Single</v>
      </c>
      <c r="K32" t="str">
        <f>IF(SUMPRODUCT((OrderLines!$A$2:$A$925=A32)*OrderLines!$C$2:$C$925*OrderLines!$D$2:$D$925)*G32&gt;40,"HighDisc","OK")</f>
        <v>OK</v>
      </c>
    </row>
    <row r="33" spans="1:11" x14ac:dyDescent="0.3">
      <c r="A33" t="s">
        <v>65</v>
      </c>
      <c r="B33" s="2">
        <v>45888.320347222223</v>
      </c>
      <c r="C33" t="s">
        <v>15</v>
      </c>
      <c r="D33" t="s">
        <v>16</v>
      </c>
      <c r="E33" t="s">
        <v>17</v>
      </c>
      <c r="F33" t="s">
        <v>12</v>
      </c>
      <c r="G33" s="11">
        <v>0.12</v>
      </c>
      <c r="H33" t="b">
        <f>(COUNTIFS(OrderLines!$A:$A,A33,OrderLines!$F:$F,"Beverage")&gt;0)</f>
        <v>1</v>
      </c>
      <c r="I33">
        <f>SUMIFS(OrderLines!$I:$I,OrderLines!$A:$A,A33)</f>
        <v>466.18879999999996</v>
      </c>
      <c r="J33" t="str">
        <f>IF(AND(COUNTIFS(OrderLines!$A$2:$A$925,A33,OrderLines!$F$2:$F$925,"Hot Meal")&gt;0,COUNTIFS(OrderLines!$A$2:$A$925,A33,OrderLines!$F$2:$F$925,"Beverage")&gt;0),"Combo","Single")</f>
        <v>Combo</v>
      </c>
      <c r="K33" t="str">
        <f>IF(SUMPRODUCT((OrderLines!$A$2:$A$925=A33)*OrderLines!$C$2:$C$925*OrderLines!$D$2:$D$925)*G33&gt;40,"HighDisc","OK")</f>
        <v>HighDisc</v>
      </c>
    </row>
    <row r="34" spans="1:11" x14ac:dyDescent="0.3">
      <c r="A34" t="s">
        <v>66</v>
      </c>
      <c r="B34" s="2">
        <v>45880.375127314823</v>
      </c>
      <c r="C34" t="s">
        <v>15</v>
      </c>
      <c r="D34" t="s">
        <v>28</v>
      </c>
      <c r="E34" t="s">
        <v>17</v>
      </c>
      <c r="F34" t="s">
        <v>12</v>
      </c>
      <c r="G34" s="11">
        <v>0</v>
      </c>
      <c r="H34" t="b">
        <f>(COUNTIFS(OrderLines!$A:$A,A34,OrderLines!$F:$F,"Beverage")&gt;0)</f>
        <v>0</v>
      </c>
      <c r="I34">
        <f>SUMIFS(OrderLines!$I:$I,OrderLines!$A:$A,A34)</f>
        <v>390.34999999999997</v>
      </c>
      <c r="J34" t="str">
        <f>IF(AND(COUNTIFS(OrderLines!$A$2:$A$925,A34,OrderLines!$F$2:$F$925,"Hot Meal")&gt;0,COUNTIFS(OrderLines!$A$2:$A$925,A34,OrderLines!$F$2:$F$925,"Beverage")&gt;0),"Combo","Single")</f>
        <v>Single</v>
      </c>
      <c r="K34" t="str">
        <f>IF(SUMPRODUCT((OrderLines!$A$2:$A$925=A34)*OrderLines!$C$2:$C$925*OrderLines!$D$2:$D$925)*G34&gt;40,"HighDisc","OK")</f>
        <v>OK</v>
      </c>
    </row>
    <row r="35" spans="1:11" x14ac:dyDescent="0.3">
      <c r="A35" t="s">
        <v>67</v>
      </c>
      <c r="B35" s="2">
        <v>45851.951319444437</v>
      </c>
      <c r="C35" t="s">
        <v>9</v>
      </c>
      <c r="D35" t="s">
        <v>16</v>
      </c>
      <c r="E35" t="s">
        <v>17</v>
      </c>
      <c r="F35" t="s">
        <v>18</v>
      </c>
      <c r="G35" s="11">
        <v>0.09</v>
      </c>
      <c r="H35" t="b">
        <f>(COUNTIFS(OrderLines!$A:$A,A35,OrderLines!$F:$F,"Beverage")&gt;0)</f>
        <v>1</v>
      </c>
      <c r="I35">
        <f>SUMIFS(OrderLines!$I:$I,OrderLines!$A:$A,A35)</f>
        <v>86.568299999999994</v>
      </c>
      <c r="J35" t="str">
        <f>IF(AND(COUNTIFS(OrderLines!$A$2:$A$925,A35,OrderLines!$F$2:$F$925,"Hot Meal")&gt;0,COUNTIFS(OrderLines!$A$2:$A$925,A35,OrderLines!$F$2:$F$925,"Beverage")&gt;0),"Combo","Single")</f>
        <v>Single</v>
      </c>
      <c r="K35" t="str">
        <f>IF(SUMPRODUCT((OrderLines!$A$2:$A$925=A35)*OrderLines!$C$2:$C$925*OrderLines!$D$2:$D$925)*G35&gt;40,"HighDisc","OK")</f>
        <v>OK</v>
      </c>
    </row>
    <row r="36" spans="1:11" x14ac:dyDescent="0.3">
      <c r="A36" t="s">
        <v>68</v>
      </c>
      <c r="B36" s="2">
        <v>45892.812847222223</v>
      </c>
      <c r="C36" t="s">
        <v>9</v>
      </c>
      <c r="D36" t="s">
        <v>16</v>
      </c>
      <c r="E36" t="s">
        <v>11</v>
      </c>
      <c r="F36" t="s">
        <v>18</v>
      </c>
      <c r="G36" s="11">
        <v>0.06</v>
      </c>
      <c r="H36" t="b">
        <f>(COUNTIFS(OrderLines!$A:$A,A36,OrderLines!$F:$F,"Beverage")&gt;0)</f>
        <v>1</v>
      </c>
      <c r="I36">
        <f>SUMIFS(OrderLines!$I:$I,OrderLines!$A:$A,A36)</f>
        <v>636.38</v>
      </c>
      <c r="J36" t="str">
        <f>IF(AND(COUNTIFS(OrderLines!$A$2:$A$925,A36,OrderLines!$F$2:$F$925,"Hot Meal")&gt;0,COUNTIFS(OrderLines!$A$2:$A$925,A36,OrderLines!$F$2:$F$925,"Beverage")&gt;0),"Combo","Single")</f>
        <v>Combo</v>
      </c>
      <c r="K36" t="str">
        <f>IF(SUMPRODUCT((OrderLines!$A$2:$A$925=A36)*OrderLines!$C$2:$C$925*OrderLines!$D$2:$D$925)*G36&gt;40,"HighDisc","OK")</f>
        <v>HighDisc</v>
      </c>
    </row>
    <row r="37" spans="1:11" x14ac:dyDescent="0.3">
      <c r="A37" t="s">
        <v>70</v>
      </c>
      <c r="B37" s="2">
        <v>45850.111875000002</v>
      </c>
      <c r="C37" t="s">
        <v>27</v>
      </c>
      <c r="D37" t="s">
        <v>10</v>
      </c>
      <c r="E37" t="s">
        <v>17</v>
      </c>
      <c r="F37" t="s">
        <v>12</v>
      </c>
      <c r="G37" s="11">
        <v>0.05</v>
      </c>
      <c r="H37" t="b">
        <f>(COUNTIFS(OrderLines!$A:$A,A37,OrderLines!$F:$F,"Beverage")&gt;0)</f>
        <v>0</v>
      </c>
      <c r="I37">
        <f>SUMIFS(OrderLines!$I:$I,OrderLines!$A:$A,A37)</f>
        <v>209.96899999999999</v>
      </c>
      <c r="J37" t="str">
        <f>IF(AND(COUNTIFS(OrderLines!$A$2:$A$925,A37,OrderLines!$F$2:$F$925,"Hot Meal")&gt;0,COUNTIFS(OrderLines!$A$2:$A$925,A37,OrderLines!$F$2:$F$925,"Beverage")&gt;0),"Combo","Single")</f>
        <v>Single</v>
      </c>
      <c r="K37" t="str">
        <f>IF(SUMPRODUCT((OrderLines!$A$2:$A$925=A37)*OrderLines!$C$2:$C$925*OrderLines!$D$2:$D$925)*G37&gt;40,"HighDisc","OK")</f>
        <v>OK</v>
      </c>
    </row>
    <row r="38" spans="1:11" x14ac:dyDescent="0.3">
      <c r="A38" t="s">
        <v>71</v>
      </c>
      <c r="B38" s="2">
        <v>45842.747974537036</v>
      </c>
      <c r="C38" t="s">
        <v>15</v>
      </c>
      <c r="D38" t="s">
        <v>10</v>
      </c>
      <c r="E38" t="s">
        <v>11</v>
      </c>
      <c r="F38" t="s">
        <v>18</v>
      </c>
      <c r="G38" s="11">
        <v>0.06</v>
      </c>
      <c r="H38" t="b">
        <f>(COUNTIFS(OrderLines!$A:$A,A38,OrderLines!$F:$F,"Beverage")&gt;0)</f>
        <v>0</v>
      </c>
      <c r="I38">
        <f>SUMIFS(OrderLines!$I:$I,OrderLines!$A:$A,A38)</f>
        <v>321.16039999999998</v>
      </c>
      <c r="J38" t="str">
        <f>IF(AND(COUNTIFS(OrderLines!$A$2:$A$925,A38,OrderLines!$F$2:$F$925,"Hot Meal")&gt;0,COUNTIFS(OrderLines!$A$2:$A$925,A38,OrderLines!$F$2:$F$925,"Beverage")&gt;0),"Combo","Single")</f>
        <v>Single</v>
      </c>
      <c r="K38" t="str">
        <f>IF(SUMPRODUCT((OrderLines!$A$2:$A$925=A38)*OrderLines!$C$2:$C$925*OrderLines!$D$2:$D$925)*G38&gt;40,"HighDisc","OK")</f>
        <v>OK</v>
      </c>
    </row>
    <row r="39" spans="1:11" x14ac:dyDescent="0.3">
      <c r="A39" t="s">
        <v>73</v>
      </c>
      <c r="B39" s="2">
        <v>45880.978148148148</v>
      </c>
      <c r="C39" t="s">
        <v>27</v>
      </c>
      <c r="D39" t="s">
        <v>28</v>
      </c>
      <c r="E39" t="s">
        <v>21</v>
      </c>
      <c r="F39" t="s">
        <v>18</v>
      </c>
      <c r="G39" s="11">
        <v>0</v>
      </c>
      <c r="H39" t="b">
        <f>(COUNTIFS(OrderLines!$A:$A,A39,OrderLines!$F:$F,"Beverage")&gt;0)</f>
        <v>1</v>
      </c>
      <c r="I39">
        <f>SUMIFS(OrderLines!$I:$I,OrderLines!$A:$A,A39)</f>
        <v>88.16</v>
      </c>
      <c r="J39" t="str">
        <f>IF(AND(COUNTIFS(OrderLines!$A$2:$A$925,A39,OrderLines!$F$2:$F$925,"Hot Meal")&gt;0,COUNTIFS(OrderLines!$A$2:$A$925,A39,OrderLines!$F$2:$F$925,"Beverage")&gt;0),"Combo","Single")</f>
        <v>Single</v>
      </c>
      <c r="K39" t="str">
        <f>IF(SUMPRODUCT((OrderLines!$A$2:$A$925=A39)*OrderLines!$C$2:$C$925*OrderLines!$D$2:$D$925)*G39&gt;40,"HighDisc","OK")</f>
        <v>OK</v>
      </c>
    </row>
    <row r="40" spans="1:11" x14ac:dyDescent="0.3">
      <c r="A40" t="s">
        <v>75</v>
      </c>
      <c r="B40" s="2">
        <v>45843.123402777783</v>
      </c>
      <c r="C40" t="s">
        <v>15</v>
      </c>
      <c r="D40" t="s">
        <v>28</v>
      </c>
      <c r="E40" t="s">
        <v>11</v>
      </c>
      <c r="F40" t="s">
        <v>12</v>
      </c>
      <c r="G40" s="11">
        <v>0.05</v>
      </c>
      <c r="H40" t="b">
        <f>(COUNTIFS(OrderLines!$A:$A,A40,OrderLines!$F:$F,"Beverage")&gt;0)</f>
        <v>0</v>
      </c>
      <c r="I40">
        <f>SUMIFS(OrderLines!$I:$I,OrderLines!$A:$A,A40)</f>
        <v>486.8655</v>
      </c>
      <c r="J40" t="str">
        <f>IF(AND(COUNTIFS(OrderLines!$A$2:$A$925,A40,OrderLines!$F$2:$F$925,"Hot Meal")&gt;0,COUNTIFS(OrderLines!$A$2:$A$925,A40,OrderLines!$F$2:$F$925,"Beverage")&gt;0),"Combo","Single")</f>
        <v>Single</v>
      </c>
      <c r="K40" t="str">
        <f>IF(SUMPRODUCT((OrderLines!$A$2:$A$925=A40)*OrderLines!$C$2:$C$925*OrderLines!$D$2:$D$925)*G40&gt;40,"HighDisc","OK")</f>
        <v>OK</v>
      </c>
    </row>
    <row r="41" spans="1:11" x14ac:dyDescent="0.3">
      <c r="A41" t="s">
        <v>76</v>
      </c>
      <c r="B41" s="2">
        <v>45849.230266203696</v>
      </c>
      <c r="C41" t="s">
        <v>15</v>
      </c>
      <c r="D41" t="s">
        <v>10</v>
      </c>
      <c r="E41" t="s">
        <v>21</v>
      </c>
      <c r="F41" t="s">
        <v>12</v>
      </c>
      <c r="G41" s="11">
        <v>7.0000000000000007E-2</v>
      </c>
      <c r="H41" t="b">
        <f>(COUNTIFS(OrderLines!$A:$A,A41,OrderLines!$F:$F,"Beverage")&gt;0)</f>
        <v>1</v>
      </c>
      <c r="I41">
        <f>SUMIFS(OrderLines!$I:$I,OrderLines!$A:$A,A41)</f>
        <v>624.52289999999994</v>
      </c>
      <c r="J41" t="str">
        <f>IF(AND(COUNTIFS(OrderLines!$A$2:$A$925,A41,OrderLines!$F$2:$F$925,"Hot Meal")&gt;0,COUNTIFS(OrderLines!$A$2:$A$925,A41,OrderLines!$F$2:$F$925,"Beverage")&gt;0),"Combo","Single")</f>
        <v>Combo</v>
      </c>
      <c r="K41" t="str">
        <f>IF(SUMPRODUCT((OrderLines!$A$2:$A$925=A41)*OrderLines!$C$2:$C$925*OrderLines!$D$2:$D$925)*G41&gt;40,"HighDisc","OK")</f>
        <v>HighDisc</v>
      </c>
    </row>
    <row r="42" spans="1:11" x14ac:dyDescent="0.3">
      <c r="A42" t="s">
        <v>77</v>
      </c>
      <c r="B42" s="2">
        <v>45862.234907407408</v>
      </c>
      <c r="C42" t="s">
        <v>27</v>
      </c>
      <c r="D42" t="s">
        <v>28</v>
      </c>
      <c r="E42" t="s">
        <v>21</v>
      </c>
      <c r="F42" t="s">
        <v>12</v>
      </c>
      <c r="G42" s="11">
        <v>0.12</v>
      </c>
      <c r="H42" t="b">
        <f>(COUNTIFS(OrderLines!$A:$A,A42,OrderLines!$F:$F,"Beverage")&gt;0)</f>
        <v>1</v>
      </c>
      <c r="I42">
        <f>SUMIFS(OrderLines!$I:$I,OrderLines!$A:$A,A42)</f>
        <v>149.14240000000001</v>
      </c>
      <c r="J42" t="str">
        <f>IF(AND(COUNTIFS(OrderLines!$A$2:$A$925,A42,OrderLines!$F$2:$F$925,"Hot Meal")&gt;0,COUNTIFS(OrderLines!$A$2:$A$925,A42,OrderLines!$F$2:$F$925,"Beverage")&gt;0),"Combo","Single")</f>
        <v>Single</v>
      </c>
      <c r="K42" t="str">
        <f>IF(SUMPRODUCT((OrderLines!$A$2:$A$925=A42)*OrderLines!$C$2:$C$925*OrderLines!$D$2:$D$925)*G42&gt;40,"HighDisc","OK")</f>
        <v>OK</v>
      </c>
    </row>
    <row r="43" spans="1:11" x14ac:dyDescent="0.3">
      <c r="A43" t="s">
        <v>78</v>
      </c>
      <c r="B43" s="2">
        <v>45856.664189814823</v>
      </c>
      <c r="C43" t="s">
        <v>9</v>
      </c>
      <c r="D43" t="s">
        <v>16</v>
      </c>
      <c r="E43" t="s">
        <v>21</v>
      </c>
      <c r="F43" t="s">
        <v>22</v>
      </c>
      <c r="G43" s="11">
        <v>0.04</v>
      </c>
      <c r="H43" t="b">
        <f>(COUNTIFS(OrderLines!$A:$A,A43,OrderLines!$F:$F,"Beverage")&gt;0)</f>
        <v>1</v>
      </c>
      <c r="I43">
        <f>SUMIFS(OrderLines!$I:$I,OrderLines!$A:$A,A43)</f>
        <v>346.63679999999999</v>
      </c>
      <c r="J43" t="str">
        <f>IF(AND(COUNTIFS(OrderLines!$A$2:$A$925,A43,OrderLines!$F$2:$F$925,"Hot Meal")&gt;0,COUNTIFS(OrderLines!$A$2:$A$925,A43,OrderLines!$F$2:$F$925,"Beverage")&gt;0),"Combo","Single")</f>
        <v>Combo</v>
      </c>
      <c r="K43" t="str">
        <f>IF(SUMPRODUCT((OrderLines!$A$2:$A$925=A43)*OrderLines!$C$2:$C$925*OrderLines!$D$2:$D$925)*G43&gt;40,"HighDisc","OK")</f>
        <v>OK</v>
      </c>
    </row>
    <row r="44" spans="1:11" x14ac:dyDescent="0.3">
      <c r="A44" t="s">
        <v>79</v>
      </c>
      <c r="B44" s="2">
        <v>45865.15425925926</v>
      </c>
      <c r="C44" t="s">
        <v>27</v>
      </c>
      <c r="D44" t="s">
        <v>10</v>
      </c>
      <c r="E44" t="s">
        <v>17</v>
      </c>
      <c r="F44" t="s">
        <v>12</v>
      </c>
      <c r="G44" s="11">
        <v>0.03</v>
      </c>
      <c r="H44" t="b">
        <f>(COUNTIFS(OrderLines!$A:$A,A44,OrderLines!$F:$F,"Beverage")&gt;0)</f>
        <v>1</v>
      </c>
      <c r="I44">
        <f>SUMIFS(OrderLines!$I:$I,OrderLines!$A:$A,A44)</f>
        <v>21.533999999999999</v>
      </c>
      <c r="J44" t="str">
        <f>IF(AND(COUNTIFS(OrderLines!$A$2:$A$925,A44,OrderLines!$F$2:$F$925,"Hot Meal")&gt;0,COUNTIFS(OrderLines!$A$2:$A$925,A44,OrderLines!$F$2:$F$925,"Beverage")&gt;0),"Combo","Single")</f>
        <v>Single</v>
      </c>
      <c r="K44" t="str">
        <f>IF(SUMPRODUCT((OrderLines!$A$2:$A$925=A44)*OrderLines!$C$2:$C$925*OrderLines!$D$2:$D$925)*G44&gt;40,"HighDisc","OK")</f>
        <v>OK</v>
      </c>
    </row>
    <row r="45" spans="1:11" x14ac:dyDescent="0.3">
      <c r="A45" t="s">
        <v>80</v>
      </c>
      <c r="B45" s="2">
        <v>45843.009780092587</v>
      </c>
      <c r="C45" t="s">
        <v>15</v>
      </c>
      <c r="D45" t="s">
        <v>28</v>
      </c>
      <c r="E45" t="s">
        <v>17</v>
      </c>
      <c r="F45" t="s">
        <v>12</v>
      </c>
      <c r="G45" s="11">
        <v>0.04</v>
      </c>
      <c r="H45" t="b">
        <f>(COUNTIFS(OrderLines!$A:$A,A45,OrderLines!$F:$F,"Beverage")&gt;0)</f>
        <v>1</v>
      </c>
      <c r="I45">
        <f>SUMIFS(OrderLines!$I:$I,OrderLines!$A:$A,A45)</f>
        <v>139.38240000000002</v>
      </c>
      <c r="J45" t="str">
        <f>IF(AND(COUNTIFS(OrderLines!$A$2:$A$925,A45,OrderLines!$F$2:$F$925,"Hot Meal")&gt;0,COUNTIFS(OrderLines!$A$2:$A$925,A45,OrderLines!$F$2:$F$925,"Beverage")&gt;0),"Combo","Single")</f>
        <v>Single</v>
      </c>
      <c r="K45" t="str">
        <f>IF(SUMPRODUCT((OrderLines!$A$2:$A$925=A45)*OrderLines!$C$2:$C$925*OrderLines!$D$2:$D$925)*G45&gt;40,"HighDisc","OK")</f>
        <v>OK</v>
      </c>
    </row>
    <row r="46" spans="1:11" x14ac:dyDescent="0.3">
      <c r="A46" t="s">
        <v>81</v>
      </c>
      <c r="B46" s="2">
        <v>45873.198460648149</v>
      </c>
      <c r="C46" t="s">
        <v>15</v>
      </c>
      <c r="D46" t="s">
        <v>28</v>
      </c>
      <c r="E46" t="s">
        <v>17</v>
      </c>
      <c r="F46" t="s">
        <v>12</v>
      </c>
      <c r="G46" s="11">
        <v>0.1</v>
      </c>
      <c r="H46" t="b">
        <f>(COUNTIFS(OrderLines!$A:$A,A46,OrderLines!$F:$F,"Beverage")&gt;0)</f>
        <v>1</v>
      </c>
      <c r="I46">
        <f>SUMIFS(OrderLines!$I:$I,OrderLines!$A:$A,A46)</f>
        <v>323.90100000000001</v>
      </c>
      <c r="J46" t="str">
        <f>IF(AND(COUNTIFS(OrderLines!$A$2:$A$925,A46,OrderLines!$F$2:$F$925,"Hot Meal")&gt;0,COUNTIFS(OrderLines!$A$2:$A$925,A46,OrderLines!$F$2:$F$925,"Beverage")&gt;0),"Combo","Single")</f>
        <v>Single</v>
      </c>
      <c r="K46" t="str">
        <f>IF(SUMPRODUCT((OrderLines!$A$2:$A$925=A46)*OrderLines!$C$2:$C$925*OrderLines!$D$2:$D$925)*G46&gt;40,"HighDisc","OK")</f>
        <v>OK</v>
      </c>
    </row>
    <row r="47" spans="1:11" x14ac:dyDescent="0.3">
      <c r="A47" t="s">
        <v>82</v>
      </c>
      <c r="B47" s="2">
        <v>45858.00104166667</v>
      </c>
      <c r="C47" t="s">
        <v>15</v>
      </c>
      <c r="D47" t="s">
        <v>16</v>
      </c>
      <c r="E47" t="s">
        <v>21</v>
      </c>
      <c r="F47" t="s">
        <v>12</v>
      </c>
      <c r="G47" s="11">
        <v>7.0000000000000007E-2</v>
      </c>
      <c r="H47" t="b">
        <f>(COUNTIFS(OrderLines!$A:$A,A47,OrderLines!$F:$F,"Beverage")&gt;0)</f>
        <v>0</v>
      </c>
      <c r="I47">
        <f>SUMIFS(OrderLines!$I:$I,OrderLines!$A:$A,A47)</f>
        <v>37.153500000000001</v>
      </c>
      <c r="J47" t="str">
        <f>IF(AND(COUNTIFS(OrderLines!$A$2:$A$925,A47,OrderLines!$F$2:$F$925,"Hot Meal")&gt;0,COUNTIFS(OrderLines!$A$2:$A$925,A47,OrderLines!$F$2:$F$925,"Beverage")&gt;0),"Combo","Single")</f>
        <v>Single</v>
      </c>
      <c r="K47" t="str">
        <f>IF(SUMPRODUCT((OrderLines!$A$2:$A$925=A47)*OrderLines!$C$2:$C$925*OrderLines!$D$2:$D$925)*G47&gt;40,"HighDisc","OK")</f>
        <v>OK</v>
      </c>
    </row>
    <row r="48" spans="1:11" x14ac:dyDescent="0.3">
      <c r="A48" t="s">
        <v>83</v>
      </c>
      <c r="B48" s="2">
        <v>45866.350347222222</v>
      </c>
      <c r="C48" t="s">
        <v>15</v>
      </c>
      <c r="D48" t="s">
        <v>10</v>
      </c>
      <c r="E48" t="s">
        <v>11</v>
      </c>
      <c r="F48" t="s">
        <v>12</v>
      </c>
      <c r="G48" s="11">
        <v>0.04</v>
      </c>
      <c r="H48" t="b">
        <f>(COUNTIFS(OrderLines!$A:$A,A48,OrderLines!$F:$F,"Beverage")&gt;0)</f>
        <v>0</v>
      </c>
      <c r="I48">
        <f>SUMIFS(OrderLines!$I:$I,OrderLines!$A:$A,A48)</f>
        <v>595.65120000000002</v>
      </c>
      <c r="J48" t="str">
        <f>IF(AND(COUNTIFS(OrderLines!$A$2:$A$925,A48,OrderLines!$F$2:$F$925,"Hot Meal")&gt;0,COUNTIFS(OrderLines!$A$2:$A$925,A48,OrderLines!$F$2:$F$925,"Beverage")&gt;0),"Combo","Single")</f>
        <v>Single</v>
      </c>
      <c r="K48" t="str">
        <f>IF(SUMPRODUCT((OrderLines!$A$2:$A$925=A48)*OrderLines!$C$2:$C$925*OrderLines!$D$2:$D$925)*G48&gt;40,"HighDisc","OK")</f>
        <v>OK</v>
      </c>
    </row>
    <row r="49" spans="1:11" x14ac:dyDescent="0.3">
      <c r="A49" t="s">
        <v>84</v>
      </c>
      <c r="B49" s="2">
        <v>45891.311377314807</v>
      </c>
      <c r="C49" t="s">
        <v>15</v>
      </c>
      <c r="D49" t="s">
        <v>28</v>
      </c>
      <c r="E49" t="s">
        <v>17</v>
      </c>
      <c r="F49" t="s">
        <v>12</v>
      </c>
      <c r="G49" s="11">
        <v>0.08</v>
      </c>
      <c r="H49" t="b">
        <f>(COUNTIFS(OrderLines!$A:$A,A49,OrderLines!$F:$F,"Beverage")&gt;0)</f>
        <v>1</v>
      </c>
      <c r="I49">
        <f>SUMIFS(OrderLines!$I:$I,OrderLines!$A:$A,A49)</f>
        <v>179.67599999999999</v>
      </c>
      <c r="J49" t="str">
        <f>IF(AND(COUNTIFS(OrderLines!$A$2:$A$925,A49,OrderLines!$F$2:$F$925,"Hot Meal")&gt;0,COUNTIFS(OrderLines!$A$2:$A$925,A49,OrderLines!$F$2:$F$925,"Beverage")&gt;0),"Combo","Single")</f>
        <v>Single</v>
      </c>
      <c r="K49" t="str">
        <f>IF(SUMPRODUCT((OrderLines!$A$2:$A$925=A49)*OrderLines!$C$2:$C$925*OrderLines!$D$2:$D$925)*G49&gt;40,"HighDisc","OK")</f>
        <v>OK</v>
      </c>
    </row>
    <row r="50" spans="1:11" x14ac:dyDescent="0.3">
      <c r="A50" t="s">
        <v>85</v>
      </c>
      <c r="B50" s="2">
        <v>45856.587210648147</v>
      </c>
      <c r="C50" t="s">
        <v>9</v>
      </c>
      <c r="D50" t="s">
        <v>16</v>
      </c>
      <c r="E50" t="s">
        <v>17</v>
      </c>
      <c r="F50" t="s">
        <v>22</v>
      </c>
      <c r="G50" s="11">
        <v>0.06</v>
      </c>
      <c r="H50" t="b">
        <f>(COUNTIFS(OrderLines!$A:$A,A50,OrderLines!$F:$F,"Beverage")&gt;0)</f>
        <v>1</v>
      </c>
      <c r="I50">
        <f>SUMIFS(OrderLines!$I:$I,OrderLines!$A:$A,A50)</f>
        <v>275.95579999999995</v>
      </c>
      <c r="J50" t="str">
        <f>IF(AND(COUNTIFS(OrderLines!$A$2:$A$925,A50,OrderLines!$F$2:$F$925,"Hot Meal")&gt;0,COUNTIFS(OrderLines!$A$2:$A$925,A50,OrderLines!$F$2:$F$925,"Beverage")&gt;0),"Combo","Single")</f>
        <v>Combo</v>
      </c>
      <c r="K50" t="str">
        <f>IF(SUMPRODUCT((OrderLines!$A$2:$A$925=A50)*OrderLines!$C$2:$C$925*OrderLines!$D$2:$D$925)*G50&gt;40,"HighDisc","OK")</f>
        <v>OK</v>
      </c>
    </row>
    <row r="51" spans="1:11" x14ac:dyDescent="0.3">
      <c r="A51" t="s">
        <v>86</v>
      </c>
      <c r="B51" s="2">
        <v>45897.171319444453</v>
      </c>
      <c r="C51" t="s">
        <v>15</v>
      </c>
      <c r="D51" t="s">
        <v>16</v>
      </c>
      <c r="E51" t="s">
        <v>11</v>
      </c>
      <c r="F51" t="s">
        <v>12</v>
      </c>
      <c r="G51" s="11">
        <v>0.1</v>
      </c>
      <c r="H51" t="b">
        <f>(COUNTIFS(OrderLines!$A:$A,A51,OrderLines!$F:$F,"Beverage")&gt;0)</f>
        <v>1</v>
      </c>
      <c r="I51">
        <f>SUMIFS(OrderLines!$I:$I,OrderLines!$A:$A,A51)</f>
        <v>98.576999999999998</v>
      </c>
      <c r="J51" t="str">
        <f>IF(AND(COUNTIFS(OrderLines!$A$2:$A$925,A51,OrderLines!$F$2:$F$925,"Hot Meal")&gt;0,COUNTIFS(OrderLines!$A$2:$A$925,A51,OrderLines!$F$2:$F$925,"Beverage")&gt;0),"Combo","Single")</f>
        <v>Single</v>
      </c>
      <c r="K51" t="str">
        <f>IF(SUMPRODUCT((OrderLines!$A$2:$A$925=A51)*OrderLines!$C$2:$C$925*OrderLines!$D$2:$D$925)*G51&gt;40,"HighDisc","OK")</f>
        <v>OK</v>
      </c>
    </row>
    <row r="52" spans="1:11" x14ac:dyDescent="0.3">
      <c r="A52" t="s">
        <v>87</v>
      </c>
      <c r="B52" s="2">
        <v>45881.619641203702</v>
      </c>
      <c r="C52" t="s">
        <v>9</v>
      </c>
      <c r="D52" t="s">
        <v>10</v>
      </c>
      <c r="E52" t="s">
        <v>17</v>
      </c>
      <c r="F52" t="s">
        <v>22</v>
      </c>
      <c r="G52" s="11">
        <v>0.03</v>
      </c>
      <c r="H52" t="b">
        <f>(COUNTIFS(OrderLines!$A:$A,A52,OrderLines!$F:$F,"Beverage")&gt;0)</f>
        <v>0</v>
      </c>
      <c r="I52">
        <f>SUMIFS(OrderLines!$I:$I,OrderLines!$A:$A,A52)</f>
        <v>574.76379999999995</v>
      </c>
      <c r="J52" t="str">
        <f>IF(AND(COUNTIFS(OrderLines!$A$2:$A$925,A52,OrderLines!$F$2:$F$925,"Hot Meal")&gt;0,COUNTIFS(OrderLines!$A$2:$A$925,A52,OrderLines!$F$2:$F$925,"Beverage")&gt;0),"Combo","Single")</f>
        <v>Single</v>
      </c>
      <c r="K52" t="str">
        <f>IF(SUMPRODUCT((OrderLines!$A$2:$A$925=A52)*OrderLines!$C$2:$C$925*OrderLines!$D$2:$D$925)*G52&gt;40,"HighDisc","OK")</f>
        <v>OK</v>
      </c>
    </row>
    <row r="53" spans="1:11" x14ac:dyDescent="0.3">
      <c r="A53" t="s">
        <v>88</v>
      </c>
      <c r="B53" s="2">
        <v>45895.231145833342</v>
      </c>
      <c r="C53" t="s">
        <v>27</v>
      </c>
      <c r="D53" t="s">
        <v>16</v>
      </c>
      <c r="E53" t="s">
        <v>17</v>
      </c>
      <c r="F53" t="s">
        <v>12</v>
      </c>
      <c r="G53" s="11">
        <v>0.05</v>
      </c>
      <c r="H53" t="b">
        <f>(COUNTIFS(OrderLines!$A:$A,A53,OrderLines!$F:$F,"Beverage")&gt;0)</f>
        <v>0</v>
      </c>
      <c r="I53">
        <f>SUMIFS(OrderLines!$I:$I,OrderLines!$A:$A,A53)</f>
        <v>183.8535</v>
      </c>
      <c r="J53" t="str">
        <f>IF(AND(COUNTIFS(OrderLines!$A$2:$A$925,A53,OrderLines!$F$2:$F$925,"Hot Meal")&gt;0,COUNTIFS(OrderLines!$A$2:$A$925,A53,OrderLines!$F$2:$F$925,"Beverage")&gt;0),"Combo","Single")</f>
        <v>Single</v>
      </c>
      <c r="K53" t="str">
        <f>IF(SUMPRODUCT((OrderLines!$A$2:$A$925=A53)*OrderLines!$C$2:$C$925*OrderLines!$D$2:$D$925)*G53&gt;40,"HighDisc","OK")</f>
        <v>OK</v>
      </c>
    </row>
    <row r="54" spans="1:11" x14ac:dyDescent="0.3">
      <c r="A54" t="s">
        <v>89</v>
      </c>
      <c r="B54" s="2">
        <v>45839.414201388892</v>
      </c>
      <c r="C54" t="s">
        <v>9</v>
      </c>
      <c r="D54" t="s">
        <v>10</v>
      </c>
      <c r="E54" t="s">
        <v>11</v>
      </c>
      <c r="F54" t="s">
        <v>12</v>
      </c>
      <c r="G54" s="11">
        <v>0.04</v>
      </c>
      <c r="H54" t="b">
        <f>(COUNTIFS(OrderLines!$A:$A,A54,OrderLines!$F:$F,"Beverage")&gt;0)</f>
        <v>0</v>
      </c>
      <c r="I54">
        <f>SUMIFS(OrderLines!$I:$I,OrderLines!$A:$A,A54)</f>
        <v>100.70400000000001</v>
      </c>
      <c r="J54" t="str">
        <f>IF(AND(COUNTIFS(OrderLines!$A$2:$A$925,A54,OrderLines!$F$2:$F$925,"Hot Meal")&gt;0,COUNTIFS(OrderLines!$A$2:$A$925,A54,OrderLines!$F$2:$F$925,"Beverage")&gt;0),"Combo","Single")</f>
        <v>Single</v>
      </c>
      <c r="K54" t="str">
        <f>IF(SUMPRODUCT((OrderLines!$A$2:$A$925=A54)*OrderLines!$C$2:$C$925*OrderLines!$D$2:$D$925)*G54&gt;40,"HighDisc","OK")</f>
        <v>OK</v>
      </c>
    </row>
    <row r="55" spans="1:11" x14ac:dyDescent="0.3">
      <c r="A55" t="s">
        <v>90</v>
      </c>
      <c r="B55" s="2">
        <v>45874.612395833326</v>
      </c>
      <c r="C55" t="s">
        <v>15</v>
      </c>
      <c r="D55" t="s">
        <v>28</v>
      </c>
      <c r="E55" t="s">
        <v>11</v>
      </c>
      <c r="F55" t="s">
        <v>22</v>
      </c>
      <c r="G55" s="11">
        <v>0</v>
      </c>
      <c r="H55" t="b">
        <f>(COUNTIFS(OrderLines!$A:$A,A55,OrderLines!$F:$F,"Beverage")&gt;0)</f>
        <v>0</v>
      </c>
      <c r="I55">
        <f>SUMIFS(OrderLines!$I:$I,OrderLines!$A:$A,A55)</f>
        <v>271.65999999999997</v>
      </c>
      <c r="J55" t="str">
        <f>IF(AND(COUNTIFS(OrderLines!$A$2:$A$925,A55,OrderLines!$F$2:$F$925,"Hot Meal")&gt;0,COUNTIFS(OrderLines!$A$2:$A$925,A55,OrderLines!$F$2:$F$925,"Beverage")&gt;0),"Combo","Single")</f>
        <v>Single</v>
      </c>
      <c r="K55" t="str">
        <f>IF(SUMPRODUCT((OrderLines!$A$2:$A$925=A55)*OrderLines!$C$2:$C$925*OrderLines!$D$2:$D$925)*G55&gt;40,"HighDisc","OK")</f>
        <v>OK</v>
      </c>
    </row>
    <row r="56" spans="1:11" x14ac:dyDescent="0.3">
      <c r="A56" t="s">
        <v>91</v>
      </c>
      <c r="B56" s="2">
        <v>45869.728182870371</v>
      </c>
      <c r="C56" t="s">
        <v>9</v>
      </c>
      <c r="D56" t="s">
        <v>28</v>
      </c>
      <c r="E56" t="s">
        <v>11</v>
      </c>
      <c r="F56" t="s">
        <v>18</v>
      </c>
      <c r="G56" s="11">
        <v>7.0000000000000007E-2</v>
      </c>
      <c r="H56" t="b">
        <f>(COUNTIFS(OrderLines!$A:$A,A56,OrderLines!$F:$F,"Beverage")&gt;0)</f>
        <v>0</v>
      </c>
      <c r="I56">
        <f>SUMIFS(OrderLines!$I:$I,OrderLines!$A:$A,A56)</f>
        <v>706.71630000000005</v>
      </c>
      <c r="J56" t="str">
        <f>IF(AND(COUNTIFS(OrderLines!$A$2:$A$925,A56,OrderLines!$F$2:$F$925,"Hot Meal")&gt;0,COUNTIFS(OrderLines!$A$2:$A$925,A56,OrderLines!$F$2:$F$925,"Beverage")&gt;0),"Combo","Single")</f>
        <v>Single</v>
      </c>
      <c r="K56" t="str">
        <f>IF(SUMPRODUCT((OrderLines!$A$2:$A$925=A56)*OrderLines!$C$2:$C$925*OrderLines!$D$2:$D$925)*G56&gt;40,"HighDisc","OK")</f>
        <v>HighDisc</v>
      </c>
    </row>
    <row r="57" spans="1:11" x14ac:dyDescent="0.3">
      <c r="A57" t="s">
        <v>92</v>
      </c>
      <c r="B57" s="2">
        <v>45888.486701388887</v>
      </c>
      <c r="C57" t="s">
        <v>15</v>
      </c>
      <c r="D57" t="s">
        <v>10</v>
      </c>
      <c r="E57" t="s">
        <v>21</v>
      </c>
      <c r="F57" t="s">
        <v>22</v>
      </c>
      <c r="G57" s="11">
        <v>7.0000000000000007E-2</v>
      </c>
      <c r="H57" t="b">
        <f>(COUNTIFS(OrderLines!$A:$A,A57,OrderLines!$F:$F,"Beverage")&gt;0)</f>
        <v>0</v>
      </c>
      <c r="I57">
        <f>SUMIFS(OrderLines!$I:$I,OrderLines!$A:$A,A57)</f>
        <v>462.02399999999994</v>
      </c>
      <c r="J57" t="str">
        <f>IF(AND(COUNTIFS(OrderLines!$A$2:$A$925,A57,OrderLines!$F$2:$F$925,"Hot Meal")&gt;0,COUNTIFS(OrderLines!$A$2:$A$925,A57,OrderLines!$F$2:$F$925,"Beverage")&gt;0),"Combo","Single")</f>
        <v>Single</v>
      </c>
      <c r="K57" t="str">
        <f>IF(SUMPRODUCT((OrderLines!$A$2:$A$925=A57)*OrderLines!$C$2:$C$925*OrderLines!$D$2:$D$925)*G57&gt;40,"HighDisc","OK")</f>
        <v>OK</v>
      </c>
    </row>
    <row r="58" spans="1:11" x14ac:dyDescent="0.3">
      <c r="A58" t="s">
        <v>93</v>
      </c>
      <c r="B58" s="2">
        <v>45878.319201388891</v>
      </c>
      <c r="C58" t="s">
        <v>9</v>
      </c>
      <c r="D58" t="s">
        <v>16</v>
      </c>
      <c r="E58" t="s">
        <v>11</v>
      </c>
      <c r="F58" t="s">
        <v>12</v>
      </c>
      <c r="G58" s="11">
        <v>0.06</v>
      </c>
      <c r="H58" t="b">
        <f>(COUNTIFS(OrderLines!$A:$A,A58,OrderLines!$F:$F,"Beverage")&gt;0)</f>
        <v>1</v>
      </c>
      <c r="I58">
        <f>SUMIFS(OrderLines!$I:$I,OrderLines!$A:$A,A58)</f>
        <v>240.47079999999997</v>
      </c>
      <c r="J58" t="str">
        <f>IF(AND(COUNTIFS(OrderLines!$A$2:$A$925,A58,OrderLines!$F$2:$F$925,"Hot Meal")&gt;0,COUNTIFS(OrderLines!$A$2:$A$925,A58,OrderLines!$F$2:$F$925,"Beverage")&gt;0),"Combo","Single")</f>
        <v>Single</v>
      </c>
      <c r="K58" t="str">
        <f>IF(SUMPRODUCT((OrderLines!$A$2:$A$925=A58)*OrderLines!$C$2:$C$925*OrderLines!$D$2:$D$925)*G58&gt;40,"HighDisc","OK")</f>
        <v>OK</v>
      </c>
    </row>
    <row r="59" spans="1:11" x14ac:dyDescent="0.3">
      <c r="A59" t="s">
        <v>94</v>
      </c>
      <c r="B59" s="2">
        <v>45857.875821759262</v>
      </c>
      <c r="C59" t="s">
        <v>15</v>
      </c>
      <c r="D59" t="s">
        <v>10</v>
      </c>
      <c r="E59" t="s">
        <v>21</v>
      </c>
      <c r="F59" t="s">
        <v>18</v>
      </c>
      <c r="G59" s="11">
        <v>0.05</v>
      </c>
      <c r="H59" t="b">
        <f>(COUNTIFS(OrderLines!$A:$A,A59,OrderLines!$F:$F,"Beverage")&gt;0)</f>
        <v>0</v>
      </c>
      <c r="I59">
        <f>SUMIFS(OrderLines!$I:$I,OrderLines!$A:$A,A59)</f>
        <v>233.78549999999998</v>
      </c>
      <c r="J59" t="str">
        <f>IF(AND(COUNTIFS(OrderLines!$A$2:$A$925,A59,OrderLines!$F$2:$F$925,"Hot Meal")&gt;0,COUNTIFS(OrderLines!$A$2:$A$925,A59,OrderLines!$F$2:$F$925,"Beverage")&gt;0),"Combo","Single")</f>
        <v>Single</v>
      </c>
      <c r="K59" t="str">
        <f>IF(SUMPRODUCT((OrderLines!$A$2:$A$925=A59)*OrderLines!$C$2:$C$925*OrderLines!$D$2:$D$925)*G59&gt;40,"HighDisc","OK")</f>
        <v>OK</v>
      </c>
    </row>
    <row r="60" spans="1:11" x14ac:dyDescent="0.3">
      <c r="A60" t="s">
        <v>96</v>
      </c>
      <c r="B60" s="2">
        <v>45894.504629629628</v>
      </c>
      <c r="C60" t="s">
        <v>15</v>
      </c>
      <c r="D60" t="s">
        <v>16</v>
      </c>
      <c r="E60" t="s">
        <v>11</v>
      </c>
      <c r="F60" t="s">
        <v>22</v>
      </c>
      <c r="G60" s="11">
        <v>0</v>
      </c>
      <c r="H60" t="b">
        <f>(COUNTIFS(OrderLines!$A:$A,A60,OrderLines!$F:$F,"Beverage")&gt;0)</f>
        <v>0</v>
      </c>
      <c r="I60">
        <f>SUMIFS(OrderLines!$I:$I,OrderLines!$A:$A,A60)</f>
        <v>662.52</v>
      </c>
      <c r="J60" t="str">
        <f>IF(AND(COUNTIFS(OrderLines!$A$2:$A$925,A60,OrderLines!$F$2:$F$925,"Hot Meal")&gt;0,COUNTIFS(OrderLines!$A$2:$A$925,A60,OrderLines!$F$2:$F$925,"Beverage")&gt;0),"Combo","Single")</f>
        <v>Single</v>
      </c>
      <c r="K60" t="str">
        <f>IF(SUMPRODUCT((OrderLines!$A$2:$A$925=A60)*OrderLines!$C$2:$C$925*OrderLines!$D$2:$D$925)*G60&gt;40,"HighDisc","OK")</f>
        <v>OK</v>
      </c>
    </row>
    <row r="61" spans="1:11" x14ac:dyDescent="0.3">
      <c r="A61" t="s">
        <v>97</v>
      </c>
      <c r="B61" s="2">
        <v>45868.753321759257</v>
      </c>
      <c r="C61" t="s">
        <v>15</v>
      </c>
      <c r="D61" t="s">
        <v>28</v>
      </c>
      <c r="E61" t="s">
        <v>21</v>
      </c>
      <c r="F61" t="s">
        <v>18</v>
      </c>
      <c r="G61" s="11">
        <v>0.04</v>
      </c>
      <c r="H61" t="b">
        <f>(COUNTIFS(OrderLines!$A:$A,A61,OrderLines!$F:$F,"Beverage")&gt;0)</f>
        <v>0</v>
      </c>
      <c r="I61">
        <f>SUMIFS(OrderLines!$I:$I,OrderLines!$A:$A,A61)</f>
        <v>710.06400000000008</v>
      </c>
      <c r="J61" t="str">
        <f>IF(AND(COUNTIFS(OrderLines!$A$2:$A$925,A61,OrderLines!$F$2:$F$925,"Hot Meal")&gt;0,COUNTIFS(OrderLines!$A$2:$A$925,A61,OrderLines!$F$2:$F$925,"Beverage")&gt;0),"Combo","Single")</f>
        <v>Single</v>
      </c>
      <c r="K61" t="str">
        <f>IF(SUMPRODUCT((OrderLines!$A$2:$A$925=A61)*OrderLines!$C$2:$C$925*OrderLines!$D$2:$D$925)*G61&gt;40,"HighDisc","OK")</f>
        <v>OK</v>
      </c>
    </row>
    <row r="62" spans="1:11" x14ac:dyDescent="0.3">
      <c r="A62" t="s">
        <v>98</v>
      </c>
      <c r="B62" s="2">
        <v>45884.395868055559</v>
      </c>
      <c r="C62" t="s">
        <v>15</v>
      </c>
      <c r="D62" t="s">
        <v>16</v>
      </c>
      <c r="E62" t="s">
        <v>11</v>
      </c>
      <c r="F62" t="s">
        <v>12</v>
      </c>
      <c r="G62" s="11">
        <v>0.05</v>
      </c>
      <c r="H62" t="b">
        <f>(COUNTIFS(OrderLines!$A:$A,A62,OrderLines!$F:$F,"Beverage")&gt;0)</f>
        <v>1</v>
      </c>
      <c r="I62">
        <f>SUMIFS(OrderLines!$I:$I,OrderLines!$A:$A,A62)</f>
        <v>252.66200000000001</v>
      </c>
      <c r="J62" t="str">
        <f>IF(AND(COUNTIFS(OrderLines!$A$2:$A$925,A62,OrderLines!$F$2:$F$925,"Hot Meal")&gt;0,COUNTIFS(OrderLines!$A$2:$A$925,A62,OrderLines!$F$2:$F$925,"Beverage")&gt;0),"Combo","Single")</f>
        <v>Single</v>
      </c>
      <c r="K62" t="str">
        <f>IF(SUMPRODUCT((OrderLines!$A$2:$A$925=A62)*OrderLines!$C$2:$C$925*OrderLines!$D$2:$D$925)*G62&gt;40,"HighDisc","OK")</f>
        <v>OK</v>
      </c>
    </row>
    <row r="63" spans="1:11" x14ac:dyDescent="0.3">
      <c r="A63" t="s">
        <v>99</v>
      </c>
      <c r="B63" s="2">
        <v>45888.880069444444</v>
      </c>
      <c r="C63" t="s">
        <v>15</v>
      </c>
      <c r="D63" t="s">
        <v>10</v>
      </c>
      <c r="E63" t="s">
        <v>17</v>
      </c>
      <c r="F63" t="s">
        <v>18</v>
      </c>
      <c r="G63" s="11">
        <v>0.03</v>
      </c>
      <c r="H63" t="b">
        <f>(COUNTIFS(OrderLines!$A:$A,A63,OrderLines!$F:$F,"Beverage")&gt;0)</f>
        <v>1</v>
      </c>
      <c r="I63">
        <f>SUMIFS(OrderLines!$I:$I,OrderLines!$A:$A,A63)</f>
        <v>285.45159999999998</v>
      </c>
      <c r="J63" t="str">
        <f>IF(AND(COUNTIFS(OrderLines!$A$2:$A$925,A63,OrderLines!$F$2:$F$925,"Hot Meal")&gt;0,COUNTIFS(OrderLines!$A$2:$A$925,A63,OrderLines!$F$2:$F$925,"Beverage")&gt;0),"Combo","Single")</f>
        <v>Single</v>
      </c>
      <c r="K63" t="str">
        <f>IF(SUMPRODUCT((OrderLines!$A$2:$A$925=A63)*OrderLines!$C$2:$C$925*OrderLines!$D$2:$D$925)*G63&gt;40,"HighDisc","OK")</f>
        <v>OK</v>
      </c>
    </row>
    <row r="64" spans="1:11" x14ac:dyDescent="0.3">
      <c r="A64" t="s">
        <v>100</v>
      </c>
      <c r="B64" s="2">
        <v>45866.802916666667</v>
      </c>
      <c r="C64" t="s">
        <v>9</v>
      </c>
      <c r="D64" t="s">
        <v>10</v>
      </c>
      <c r="E64" t="s">
        <v>11</v>
      </c>
      <c r="F64" t="s">
        <v>18</v>
      </c>
      <c r="G64" s="11">
        <v>0.05</v>
      </c>
      <c r="H64" t="b">
        <f>(COUNTIFS(OrderLines!$A:$A,A64,OrderLines!$F:$F,"Beverage")&gt;0)</f>
        <v>0</v>
      </c>
      <c r="I64">
        <f>SUMIFS(OrderLines!$I:$I,OrderLines!$A:$A,A64)</f>
        <v>145.44499999999999</v>
      </c>
      <c r="J64" t="str">
        <f>IF(AND(COUNTIFS(OrderLines!$A$2:$A$925,A64,OrderLines!$F$2:$F$925,"Hot Meal")&gt;0,COUNTIFS(OrderLines!$A$2:$A$925,A64,OrderLines!$F$2:$F$925,"Beverage")&gt;0),"Combo","Single")</f>
        <v>Single</v>
      </c>
      <c r="K64" t="str">
        <f>IF(SUMPRODUCT((OrderLines!$A$2:$A$925=A64)*OrderLines!$C$2:$C$925*OrderLines!$D$2:$D$925)*G64&gt;40,"HighDisc","OK")</f>
        <v>OK</v>
      </c>
    </row>
    <row r="65" spans="1:11" x14ac:dyDescent="0.3">
      <c r="A65" t="s">
        <v>101</v>
      </c>
      <c r="B65" s="2">
        <v>45848.316990740743</v>
      </c>
      <c r="C65" t="s">
        <v>27</v>
      </c>
      <c r="D65" t="s">
        <v>10</v>
      </c>
      <c r="E65" t="s">
        <v>21</v>
      </c>
      <c r="F65" t="s">
        <v>12</v>
      </c>
      <c r="G65" s="11">
        <v>0.08</v>
      </c>
      <c r="H65" t="b">
        <f>(COUNTIFS(OrderLines!$A:$A,A65,OrderLines!$F:$F,"Beverage")&gt;0)</f>
        <v>1</v>
      </c>
      <c r="I65">
        <f>SUMIFS(OrderLines!$I:$I,OrderLines!$A:$A,A65)</f>
        <v>18.501200000000001</v>
      </c>
      <c r="J65" t="str">
        <f>IF(AND(COUNTIFS(OrderLines!$A$2:$A$925,A65,OrderLines!$F$2:$F$925,"Hot Meal")&gt;0,COUNTIFS(OrderLines!$A$2:$A$925,A65,OrderLines!$F$2:$F$925,"Beverage")&gt;0),"Combo","Single")</f>
        <v>Single</v>
      </c>
      <c r="K65" t="str">
        <f>IF(SUMPRODUCT((OrderLines!$A$2:$A$925=A65)*OrderLines!$C$2:$C$925*OrderLines!$D$2:$D$925)*G65&gt;40,"HighDisc","OK")</f>
        <v>OK</v>
      </c>
    </row>
    <row r="66" spans="1:11" x14ac:dyDescent="0.3">
      <c r="A66" t="s">
        <v>102</v>
      </c>
      <c r="B66" s="2">
        <v>45858.583587962959</v>
      </c>
      <c r="C66" t="s">
        <v>27</v>
      </c>
      <c r="D66" t="s">
        <v>28</v>
      </c>
      <c r="E66" t="s">
        <v>17</v>
      </c>
      <c r="F66" t="s">
        <v>22</v>
      </c>
      <c r="G66" s="11">
        <v>0.14000000000000001</v>
      </c>
      <c r="H66" t="b">
        <f>(COUNTIFS(OrderLines!$A:$A,A66,OrderLines!$F:$F,"Beverage")&gt;0)</f>
        <v>1</v>
      </c>
      <c r="I66">
        <f>SUMIFS(OrderLines!$I:$I,OrderLines!$A:$A,A66)</f>
        <v>587.66380000000004</v>
      </c>
      <c r="J66" t="str">
        <f>IF(AND(COUNTIFS(OrderLines!$A$2:$A$925,A66,OrderLines!$F$2:$F$925,"Hot Meal")&gt;0,COUNTIFS(OrderLines!$A$2:$A$925,A66,OrderLines!$F$2:$F$925,"Beverage")&gt;0),"Combo","Single")</f>
        <v>Combo</v>
      </c>
      <c r="K66" t="str">
        <f>IF(SUMPRODUCT((OrderLines!$A$2:$A$925=A66)*OrderLines!$C$2:$C$925*OrderLines!$D$2:$D$925)*G66&gt;40,"HighDisc","OK")</f>
        <v>HighDisc</v>
      </c>
    </row>
    <row r="67" spans="1:11" x14ac:dyDescent="0.3">
      <c r="A67" t="s">
        <v>103</v>
      </c>
      <c r="B67" s="2">
        <v>45885.381157407413</v>
      </c>
      <c r="C67" t="s">
        <v>9</v>
      </c>
      <c r="D67" t="s">
        <v>28</v>
      </c>
      <c r="E67" t="s">
        <v>21</v>
      </c>
      <c r="F67" t="s">
        <v>12</v>
      </c>
      <c r="G67" s="11">
        <v>7.0000000000000007E-2</v>
      </c>
      <c r="H67" t="b">
        <f>(COUNTIFS(OrderLines!$A:$A,A67,OrderLines!$F:$F,"Beverage")&gt;0)</f>
        <v>0</v>
      </c>
      <c r="I67">
        <f>SUMIFS(OrderLines!$I:$I,OrderLines!$A:$A,A67)</f>
        <v>1009.5894</v>
      </c>
      <c r="J67" t="str">
        <f>IF(AND(COUNTIFS(OrderLines!$A$2:$A$925,A67,OrderLines!$F$2:$F$925,"Hot Meal")&gt;0,COUNTIFS(OrderLines!$A$2:$A$925,A67,OrderLines!$F$2:$F$925,"Beverage")&gt;0),"Combo","Single")</f>
        <v>Single</v>
      </c>
      <c r="K67" t="str">
        <f>IF(SUMPRODUCT((OrderLines!$A$2:$A$925=A67)*OrderLines!$C$2:$C$925*OrderLines!$D$2:$D$925)*G67&gt;40,"HighDisc","OK")</f>
        <v>HighDisc</v>
      </c>
    </row>
    <row r="68" spans="1:11" x14ac:dyDescent="0.3">
      <c r="A68" t="s">
        <v>104</v>
      </c>
      <c r="B68" s="2">
        <v>45895.142094907409</v>
      </c>
      <c r="C68" t="s">
        <v>27</v>
      </c>
      <c r="D68" t="s">
        <v>10</v>
      </c>
      <c r="E68" t="s">
        <v>11</v>
      </c>
      <c r="F68" t="s">
        <v>12</v>
      </c>
      <c r="G68" s="11">
        <v>7.0000000000000007E-2</v>
      </c>
      <c r="H68" t="b">
        <f>(COUNTIFS(OrderLines!$A:$A,A68,OrderLines!$F:$F,"Beverage")&gt;0)</f>
        <v>1</v>
      </c>
      <c r="I68">
        <f>SUMIFS(OrderLines!$I:$I,OrderLines!$A:$A,A68)</f>
        <v>337.50630000000001</v>
      </c>
      <c r="J68" t="str">
        <f>IF(AND(COUNTIFS(OrderLines!$A$2:$A$925,A68,OrderLines!$F$2:$F$925,"Hot Meal")&gt;0,COUNTIFS(OrderLines!$A$2:$A$925,A68,OrderLines!$F$2:$F$925,"Beverage")&gt;0),"Combo","Single")</f>
        <v>Single</v>
      </c>
      <c r="K68" t="str">
        <f>IF(SUMPRODUCT((OrderLines!$A$2:$A$925=A68)*OrderLines!$C$2:$C$925*OrderLines!$D$2:$D$925)*G68&gt;40,"HighDisc","OK")</f>
        <v>OK</v>
      </c>
    </row>
    <row r="69" spans="1:11" x14ac:dyDescent="0.3">
      <c r="A69" t="s">
        <v>105</v>
      </c>
      <c r="B69" s="2">
        <v>45887.249259259261</v>
      </c>
      <c r="C69" t="s">
        <v>15</v>
      </c>
      <c r="D69" t="s">
        <v>28</v>
      </c>
      <c r="E69" t="s">
        <v>17</v>
      </c>
      <c r="F69" t="s">
        <v>12</v>
      </c>
      <c r="G69" s="11">
        <v>0.06</v>
      </c>
      <c r="H69" t="b">
        <f>(COUNTIFS(OrderLines!$A:$A,A69,OrderLines!$F:$F,"Beverage")&gt;0)</f>
        <v>1</v>
      </c>
      <c r="I69">
        <f>SUMIFS(OrderLines!$I:$I,OrderLines!$A:$A,A69)</f>
        <v>373.89439999999996</v>
      </c>
      <c r="J69" t="str">
        <f>IF(AND(COUNTIFS(OrderLines!$A$2:$A$925,A69,OrderLines!$F$2:$F$925,"Hot Meal")&gt;0,COUNTIFS(OrderLines!$A$2:$A$925,A69,OrderLines!$F$2:$F$925,"Beverage")&gt;0),"Combo","Single")</f>
        <v>Combo</v>
      </c>
      <c r="K69" t="str">
        <f>IF(SUMPRODUCT((OrderLines!$A$2:$A$925=A69)*OrderLines!$C$2:$C$925*OrderLines!$D$2:$D$925)*G69&gt;40,"HighDisc","OK")</f>
        <v>OK</v>
      </c>
    </row>
    <row r="70" spans="1:11" x14ac:dyDescent="0.3">
      <c r="A70" t="s">
        <v>106</v>
      </c>
      <c r="B70" s="2">
        <v>45849.598599537043</v>
      </c>
      <c r="C70" t="s">
        <v>15</v>
      </c>
      <c r="D70" t="s">
        <v>28</v>
      </c>
      <c r="E70" t="s">
        <v>17</v>
      </c>
      <c r="F70" t="s">
        <v>22</v>
      </c>
      <c r="G70" s="11">
        <v>0</v>
      </c>
      <c r="H70" t="b">
        <f>(COUNTIFS(OrderLines!$A:$A,A70,OrderLines!$F:$F,"Beverage")&gt;0)</f>
        <v>0</v>
      </c>
      <c r="I70">
        <f>SUMIFS(OrderLines!$I:$I,OrderLines!$A:$A,A70)</f>
        <v>1539.5700000000002</v>
      </c>
      <c r="J70" t="str">
        <f>IF(AND(COUNTIFS(OrderLines!$A$2:$A$925,A70,OrderLines!$F$2:$F$925,"Hot Meal")&gt;0,COUNTIFS(OrderLines!$A$2:$A$925,A70,OrderLines!$F$2:$F$925,"Beverage")&gt;0),"Combo","Single")</f>
        <v>Single</v>
      </c>
      <c r="K70" t="str">
        <f>IF(SUMPRODUCT((OrderLines!$A$2:$A$925=A70)*OrderLines!$C$2:$C$925*OrderLines!$D$2:$D$925)*G70&gt;40,"HighDisc","OK")</f>
        <v>OK</v>
      </c>
    </row>
    <row r="71" spans="1:11" x14ac:dyDescent="0.3">
      <c r="A71" t="s">
        <v>107</v>
      </c>
      <c r="B71" s="2">
        <v>45884.353310185194</v>
      </c>
      <c r="C71" t="s">
        <v>27</v>
      </c>
      <c r="D71" t="s">
        <v>10</v>
      </c>
      <c r="E71" t="s">
        <v>17</v>
      </c>
      <c r="F71" t="s">
        <v>12</v>
      </c>
      <c r="G71" s="11">
        <v>0.06</v>
      </c>
      <c r="H71" t="b">
        <f>(COUNTIFS(OrderLines!$A:$A,A71,OrderLines!$F:$F,"Beverage")&gt;0)</f>
        <v>1</v>
      </c>
      <c r="I71">
        <f>SUMIFS(OrderLines!$I:$I,OrderLines!$A:$A,A71)</f>
        <v>56.710199999999993</v>
      </c>
      <c r="J71" t="str">
        <f>IF(AND(COUNTIFS(OrderLines!$A$2:$A$925,A71,OrderLines!$F$2:$F$925,"Hot Meal")&gt;0,COUNTIFS(OrderLines!$A$2:$A$925,A71,OrderLines!$F$2:$F$925,"Beverage")&gt;0),"Combo","Single")</f>
        <v>Single</v>
      </c>
      <c r="K71" t="str">
        <f>IF(SUMPRODUCT((OrderLines!$A$2:$A$925=A71)*OrderLines!$C$2:$C$925*OrderLines!$D$2:$D$925)*G71&gt;40,"HighDisc","OK")</f>
        <v>OK</v>
      </c>
    </row>
    <row r="72" spans="1:11" x14ac:dyDescent="0.3">
      <c r="A72" t="s">
        <v>108</v>
      </c>
      <c r="B72" s="2">
        <v>45883.568043981482</v>
      </c>
      <c r="C72" t="s">
        <v>27</v>
      </c>
      <c r="D72" t="s">
        <v>16</v>
      </c>
      <c r="E72" t="s">
        <v>11</v>
      </c>
      <c r="F72" t="s">
        <v>22</v>
      </c>
      <c r="G72" s="11">
        <v>0.06</v>
      </c>
      <c r="H72" t="b">
        <f>(COUNTIFS(OrderLines!$A:$A,A72,OrderLines!$F:$F,"Beverage")&gt;0)</f>
        <v>0</v>
      </c>
      <c r="I72">
        <f>SUMIFS(OrderLines!$I:$I,OrderLines!$A:$A,A72)</f>
        <v>304.49419999999998</v>
      </c>
      <c r="J72" t="str">
        <f>IF(AND(COUNTIFS(OrderLines!$A$2:$A$925,A72,OrderLines!$F$2:$F$925,"Hot Meal")&gt;0,COUNTIFS(OrderLines!$A$2:$A$925,A72,OrderLines!$F$2:$F$925,"Beverage")&gt;0),"Combo","Single")</f>
        <v>Single</v>
      </c>
      <c r="K72" t="str">
        <f>IF(SUMPRODUCT((OrderLines!$A$2:$A$925=A72)*OrderLines!$C$2:$C$925*OrderLines!$D$2:$D$925)*G72&gt;40,"HighDisc","OK")</f>
        <v>OK</v>
      </c>
    </row>
    <row r="73" spans="1:11" x14ac:dyDescent="0.3">
      <c r="A73" t="s">
        <v>109</v>
      </c>
      <c r="B73" s="2">
        <v>45893.516261574077</v>
      </c>
      <c r="C73" t="s">
        <v>9</v>
      </c>
      <c r="D73" t="s">
        <v>16</v>
      </c>
      <c r="E73" t="s">
        <v>21</v>
      </c>
      <c r="F73" t="s">
        <v>22</v>
      </c>
      <c r="G73" s="11">
        <v>0.16</v>
      </c>
      <c r="H73" t="b">
        <f>(COUNTIFS(OrderLines!$A:$A,A73,OrderLines!$F:$F,"Beverage")&gt;0)</f>
        <v>1</v>
      </c>
      <c r="I73">
        <f>SUMIFS(OrderLines!$I:$I,OrderLines!$A:$A,A73)</f>
        <v>336.36119999999994</v>
      </c>
      <c r="J73" t="str">
        <f>IF(AND(COUNTIFS(OrderLines!$A$2:$A$925,A73,OrderLines!$F$2:$F$925,"Hot Meal")&gt;0,COUNTIFS(OrderLines!$A$2:$A$925,A73,OrderLines!$F$2:$F$925,"Beverage")&gt;0),"Combo","Single")</f>
        <v>Combo</v>
      </c>
      <c r="K73" t="str">
        <f>IF(SUMPRODUCT((OrderLines!$A$2:$A$925=A73)*OrderLines!$C$2:$C$925*OrderLines!$D$2:$D$925)*G73&gt;40,"HighDisc","OK")</f>
        <v>HighDisc</v>
      </c>
    </row>
    <row r="74" spans="1:11" x14ac:dyDescent="0.3">
      <c r="A74" t="s">
        <v>110</v>
      </c>
      <c r="B74" s="2">
        <v>45880.68240740741</v>
      </c>
      <c r="C74" t="s">
        <v>9</v>
      </c>
      <c r="D74" t="s">
        <v>16</v>
      </c>
      <c r="E74" t="s">
        <v>17</v>
      </c>
      <c r="F74" t="s">
        <v>18</v>
      </c>
      <c r="G74" s="11">
        <v>0.05</v>
      </c>
      <c r="H74" t="b">
        <f>(COUNTIFS(OrderLines!$A:$A,A74,OrderLines!$F:$F,"Beverage")&gt;0)</f>
        <v>0</v>
      </c>
      <c r="I74">
        <f>SUMIFS(OrderLines!$I:$I,OrderLines!$A:$A,A74)</f>
        <v>95.36099999999999</v>
      </c>
      <c r="J74" t="str">
        <f>IF(AND(COUNTIFS(OrderLines!$A$2:$A$925,A74,OrderLines!$F$2:$F$925,"Hot Meal")&gt;0,COUNTIFS(OrderLines!$A$2:$A$925,A74,OrderLines!$F$2:$F$925,"Beverage")&gt;0),"Combo","Single")</f>
        <v>Single</v>
      </c>
      <c r="K74" t="str">
        <f>IF(SUMPRODUCT((OrderLines!$A$2:$A$925=A74)*OrderLines!$C$2:$C$925*OrderLines!$D$2:$D$925)*G74&gt;40,"HighDisc","OK")</f>
        <v>OK</v>
      </c>
    </row>
    <row r="75" spans="1:11" x14ac:dyDescent="0.3">
      <c r="A75" t="s">
        <v>111</v>
      </c>
      <c r="B75" s="2">
        <v>45882.947430555563</v>
      </c>
      <c r="C75" t="s">
        <v>15</v>
      </c>
      <c r="D75" t="s">
        <v>28</v>
      </c>
      <c r="E75" t="s">
        <v>11</v>
      </c>
      <c r="F75" t="s">
        <v>18</v>
      </c>
      <c r="G75" s="11">
        <v>7.0000000000000007E-2</v>
      </c>
      <c r="H75" t="b">
        <f>(COUNTIFS(OrderLines!$A:$A,A75,OrderLines!$F:$F,"Beverage")&gt;0)</f>
        <v>1</v>
      </c>
      <c r="I75">
        <f>SUMIFS(OrderLines!$I:$I,OrderLines!$A:$A,A75)</f>
        <v>835.66079999999988</v>
      </c>
      <c r="J75" t="str">
        <f>IF(AND(COUNTIFS(OrderLines!$A$2:$A$925,A75,OrderLines!$F$2:$F$925,"Hot Meal")&gt;0,COUNTIFS(OrderLines!$A$2:$A$925,A75,OrderLines!$F$2:$F$925,"Beverage")&gt;0),"Combo","Single")</f>
        <v>Combo</v>
      </c>
      <c r="K75" t="str">
        <f>IF(SUMPRODUCT((OrderLines!$A$2:$A$925=A75)*OrderLines!$C$2:$C$925*OrderLines!$D$2:$D$925)*G75&gt;40,"HighDisc","OK")</f>
        <v>HighDisc</v>
      </c>
    </row>
    <row r="76" spans="1:11" x14ac:dyDescent="0.3">
      <c r="A76" t="s">
        <v>112</v>
      </c>
      <c r="B76" s="2">
        <v>45889.863182870373</v>
      </c>
      <c r="C76" t="s">
        <v>15</v>
      </c>
      <c r="D76" t="s">
        <v>10</v>
      </c>
      <c r="E76" t="s">
        <v>17</v>
      </c>
      <c r="F76" t="s">
        <v>18</v>
      </c>
      <c r="G76" s="11">
        <v>0.06</v>
      </c>
      <c r="H76" t="b">
        <f>(COUNTIFS(OrderLines!$A:$A,A76,OrderLines!$F:$F,"Beverage")&gt;0)</f>
        <v>1</v>
      </c>
      <c r="I76">
        <f>SUMIFS(OrderLines!$I:$I,OrderLines!$A:$A,A76)</f>
        <v>512.8922</v>
      </c>
      <c r="J76" t="str">
        <f>IF(AND(COUNTIFS(OrderLines!$A$2:$A$925,A76,OrderLines!$F$2:$F$925,"Hot Meal")&gt;0,COUNTIFS(OrderLines!$A$2:$A$925,A76,OrderLines!$F$2:$F$925,"Beverage")&gt;0),"Combo","Single")</f>
        <v>Combo</v>
      </c>
      <c r="K76" t="str">
        <f>IF(SUMPRODUCT((OrderLines!$A$2:$A$925=A76)*OrderLines!$C$2:$C$925*OrderLines!$D$2:$D$925)*G76&gt;40,"HighDisc","OK")</f>
        <v>OK</v>
      </c>
    </row>
    <row r="77" spans="1:11" x14ac:dyDescent="0.3">
      <c r="A77" t="s">
        <v>113</v>
      </c>
      <c r="B77" s="2">
        <v>45881.957384259258</v>
      </c>
      <c r="C77" t="s">
        <v>27</v>
      </c>
      <c r="D77" t="s">
        <v>10</v>
      </c>
      <c r="E77" t="s">
        <v>21</v>
      </c>
      <c r="F77" t="s">
        <v>18</v>
      </c>
      <c r="G77" s="11">
        <v>0.01</v>
      </c>
      <c r="H77" t="b">
        <f>(COUNTIFS(OrderLines!$A:$A,A77,OrderLines!$F:$F,"Beverage")&gt;0)</f>
        <v>0</v>
      </c>
      <c r="I77">
        <f>SUMIFS(OrderLines!$I:$I,OrderLines!$A:$A,A77)</f>
        <v>393.21810000000005</v>
      </c>
      <c r="J77" t="str">
        <f>IF(AND(COUNTIFS(OrderLines!$A$2:$A$925,A77,OrderLines!$F$2:$F$925,"Hot Meal")&gt;0,COUNTIFS(OrderLines!$A$2:$A$925,A77,OrderLines!$F$2:$F$925,"Beverage")&gt;0),"Combo","Single")</f>
        <v>Single</v>
      </c>
      <c r="K77" t="str">
        <f>IF(SUMPRODUCT((OrderLines!$A$2:$A$925=A77)*OrderLines!$C$2:$C$925*OrderLines!$D$2:$D$925)*G77&gt;40,"HighDisc","OK")</f>
        <v>OK</v>
      </c>
    </row>
    <row r="78" spans="1:11" x14ac:dyDescent="0.3">
      <c r="A78" t="s">
        <v>114</v>
      </c>
      <c r="B78" s="2">
        <v>45865.630914351852</v>
      </c>
      <c r="C78" t="s">
        <v>15</v>
      </c>
      <c r="D78" t="s">
        <v>16</v>
      </c>
      <c r="E78" t="s">
        <v>11</v>
      </c>
      <c r="F78" t="s">
        <v>22</v>
      </c>
      <c r="G78" s="11">
        <v>0.11</v>
      </c>
      <c r="H78" t="b">
        <f>(COUNTIFS(OrderLines!$A:$A,A78,OrderLines!$F:$F,"Beverage")&gt;0)</f>
        <v>1</v>
      </c>
      <c r="I78">
        <f>SUMIFS(OrderLines!$I:$I,OrderLines!$A:$A,A78)</f>
        <v>92.132800000000003</v>
      </c>
      <c r="J78" t="str">
        <f>IF(AND(COUNTIFS(OrderLines!$A$2:$A$925,A78,OrderLines!$F$2:$F$925,"Hot Meal")&gt;0,COUNTIFS(OrderLines!$A$2:$A$925,A78,OrderLines!$F$2:$F$925,"Beverage")&gt;0),"Combo","Single")</f>
        <v>Single</v>
      </c>
      <c r="K78" t="str">
        <f>IF(SUMPRODUCT((OrderLines!$A$2:$A$925=A78)*OrderLines!$C$2:$C$925*OrderLines!$D$2:$D$925)*G78&gt;40,"HighDisc","OK")</f>
        <v>OK</v>
      </c>
    </row>
    <row r="79" spans="1:11" x14ac:dyDescent="0.3">
      <c r="A79" t="s">
        <v>115</v>
      </c>
      <c r="B79" s="2">
        <v>45852.68478009259</v>
      </c>
      <c r="C79" t="s">
        <v>27</v>
      </c>
      <c r="D79" t="s">
        <v>28</v>
      </c>
      <c r="E79" t="s">
        <v>21</v>
      </c>
      <c r="F79" t="s">
        <v>18</v>
      </c>
      <c r="G79" s="11">
        <v>0.09</v>
      </c>
      <c r="H79" t="b">
        <f>(COUNTIFS(OrderLines!$A:$A,A79,OrderLines!$F:$F,"Beverage")&gt;0)</f>
        <v>1</v>
      </c>
      <c r="I79">
        <f>SUMIFS(OrderLines!$I:$I,OrderLines!$A:$A,A79)</f>
        <v>135.70830000000001</v>
      </c>
      <c r="J79" t="str">
        <f>IF(AND(COUNTIFS(OrderLines!$A$2:$A$925,A79,OrderLines!$F$2:$F$925,"Hot Meal")&gt;0,COUNTIFS(OrderLines!$A$2:$A$925,A79,OrderLines!$F$2:$F$925,"Beverage")&gt;0),"Combo","Single")</f>
        <v>Single</v>
      </c>
      <c r="K79" t="str">
        <f>IF(SUMPRODUCT((OrderLines!$A$2:$A$925=A79)*OrderLines!$C$2:$C$925*OrderLines!$D$2:$D$925)*G79&gt;40,"HighDisc","OK")</f>
        <v>OK</v>
      </c>
    </row>
    <row r="80" spans="1:11" x14ac:dyDescent="0.3">
      <c r="A80" t="s">
        <v>116</v>
      </c>
      <c r="B80" s="2">
        <v>45860.02275462963</v>
      </c>
      <c r="C80" t="s">
        <v>27</v>
      </c>
      <c r="D80" t="s">
        <v>16</v>
      </c>
      <c r="E80" t="s">
        <v>21</v>
      </c>
      <c r="F80" t="s">
        <v>12</v>
      </c>
      <c r="G80" s="11">
        <v>0.09</v>
      </c>
      <c r="H80" t="b">
        <f>(COUNTIFS(OrderLines!$A:$A,A80,OrderLines!$F:$F,"Beverage")&gt;0)</f>
        <v>1</v>
      </c>
      <c r="I80">
        <f>SUMIFS(OrderLines!$I:$I,OrderLines!$A:$A,A80)</f>
        <v>86.377200000000016</v>
      </c>
      <c r="J80" t="str">
        <f>IF(AND(COUNTIFS(OrderLines!$A$2:$A$925,A80,OrderLines!$F$2:$F$925,"Hot Meal")&gt;0,COUNTIFS(OrderLines!$A$2:$A$925,A80,OrderLines!$F$2:$F$925,"Beverage")&gt;0),"Combo","Single")</f>
        <v>Single</v>
      </c>
      <c r="K80" t="str">
        <f>IF(SUMPRODUCT((OrderLines!$A$2:$A$925=A80)*OrderLines!$C$2:$C$925*OrderLines!$D$2:$D$925)*G80&gt;40,"HighDisc","OK")</f>
        <v>OK</v>
      </c>
    </row>
    <row r="81" spans="1:11" x14ac:dyDescent="0.3">
      <c r="A81" t="s">
        <v>117</v>
      </c>
      <c r="B81" s="2">
        <v>45891.932314814818</v>
      </c>
      <c r="C81" t="s">
        <v>15</v>
      </c>
      <c r="D81" t="s">
        <v>16</v>
      </c>
      <c r="E81" t="s">
        <v>17</v>
      </c>
      <c r="F81" t="s">
        <v>18</v>
      </c>
      <c r="G81" s="11">
        <v>0.02</v>
      </c>
      <c r="H81" t="b">
        <f>(COUNTIFS(OrderLines!$A:$A,A81,OrderLines!$F:$F,"Beverage")&gt;0)</f>
        <v>1</v>
      </c>
      <c r="I81">
        <f>SUMIFS(OrderLines!$I:$I,OrderLines!$A:$A,A81)</f>
        <v>419.39100000000002</v>
      </c>
      <c r="J81" t="str">
        <f>IF(AND(COUNTIFS(OrderLines!$A$2:$A$925,A81,OrderLines!$F$2:$F$925,"Hot Meal")&gt;0,COUNTIFS(OrderLines!$A$2:$A$925,A81,OrderLines!$F$2:$F$925,"Beverage")&gt;0),"Combo","Single")</f>
        <v>Combo</v>
      </c>
      <c r="K81" t="str">
        <f>IF(SUMPRODUCT((OrderLines!$A$2:$A$925=A81)*OrderLines!$C$2:$C$925*OrderLines!$D$2:$D$925)*G81&gt;40,"HighDisc","OK")</f>
        <v>OK</v>
      </c>
    </row>
    <row r="82" spans="1:11" x14ac:dyDescent="0.3">
      <c r="A82" t="s">
        <v>118</v>
      </c>
      <c r="B82" s="2">
        <v>45880.041886574072</v>
      </c>
      <c r="C82" t="s">
        <v>15</v>
      </c>
      <c r="D82" t="s">
        <v>10</v>
      </c>
      <c r="E82" t="s">
        <v>11</v>
      </c>
      <c r="F82" t="s">
        <v>12</v>
      </c>
      <c r="G82" s="11">
        <v>0.12</v>
      </c>
      <c r="H82" t="b">
        <f>(COUNTIFS(OrderLines!$A:$A,A82,OrderLines!$F:$F,"Beverage")&gt;0)</f>
        <v>0</v>
      </c>
      <c r="I82">
        <f>SUMIFS(OrderLines!$I:$I,OrderLines!$A:$A,A82)</f>
        <v>44.167200000000001</v>
      </c>
      <c r="J82" t="str">
        <f>IF(AND(COUNTIFS(OrderLines!$A$2:$A$925,A82,OrderLines!$F$2:$F$925,"Hot Meal")&gt;0,COUNTIFS(OrderLines!$A$2:$A$925,A82,OrderLines!$F$2:$F$925,"Beverage")&gt;0),"Combo","Single")</f>
        <v>Single</v>
      </c>
      <c r="K82" t="str">
        <f>IF(SUMPRODUCT((OrderLines!$A$2:$A$925=A82)*OrderLines!$C$2:$C$925*OrderLines!$D$2:$D$925)*G82&gt;40,"HighDisc","OK")</f>
        <v>OK</v>
      </c>
    </row>
    <row r="83" spans="1:11" x14ac:dyDescent="0.3">
      <c r="A83" t="s">
        <v>119</v>
      </c>
      <c r="B83" s="2">
        <v>45895.14398148148</v>
      </c>
      <c r="C83" t="s">
        <v>15</v>
      </c>
      <c r="D83" t="s">
        <v>16</v>
      </c>
      <c r="E83" t="s">
        <v>17</v>
      </c>
      <c r="F83" t="s">
        <v>12</v>
      </c>
      <c r="G83" s="11">
        <v>0</v>
      </c>
      <c r="H83" t="b">
        <f>(COUNTIFS(OrderLines!$A:$A,A83,OrderLines!$F:$F,"Beverage")&gt;0)</f>
        <v>0</v>
      </c>
      <c r="I83">
        <f>SUMIFS(OrderLines!$I:$I,OrderLines!$A:$A,A83)</f>
        <v>119.85000000000001</v>
      </c>
      <c r="J83" t="str">
        <f>IF(AND(COUNTIFS(OrderLines!$A$2:$A$925,A83,OrderLines!$F$2:$F$925,"Hot Meal")&gt;0,COUNTIFS(OrderLines!$A$2:$A$925,A83,OrderLines!$F$2:$F$925,"Beverage")&gt;0),"Combo","Single")</f>
        <v>Single</v>
      </c>
      <c r="K83" t="str">
        <f>IF(SUMPRODUCT((OrderLines!$A$2:$A$925=A83)*OrderLines!$C$2:$C$925*OrderLines!$D$2:$D$925)*G83&gt;40,"HighDisc","OK")</f>
        <v>OK</v>
      </c>
    </row>
    <row r="84" spans="1:11" x14ac:dyDescent="0.3">
      <c r="A84" t="s">
        <v>120</v>
      </c>
      <c r="B84" s="2">
        <v>45868.242407407408</v>
      </c>
      <c r="C84" t="s">
        <v>15</v>
      </c>
      <c r="D84" t="s">
        <v>16</v>
      </c>
      <c r="E84" t="s">
        <v>11</v>
      </c>
      <c r="F84" t="s">
        <v>12</v>
      </c>
      <c r="G84" s="11">
        <v>0.08</v>
      </c>
      <c r="H84" t="b">
        <f>(COUNTIFS(OrderLines!$A:$A,A84,OrderLines!$F:$F,"Beverage")&gt;0)</f>
        <v>1</v>
      </c>
      <c r="I84">
        <f>SUMIFS(OrderLines!$I:$I,OrderLines!$A:$A,A84)</f>
        <v>297.28880000000004</v>
      </c>
      <c r="J84" t="str">
        <f>IF(AND(COUNTIFS(OrderLines!$A$2:$A$925,A84,OrderLines!$F$2:$F$925,"Hot Meal")&gt;0,COUNTIFS(OrderLines!$A$2:$A$925,A84,OrderLines!$F$2:$F$925,"Beverage")&gt;0),"Combo","Single")</f>
        <v>Combo</v>
      </c>
      <c r="K84" t="str">
        <f>IF(SUMPRODUCT((OrderLines!$A$2:$A$925=A84)*OrderLines!$C$2:$C$925*OrderLines!$D$2:$D$925)*G84&gt;40,"HighDisc","OK")</f>
        <v>OK</v>
      </c>
    </row>
    <row r="85" spans="1:11" x14ac:dyDescent="0.3">
      <c r="A85" t="s">
        <v>121</v>
      </c>
      <c r="B85" s="2">
        <v>45897.820011574076</v>
      </c>
      <c r="C85" t="s">
        <v>27</v>
      </c>
      <c r="D85" t="s">
        <v>16</v>
      </c>
      <c r="E85" t="s">
        <v>17</v>
      </c>
      <c r="F85" t="s">
        <v>18</v>
      </c>
      <c r="G85" s="11">
        <v>0.15</v>
      </c>
      <c r="H85" t="b">
        <f>(COUNTIFS(OrderLines!$A:$A,A85,OrderLines!$F:$F,"Beverage")&gt;0)</f>
        <v>1</v>
      </c>
      <c r="I85">
        <f>SUMIFS(OrderLines!$I:$I,OrderLines!$A:$A,A85)</f>
        <v>200.50649999999999</v>
      </c>
      <c r="J85" t="str">
        <f>IF(AND(COUNTIFS(OrderLines!$A$2:$A$925,A85,OrderLines!$F$2:$F$925,"Hot Meal")&gt;0,COUNTIFS(OrderLines!$A$2:$A$925,A85,OrderLines!$F$2:$F$925,"Beverage")&gt;0),"Combo","Single")</f>
        <v>Single</v>
      </c>
      <c r="K85" t="str">
        <f>IF(SUMPRODUCT((OrderLines!$A$2:$A$925=A85)*OrderLines!$C$2:$C$925*OrderLines!$D$2:$D$925)*G85&gt;40,"HighDisc","OK")</f>
        <v>OK</v>
      </c>
    </row>
    <row r="86" spans="1:11" x14ac:dyDescent="0.3">
      <c r="A86" t="s">
        <v>122</v>
      </c>
      <c r="B86" s="2">
        <v>45881.565474537027</v>
      </c>
      <c r="C86" t="s">
        <v>15</v>
      </c>
      <c r="D86" t="s">
        <v>28</v>
      </c>
      <c r="E86" t="s">
        <v>21</v>
      </c>
      <c r="F86" t="s">
        <v>22</v>
      </c>
      <c r="G86" s="11">
        <v>0.02</v>
      </c>
      <c r="H86" t="b">
        <f>(COUNTIFS(OrderLines!$A:$A,A86,OrderLines!$F:$F,"Beverage")&gt;0)</f>
        <v>0</v>
      </c>
      <c r="I86">
        <f>SUMIFS(OrderLines!$I:$I,OrderLines!$A:$A,A86)</f>
        <v>151.48840000000001</v>
      </c>
      <c r="J86" t="str">
        <f>IF(AND(COUNTIFS(OrderLines!$A$2:$A$925,A86,OrderLines!$F$2:$F$925,"Hot Meal")&gt;0,COUNTIFS(OrderLines!$A$2:$A$925,A86,OrderLines!$F$2:$F$925,"Beverage")&gt;0),"Combo","Single")</f>
        <v>Single</v>
      </c>
      <c r="K86" t="str">
        <f>IF(SUMPRODUCT((OrderLines!$A$2:$A$925=A86)*OrderLines!$C$2:$C$925*OrderLines!$D$2:$D$925)*G86&gt;40,"HighDisc","OK")</f>
        <v>OK</v>
      </c>
    </row>
    <row r="87" spans="1:11" x14ac:dyDescent="0.3">
      <c r="A87" t="s">
        <v>123</v>
      </c>
      <c r="B87" s="2">
        <v>45878.505254629628</v>
      </c>
      <c r="C87" t="s">
        <v>9</v>
      </c>
      <c r="D87" t="s">
        <v>28</v>
      </c>
      <c r="E87" t="s">
        <v>21</v>
      </c>
      <c r="F87" t="s">
        <v>22</v>
      </c>
      <c r="G87" s="11">
        <v>0.04</v>
      </c>
      <c r="H87" t="b">
        <f>(COUNTIFS(OrderLines!$A:$A,A87,OrderLines!$F:$F,"Beverage")&gt;0)</f>
        <v>1</v>
      </c>
      <c r="I87">
        <f>SUMIFS(OrderLines!$I:$I,OrderLines!$A:$A,A87)</f>
        <v>178.63679999999999</v>
      </c>
      <c r="J87" t="str">
        <f>IF(AND(COUNTIFS(OrderLines!$A$2:$A$925,A87,OrderLines!$F$2:$F$925,"Hot Meal")&gt;0,COUNTIFS(OrderLines!$A$2:$A$925,A87,OrderLines!$F$2:$F$925,"Beverage")&gt;0),"Combo","Single")</f>
        <v>Single</v>
      </c>
      <c r="K87" t="str">
        <f>IF(SUMPRODUCT((OrderLines!$A$2:$A$925=A87)*OrderLines!$C$2:$C$925*OrderLines!$D$2:$D$925)*G87&gt;40,"HighDisc","OK")</f>
        <v>OK</v>
      </c>
    </row>
    <row r="88" spans="1:11" x14ac:dyDescent="0.3">
      <c r="A88" t="s">
        <v>124</v>
      </c>
      <c r="B88" s="2">
        <v>45891.108252314807</v>
      </c>
      <c r="C88" t="s">
        <v>27</v>
      </c>
      <c r="D88" t="s">
        <v>16</v>
      </c>
      <c r="E88" t="s">
        <v>11</v>
      </c>
      <c r="F88" t="s">
        <v>12</v>
      </c>
      <c r="G88" s="11">
        <v>0.06</v>
      </c>
      <c r="H88" t="b">
        <f>(COUNTIFS(OrderLines!$A:$A,A88,OrderLines!$F:$F,"Beverage")&gt;0)</f>
        <v>1</v>
      </c>
      <c r="I88">
        <f>SUMIFS(OrderLines!$I:$I,OrderLines!$A:$A,A88)</f>
        <v>252.08920000000001</v>
      </c>
      <c r="J88" t="str">
        <f>IF(AND(COUNTIFS(OrderLines!$A$2:$A$925,A88,OrderLines!$F$2:$F$925,"Hot Meal")&gt;0,COUNTIFS(OrderLines!$A$2:$A$925,A88,OrderLines!$F$2:$F$925,"Beverage")&gt;0),"Combo","Single")</f>
        <v>Single</v>
      </c>
      <c r="K88" t="str">
        <f>IF(SUMPRODUCT((OrderLines!$A$2:$A$925=A88)*OrderLines!$C$2:$C$925*OrderLines!$D$2:$D$925)*G88&gt;40,"HighDisc","OK")</f>
        <v>OK</v>
      </c>
    </row>
    <row r="89" spans="1:11" x14ac:dyDescent="0.3">
      <c r="A89" t="s">
        <v>125</v>
      </c>
      <c r="B89" s="2">
        <v>45847.40048611111</v>
      </c>
      <c r="C89" t="s">
        <v>9</v>
      </c>
      <c r="D89" t="s">
        <v>16</v>
      </c>
      <c r="E89" t="s">
        <v>17</v>
      </c>
      <c r="F89" t="s">
        <v>12</v>
      </c>
      <c r="G89" s="11">
        <v>0.04</v>
      </c>
      <c r="H89" t="b">
        <f>(COUNTIFS(OrderLines!$A:$A,A89,OrderLines!$F:$F,"Beverage")&gt;0)</f>
        <v>0</v>
      </c>
      <c r="I89">
        <f>SUMIFS(OrderLines!$I:$I,OrderLines!$A:$A,A89)</f>
        <v>291.99360000000001</v>
      </c>
      <c r="J89" t="str">
        <f>IF(AND(COUNTIFS(OrderLines!$A$2:$A$925,A89,OrderLines!$F$2:$F$925,"Hot Meal")&gt;0,COUNTIFS(OrderLines!$A$2:$A$925,A89,OrderLines!$F$2:$F$925,"Beverage")&gt;0),"Combo","Single")</f>
        <v>Single</v>
      </c>
      <c r="K89" t="str">
        <f>IF(SUMPRODUCT((OrderLines!$A$2:$A$925=A89)*OrderLines!$C$2:$C$925*OrderLines!$D$2:$D$925)*G89&gt;40,"HighDisc","OK")</f>
        <v>OK</v>
      </c>
    </row>
    <row r="90" spans="1:11" x14ac:dyDescent="0.3">
      <c r="A90" t="s">
        <v>126</v>
      </c>
      <c r="B90" s="2">
        <v>45856.894131944442</v>
      </c>
      <c r="C90" t="s">
        <v>27</v>
      </c>
      <c r="D90" t="s">
        <v>16</v>
      </c>
      <c r="E90" t="s">
        <v>21</v>
      </c>
      <c r="F90" t="s">
        <v>18</v>
      </c>
      <c r="G90" s="11">
        <v>0</v>
      </c>
      <c r="H90" t="b">
        <f>(COUNTIFS(OrderLines!$A:$A,A90,OrderLines!$F:$F,"Beverage")&gt;0)</f>
        <v>0</v>
      </c>
      <c r="I90">
        <f>SUMIFS(OrderLines!$I:$I,OrderLines!$A:$A,A90)</f>
        <v>658.67000000000007</v>
      </c>
      <c r="J90" t="str">
        <f>IF(AND(COUNTIFS(OrderLines!$A$2:$A$925,A90,OrderLines!$F$2:$F$925,"Hot Meal")&gt;0,COUNTIFS(OrderLines!$A$2:$A$925,A90,OrderLines!$F$2:$F$925,"Beverage")&gt;0),"Combo","Single")</f>
        <v>Single</v>
      </c>
      <c r="K90" t="str">
        <f>IF(SUMPRODUCT((OrderLines!$A$2:$A$925=A90)*OrderLines!$C$2:$C$925*OrderLines!$D$2:$D$925)*G90&gt;40,"HighDisc","OK")</f>
        <v>OK</v>
      </c>
    </row>
    <row r="91" spans="1:11" x14ac:dyDescent="0.3">
      <c r="A91" t="s">
        <v>127</v>
      </c>
      <c r="B91" s="2">
        <v>45859.800173611111</v>
      </c>
      <c r="C91" t="s">
        <v>15</v>
      </c>
      <c r="D91" t="s">
        <v>16</v>
      </c>
      <c r="E91" t="s">
        <v>21</v>
      </c>
      <c r="F91" t="s">
        <v>18</v>
      </c>
      <c r="G91" s="11">
        <v>0.06</v>
      </c>
      <c r="H91" t="b">
        <f>(COUNTIFS(OrderLines!$A:$A,A91,OrderLines!$F:$F,"Beverage")&gt;0)</f>
        <v>1</v>
      </c>
      <c r="I91">
        <f>SUMIFS(OrderLines!$I:$I,OrderLines!$A:$A,A91)</f>
        <v>714.59739999999999</v>
      </c>
      <c r="J91" t="str">
        <f>IF(AND(COUNTIFS(OrderLines!$A$2:$A$925,A91,OrderLines!$F$2:$F$925,"Hot Meal")&gt;0,COUNTIFS(OrderLines!$A$2:$A$925,A91,OrderLines!$F$2:$F$925,"Beverage")&gt;0),"Combo","Single")</f>
        <v>Combo</v>
      </c>
      <c r="K91" t="str">
        <f>IF(SUMPRODUCT((OrderLines!$A$2:$A$925=A91)*OrderLines!$C$2:$C$925*OrderLines!$D$2:$D$925)*G91&gt;40,"HighDisc","OK")</f>
        <v>HighDisc</v>
      </c>
    </row>
    <row r="92" spans="1:11" x14ac:dyDescent="0.3">
      <c r="A92" t="s">
        <v>128</v>
      </c>
      <c r="B92" s="2">
        <v>45866.266030092593</v>
      </c>
      <c r="C92" t="s">
        <v>15</v>
      </c>
      <c r="D92" t="s">
        <v>16</v>
      </c>
      <c r="E92" t="s">
        <v>17</v>
      </c>
      <c r="F92" t="s">
        <v>12</v>
      </c>
      <c r="G92" s="11">
        <v>0.02</v>
      </c>
      <c r="H92" t="b">
        <f>(COUNTIFS(OrderLines!$A:$A,A92,OrderLines!$F:$F,"Beverage")&gt;0)</f>
        <v>0</v>
      </c>
      <c r="I92">
        <f>SUMIFS(OrderLines!$I:$I,OrderLines!$A:$A,A92)</f>
        <v>286.94400000000002</v>
      </c>
      <c r="J92" t="str">
        <f>IF(AND(COUNTIFS(OrderLines!$A$2:$A$925,A92,OrderLines!$F$2:$F$925,"Hot Meal")&gt;0,COUNTIFS(OrderLines!$A$2:$A$925,A92,OrderLines!$F$2:$F$925,"Beverage")&gt;0),"Combo","Single")</f>
        <v>Single</v>
      </c>
      <c r="K92" t="str">
        <f>IF(SUMPRODUCT((OrderLines!$A$2:$A$925=A92)*OrderLines!$C$2:$C$925*OrderLines!$D$2:$D$925)*G92&gt;40,"HighDisc","OK")</f>
        <v>OK</v>
      </c>
    </row>
    <row r="93" spans="1:11" x14ac:dyDescent="0.3">
      <c r="A93" t="s">
        <v>129</v>
      </c>
      <c r="B93" s="2">
        <v>45841.131921296299</v>
      </c>
      <c r="C93" t="s">
        <v>9</v>
      </c>
      <c r="D93" t="s">
        <v>10</v>
      </c>
      <c r="E93" t="s">
        <v>17</v>
      </c>
      <c r="F93" t="s">
        <v>12</v>
      </c>
      <c r="G93" s="11">
        <v>0.08</v>
      </c>
      <c r="H93" t="b">
        <f>(COUNTIFS(OrderLines!$A:$A,A93,OrderLines!$F:$F,"Beverage")&gt;0)</f>
        <v>1</v>
      </c>
      <c r="I93">
        <f>SUMIFS(OrderLines!$I:$I,OrderLines!$A:$A,A93)</f>
        <v>686.02560000000005</v>
      </c>
      <c r="J93" t="str">
        <f>IF(AND(COUNTIFS(OrderLines!$A$2:$A$925,A93,OrderLines!$F$2:$F$925,"Hot Meal")&gt;0,COUNTIFS(OrderLines!$A$2:$A$925,A93,OrderLines!$F$2:$F$925,"Beverage")&gt;0),"Combo","Single")</f>
        <v>Combo</v>
      </c>
      <c r="K93" t="str">
        <f>IF(SUMPRODUCT((OrderLines!$A$2:$A$925=A93)*OrderLines!$C$2:$C$925*OrderLines!$D$2:$D$925)*G93&gt;40,"HighDisc","OK")</f>
        <v>HighDisc</v>
      </c>
    </row>
    <row r="94" spans="1:11" x14ac:dyDescent="0.3">
      <c r="A94" t="s">
        <v>130</v>
      </c>
      <c r="B94" s="2">
        <v>45861.019803240742</v>
      </c>
      <c r="C94" t="s">
        <v>9</v>
      </c>
      <c r="D94" t="s">
        <v>28</v>
      </c>
      <c r="E94" t="s">
        <v>11</v>
      </c>
      <c r="F94" t="s">
        <v>12</v>
      </c>
      <c r="G94" s="11">
        <v>0.02</v>
      </c>
      <c r="H94" t="b">
        <f>(COUNTIFS(OrderLines!$A:$A,A94,OrderLines!$F:$F,"Beverage")&gt;0)</f>
        <v>0</v>
      </c>
      <c r="I94">
        <f>SUMIFS(OrderLines!$I:$I,OrderLines!$A:$A,A94)</f>
        <v>398.80119999999999</v>
      </c>
      <c r="J94" t="str">
        <f>IF(AND(COUNTIFS(OrderLines!$A$2:$A$925,A94,OrderLines!$F$2:$F$925,"Hot Meal")&gt;0,COUNTIFS(OrderLines!$A$2:$A$925,A94,OrderLines!$F$2:$F$925,"Beverage")&gt;0),"Combo","Single")</f>
        <v>Single</v>
      </c>
      <c r="K94" t="str">
        <f>IF(SUMPRODUCT((OrderLines!$A$2:$A$925=A94)*OrderLines!$C$2:$C$925*OrderLines!$D$2:$D$925)*G94&gt;40,"HighDisc","OK")</f>
        <v>OK</v>
      </c>
    </row>
    <row r="95" spans="1:11" x14ac:dyDescent="0.3">
      <c r="A95" t="s">
        <v>131</v>
      </c>
      <c r="B95" s="2">
        <v>45842.262708333343</v>
      </c>
      <c r="C95" t="s">
        <v>27</v>
      </c>
      <c r="D95" t="s">
        <v>28</v>
      </c>
      <c r="E95" t="s">
        <v>17</v>
      </c>
      <c r="F95" t="s">
        <v>12</v>
      </c>
      <c r="G95" s="11">
        <v>0.12</v>
      </c>
      <c r="H95" t="b">
        <f>(COUNTIFS(OrderLines!$A:$A,A95,OrderLines!$F:$F,"Beverage")&gt;0)</f>
        <v>1</v>
      </c>
      <c r="I95">
        <f>SUMIFS(OrderLines!$I:$I,OrderLines!$A:$A,A95)</f>
        <v>171.96960000000001</v>
      </c>
      <c r="J95" t="str">
        <f>IF(AND(COUNTIFS(OrderLines!$A$2:$A$925,A95,OrderLines!$F$2:$F$925,"Hot Meal")&gt;0,COUNTIFS(OrderLines!$A$2:$A$925,A95,OrderLines!$F$2:$F$925,"Beverage")&gt;0),"Combo","Single")</f>
        <v>Single</v>
      </c>
      <c r="K95" t="str">
        <f>IF(SUMPRODUCT((OrderLines!$A$2:$A$925=A95)*OrderLines!$C$2:$C$925*OrderLines!$D$2:$D$925)*G95&gt;40,"HighDisc","OK")</f>
        <v>OK</v>
      </c>
    </row>
    <row r="96" spans="1:11" x14ac:dyDescent="0.3">
      <c r="A96" t="s">
        <v>132</v>
      </c>
      <c r="B96" s="2">
        <v>45862.410416666673</v>
      </c>
      <c r="C96" t="s">
        <v>27</v>
      </c>
      <c r="D96" t="s">
        <v>16</v>
      </c>
      <c r="E96" t="s">
        <v>11</v>
      </c>
      <c r="F96" t="s">
        <v>12</v>
      </c>
      <c r="G96" s="11">
        <v>0.03</v>
      </c>
      <c r="H96" t="b">
        <f>(COUNTIFS(OrderLines!$A:$A,A96,OrderLines!$F:$F,"Beverage")&gt;0)</f>
        <v>0</v>
      </c>
      <c r="I96">
        <f>SUMIFS(OrderLines!$I:$I,OrderLines!$A:$A,A96)</f>
        <v>739.84810000000004</v>
      </c>
      <c r="J96" t="str">
        <f>IF(AND(COUNTIFS(OrderLines!$A$2:$A$925,A96,OrderLines!$F$2:$F$925,"Hot Meal")&gt;0,COUNTIFS(OrderLines!$A$2:$A$925,A96,OrderLines!$F$2:$F$925,"Beverage")&gt;0),"Combo","Single")</f>
        <v>Single</v>
      </c>
      <c r="K96" t="str">
        <f>IF(SUMPRODUCT((OrderLines!$A$2:$A$925=A96)*OrderLines!$C$2:$C$925*OrderLines!$D$2:$D$925)*G96&gt;40,"HighDisc","OK")</f>
        <v>OK</v>
      </c>
    </row>
    <row r="97" spans="1:11" x14ac:dyDescent="0.3">
      <c r="A97" t="s">
        <v>133</v>
      </c>
      <c r="B97" s="2">
        <v>45894.006006944437</v>
      </c>
      <c r="C97" t="s">
        <v>27</v>
      </c>
      <c r="D97" t="s">
        <v>16</v>
      </c>
      <c r="E97" t="s">
        <v>11</v>
      </c>
      <c r="F97" t="s">
        <v>12</v>
      </c>
      <c r="G97" s="11">
        <v>0.05</v>
      </c>
      <c r="H97" t="b">
        <f>(COUNTIFS(OrderLines!$A:$A,A97,OrderLines!$F:$F,"Beverage")&gt;0)</f>
        <v>0</v>
      </c>
      <c r="I97">
        <f>SUMIFS(OrderLines!$I:$I,OrderLines!$A:$A,A97)</f>
        <v>825.56899999999996</v>
      </c>
      <c r="J97" t="str">
        <f>IF(AND(COUNTIFS(OrderLines!$A$2:$A$925,A97,OrderLines!$F$2:$F$925,"Hot Meal")&gt;0,COUNTIFS(OrderLines!$A$2:$A$925,A97,OrderLines!$F$2:$F$925,"Beverage")&gt;0),"Combo","Single")</f>
        <v>Single</v>
      </c>
      <c r="K97" t="str">
        <f>IF(SUMPRODUCT((OrderLines!$A$2:$A$925=A97)*OrderLines!$C$2:$C$925*OrderLines!$D$2:$D$925)*G97&gt;40,"HighDisc","OK")</f>
        <v>HighDisc</v>
      </c>
    </row>
    <row r="98" spans="1:11" x14ac:dyDescent="0.3">
      <c r="A98" t="s">
        <v>134</v>
      </c>
      <c r="B98" s="2">
        <v>45875.066168981481</v>
      </c>
      <c r="C98" t="s">
        <v>27</v>
      </c>
      <c r="D98" t="s">
        <v>10</v>
      </c>
      <c r="E98" t="s">
        <v>11</v>
      </c>
      <c r="F98" t="s">
        <v>12</v>
      </c>
      <c r="G98" s="11">
        <v>0.09</v>
      </c>
      <c r="H98" t="b">
        <f>(COUNTIFS(OrderLines!$A:$A,A98,OrderLines!$F:$F,"Beverage")&gt;0)</f>
        <v>1</v>
      </c>
      <c r="I98">
        <f>SUMIFS(OrderLines!$I:$I,OrderLines!$A:$A,A98)</f>
        <v>51.742600000000003</v>
      </c>
      <c r="J98" t="str">
        <f>IF(AND(COUNTIFS(OrderLines!$A$2:$A$925,A98,OrderLines!$F$2:$F$925,"Hot Meal")&gt;0,COUNTIFS(OrderLines!$A$2:$A$925,A98,OrderLines!$F$2:$F$925,"Beverage")&gt;0),"Combo","Single")</f>
        <v>Single</v>
      </c>
      <c r="K98" t="str">
        <f>IF(SUMPRODUCT((OrderLines!$A$2:$A$925=A98)*OrderLines!$C$2:$C$925*OrderLines!$D$2:$D$925)*G98&gt;40,"HighDisc","OK")</f>
        <v>OK</v>
      </c>
    </row>
    <row r="99" spans="1:11" x14ac:dyDescent="0.3">
      <c r="A99" t="s">
        <v>135</v>
      </c>
      <c r="B99" s="2">
        <v>45855.150081018517</v>
      </c>
      <c r="C99" t="s">
        <v>15</v>
      </c>
      <c r="D99" t="s">
        <v>28</v>
      </c>
      <c r="E99" t="s">
        <v>11</v>
      </c>
      <c r="F99" t="s">
        <v>12</v>
      </c>
      <c r="G99" s="11">
        <v>0.01</v>
      </c>
      <c r="H99" t="b">
        <f>(COUNTIFS(OrderLines!$A:$A,A99,OrderLines!$F:$F,"Beverage")&gt;0)</f>
        <v>1</v>
      </c>
      <c r="I99">
        <f>SUMIFS(OrderLines!$I:$I,OrderLines!$A:$A,A99)</f>
        <v>182.3877</v>
      </c>
      <c r="J99" t="str">
        <f>IF(AND(COUNTIFS(OrderLines!$A$2:$A$925,A99,OrderLines!$F$2:$F$925,"Hot Meal")&gt;0,COUNTIFS(OrderLines!$A$2:$A$925,A99,OrderLines!$F$2:$F$925,"Beverage")&gt;0),"Combo","Single")</f>
        <v>Single</v>
      </c>
      <c r="K99" t="str">
        <f>IF(SUMPRODUCT((OrderLines!$A$2:$A$925=A99)*OrderLines!$C$2:$C$925*OrderLines!$D$2:$D$925)*G99&gt;40,"HighDisc","OK")</f>
        <v>OK</v>
      </c>
    </row>
    <row r="100" spans="1:11" x14ac:dyDescent="0.3">
      <c r="A100" t="s">
        <v>136</v>
      </c>
      <c r="B100" s="2">
        <v>45869.538043981483</v>
      </c>
      <c r="C100" t="s">
        <v>9</v>
      </c>
      <c r="D100" t="s">
        <v>10</v>
      </c>
      <c r="E100" t="s">
        <v>21</v>
      </c>
      <c r="F100" t="s">
        <v>22</v>
      </c>
      <c r="G100" s="11">
        <v>7.0000000000000007E-2</v>
      </c>
      <c r="H100" t="b">
        <f>(COUNTIFS(OrderLines!$A:$A,A100,OrderLines!$F:$F,"Beverage")&gt;0)</f>
        <v>0</v>
      </c>
      <c r="I100">
        <f>SUMIFS(OrderLines!$I:$I,OrderLines!$A:$A,A100)</f>
        <v>242.30219999999997</v>
      </c>
      <c r="J100" t="str">
        <f>IF(AND(COUNTIFS(OrderLines!$A$2:$A$925,A100,OrderLines!$F$2:$F$925,"Hot Meal")&gt;0,COUNTIFS(OrderLines!$A$2:$A$925,A100,OrderLines!$F$2:$F$925,"Beverage")&gt;0),"Combo","Single")</f>
        <v>Single</v>
      </c>
      <c r="K100" t="str">
        <f>IF(SUMPRODUCT((OrderLines!$A$2:$A$925=A100)*OrderLines!$C$2:$C$925*OrderLines!$D$2:$D$925)*G100&gt;40,"HighDisc","OK")</f>
        <v>OK</v>
      </c>
    </row>
    <row r="101" spans="1:11" x14ac:dyDescent="0.3">
      <c r="A101" t="s">
        <v>137</v>
      </c>
      <c r="B101" s="2">
        <v>45858.505902777782</v>
      </c>
      <c r="C101" t="s">
        <v>27</v>
      </c>
      <c r="D101" t="s">
        <v>10</v>
      </c>
      <c r="E101" t="s">
        <v>11</v>
      </c>
      <c r="F101" t="s">
        <v>22</v>
      </c>
      <c r="G101" s="11">
        <v>0.11</v>
      </c>
      <c r="H101" t="b">
        <f>(COUNTIFS(OrderLines!$A:$A,A101,OrderLines!$F:$F,"Beverage")&gt;0)</f>
        <v>0</v>
      </c>
      <c r="I101">
        <f>SUMIFS(OrderLines!$I:$I,OrderLines!$A:$A,A101)</f>
        <v>317.98810000000003</v>
      </c>
      <c r="J101" t="str">
        <f>IF(AND(COUNTIFS(OrderLines!$A$2:$A$925,A101,OrderLines!$F$2:$F$925,"Hot Meal")&gt;0,COUNTIFS(OrderLines!$A$2:$A$925,A101,OrderLines!$F$2:$F$925,"Beverage")&gt;0),"Combo","Single")</f>
        <v>Single</v>
      </c>
      <c r="K101" t="str">
        <f>IF(SUMPRODUCT((OrderLines!$A$2:$A$925=A101)*OrderLines!$C$2:$C$925*OrderLines!$D$2:$D$925)*G101&gt;40,"HighDisc","OK")</f>
        <v>OK</v>
      </c>
    </row>
    <row r="102" spans="1:11" x14ac:dyDescent="0.3">
      <c r="A102" t="s">
        <v>138</v>
      </c>
      <c r="B102" s="2">
        <v>45849.143634259257</v>
      </c>
      <c r="C102" t="s">
        <v>9</v>
      </c>
      <c r="D102" t="s">
        <v>16</v>
      </c>
      <c r="E102" t="s">
        <v>11</v>
      </c>
      <c r="F102" t="s">
        <v>12</v>
      </c>
      <c r="G102" s="11">
        <v>0</v>
      </c>
      <c r="H102" t="b">
        <f>(COUNTIFS(OrderLines!$A:$A,A102,OrderLines!$F:$F,"Beverage")&gt;0)</f>
        <v>1</v>
      </c>
      <c r="I102">
        <f>SUMIFS(OrderLines!$I:$I,OrderLines!$A:$A,A102)</f>
        <v>140.83000000000001</v>
      </c>
      <c r="J102" t="str">
        <f>IF(AND(COUNTIFS(OrderLines!$A$2:$A$925,A102,OrderLines!$F$2:$F$925,"Hot Meal")&gt;0,COUNTIFS(OrderLines!$A$2:$A$925,A102,OrderLines!$F$2:$F$925,"Beverage")&gt;0),"Combo","Single")</f>
        <v>Single</v>
      </c>
      <c r="K102" t="str">
        <f>IF(SUMPRODUCT((OrderLines!$A$2:$A$925=A102)*OrderLines!$C$2:$C$925*OrderLines!$D$2:$D$925)*G102&gt;40,"HighDisc","OK")</f>
        <v>OK</v>
      </c>
    </row>
    <row r="103" spans="1:11" x14ac:dyDescent="0.3">
      <c r="A103" t="s">
        <v>139</v>
      </c>
      <c r="B103" s="2">
        <v>45894.196597222217</v>
      </c>
      <c r="C103" t="s">
        <v>27</v>
      </c>
      <c r="D103" t="s">
        <v>16</v>
      </c>
      <c r="E103" t="s">
        <v>11</v>
      </c>
      <c r="F103" t="s">
        <v>12</v>
      </c>
      <c r="G103" s="11">
        <v>7.0000000000000007E-2</v>
      </c>
      <c r="H103" t="b">
        <f>(COUNTIFS(OrderLines!$A:$A,A103,OrderLines!$F:$F,"Beverage")&gt;0)</f>
        <v>0</v>
      </c>
      <c r="I103">
        <f>SUMIFS(OrderLines!$I:$I,OrderLines!$A:$A,A103)</f>
        <v>70.791600000000003</v>
      </c>
      <c r="J103" t="str">
        <f>IF(AND(COUNTIFS(OrderLines!$A$2:$A$925,A103,OrderLines!$F$2:$F$925,"Hot Meal")&gt;0,COUNTIFS(OrderLines!$A$2:$A$925,A103,OrderLines!$F$2:$F$925,"Beverage")&gt;0),"Combo","Single")</f>
        <v>Single</v>
      </c>
      <c r="K103" t="str">
        <f>IF(SUMPRODUCT((OrderLines!$A$2:$A$925=A103)*OrderLines!$C$2:$C$925*OrderLines!$D$2:$D$925)*G103&gt;40,"HighDisc","OK")</f>
        <v>OK</v>
      </c>
    </row>
    <row r="104" spans="1:11" x14ac:dyDescent="0.3">
      <c r="A104" t="s">
        <v>140</v>
      </c>
      <c r="B104" s="2">
        <v>45875.228854166657</v>
      </c>
      <c r="C104" t="s">
        <v>27</v>
      </c>
      <c r="D104" t="s">
        <v>10</v>
      </c>
      <c r="E104" t="s">
        <v>11</v>
      </c>
      <c r="F104" t="s">
        <v>12</v>
      </c>
      <c r="G104" s="11">
        <v>7.0000000000000007E-2</v>
      </c>
      <c r="H104" t="b">
        <f>(COUNTIFS(OrderLines!$A:$A,A104,OrderLines!$F:$F,"Beverage")&gt;0)</f>
        <v>0</v>
      </c>
      <c r="I104">
        <f>SUMIFS(OrderLines!$I:$I,OrderLines!$A:$A,A104)</f>
        <v>131.20439999999999</v>
      </c>
      <c r="J104" t="str">
        <f>IF(AND(COUNTIFS(OrderLines!$A$2:$A$925,A104,OrderLines!$F$2:$F$925,"Hot Meal")&gt;0,COUNTIFS(OrderLines!$A$2:$A$925,A104,OrderLines!$F$2:$F$925,"Beverage")&gt;0),"Combo","Single")</f>
        <v>Single</v>
      </c>
      <c r="K104" t="str">
        <f>IF(SUMPRODUCT((OrderLines!$A$2:$A$925=A104)*OrderLines!$C$2:$C$925*OrderLines!$D$2:$D$925)*G104&gt;40,"HighDisc","OK")</f>
        <v>OK</v>
      </c>
    </row>
    <row r="105" spans="1:11" x14ac:dyDescent="0.3">
      <c r="A105" t="s">
        <v>141</v>
      </c>
      <c r="B105" s="2">
        <v>45840.478391203702</v>
      </c>
      <c r="C105" t="s">
        <v>15</v>
      </c>
      <c r="D105" t="s">
        <v>16</v>
      </c>
      <c r="E105" t="s">
        <v>17</v>
      </c>
      <c r="F105" t="s">
        <v>22</v>
      </c>
      <c r="G105" s="11">
        <v>0.09</v>
      </c>
      <c r="H105" t="b">
        <f>(COUNTIFS(OrderLines!$A:$A,A105,OrderLines!$F:$F,"Beverage")&gt;0)</f>
        <v>0</v>
      </c>
      <c r="I105">
        <f>SUMIFS(OrderLines!$I:$I,OrderLines!$A:$A,A105)</f>
        <v>49.322000000000003</v>
      </c>
      <c r="J105" t="str">
        <f>IF(AND(COUNTIFS(OrderLines!$A$2:$A$925,A105,OrderLines!$F$2:$F$925,"Hot Meal")&gt;0,COUNTIFS(OrderLines!$A$2:$A$925,A105,OrderLines!$F$2:$F$925,"Beverage")&gt;0),"Combo","Single")</f>
        <v>Single</v>
      </c>
      <c r="K105" t="str">
        <f>IF(SUMPRODUCT((OrderLines!$A$2:$A$925=A105)*OrderLines!$C$2:$C$925*OrderLines!$D$2:$D$925)*G105&gt;40,"HighDisc","OK")</f>
        <v>OK</v>
      </c>
    </row>
    <row r="106" spans="1:11" x14ac:dyDescent="0.3">
      <c r="A106" t="s">
        <v>142</v>
      </c>
      <c r="B106" s="2">
        <v>45874.414965277778</v>
      </c>
      <c r="C106" t="s">
        <v>9</v>
      </c>
      <c r="D106" t="s">
        <v>16</v>
      </c>
      <c r="E106" t="s">
        <v>11</v>
      </c>
      <c r="F106" t="s">
        <v>12</v>
      </c>
      <c r="G106" s="11">
        <v>0.01</v>
      </c>
      <c r="H106" t="b">
        <f>(COUNTIFS(OrderLines!$A:$A,A106,OrderLines!$F:$F,"Beverage")&gt;0)</f>
        <v>1</v>
      </c>
      <c r="I106">
        <f>SUMIFS(OrderLines!$I:$I,OrderLines!$A:$A,A106)</f>
        <v>30.0366</v>
      </c>
      <c r="J106" t="str">
        <f>IF(AND(COUNTIFS(OrderLines!$A$2:$A$925,A106,OrderLines!$F$2:$F$925,"Hot Meal")&gt;0,COUNTIFS(OrderLines!$A$2:$A$925,A106,OrderLines!$F$2:$F$925,"Beverage")&gt;0),"Combo","Single")</f>
        <v>Single</v>
      </c>
      <c r="K106" t="str">
        <f>IF(SUMPRODUCT((OrderLines!$A$2:$A$925=A106)*OrderLines!$C$2:$C$925*OrderLines!$D$2:$D$925)*G106&gt;40,"HighDisc","OK")</f>
        <v>OK</v>
      </c>
    </row>
    <row r="107" spans="1:11" x14ac:dyDescent="0.3">
      <c r="A107" t="s">
        <v>143</v>
      </c>
      <c r="B107" s="2">
        <v>45881.531597222223</v>
      </c>
      <c r="C107" t="s">
        <v>27</v>
      </c>
      <c r="D107" t="s">
        <v>10</v>
      </c>
      <c r="E107" t="s">
        <v>11</v>
      </c>
      <c r="F107" t="s">
        <v>22</v>
      </c>
      <c r="G107" s="11">
        <v>0.01</v>
      </c>
      <c r="H107" t="b">
        <f>(COUNTIFS(OrderLines!$A:$A,A107,OrderLines!$F:$F,"Beverage")&gt;0)</f>
        <v>1</v>
      </c>
      <c r="I107">
        <f>SUMIFS(OrderLines!$I:$I,OrderLines!$A:$A,A107)</f>
        <v>423.67050000000006</v>
      </c>
      <c r="J107" t="str">
        <f>IF(AND(COUNTIFS(OrderLines!$A$2:$A$925,A107,OrderLines!$F$2:$F$925,"Hot Meal")&gt;0,COUNTIFS(OrderLines!$A$2:$A$925,A107,OrderLines!$F$2:$F$925,"Beverage")&gt;0),"Combo","Single")</f>
        <v>Combo</v>
      </c>
      <c r="K107" t="str">
        <f>IF(SUMPRODUCT((OrderLines!$A$2:$A$925=A107)*OrderLines!$C$2:$C$925*OrderLines!$D$2:$D$925)*G107&gt;40,"HighDisc","OK")</f>
        <v>OK</v>
      </c>
    </row>
    <row r="108" spans="1:11" x14ac:dyDescent="0.3">
      <c r="A108" t="s">
        <v>144</v>
      </c>
      <c r="B108" s="2">
        <v>45891.501400462963</v>
      </c>
      <c r="C108" t="s">
        <v>15</v>
      </c>
      <c r="D108" t="s">
        <v>16</v>
      </c>
      <c r="E108" t="s">
        <v>21</v>
      </c>
      <c r="F108" t="s">
        <v>22</v>
      </c>
      <c r="G108" s="11">
        <v>0.08</v>
      </c>
      <c r="H108" t="b">
        <f>(COUNTIFS(OrderLines!$A:$A,A108,OrderLines!$F:$F,"Beverage")&gt;0)</f>
        <v>1</v>
      </c>
      <c r="I108">
        <f>SUMIFS(OrderLines!$I:$I,OrderLines!$A:$A,A108)</f>
        <v>57.426400000000001</v>
      </c>
      <c r="J108" t="str">
        <f>IF(AND(COUNTIFS(OrderLines!$A$2:$A$925,A108,OrderLines!$F$2:$F$925,"Hot Meal")&gt;0,COUNTIFS(OrderLines!$A$2:$A$925,A108,OrderLines!$F$2:$F$925,"Beverage")&gt;0),"Combo","Single")</f>
        <v>Single</v>
      </c>
      <c r="K108" t="str">
        <f>IF(SUMPRODUCT((OrderLines!$A$2:$A$925=A108)*OrderLines!$C$2:$C$925*OrderLines!$D$2:$D$925)*G108&gt;40,"HighDisc","OK")</f>
        <v>OK</v>
      </c>
    </row>
    <row r="109" spans="1:11" x14ac:dyDescent="0.3">
      <c r="A109" t="s">
        <v>145</v>
      </c>
      <c r="B109" s="2">
        <v>45870.542662037027</v>
      </c>
      <c r="C109" t="s">
        <v>27</v>
      </c>
      <c r="D109" t="s">
        <v>28</v>
      </c>
      <c r="E109" t="s">
        <v>21</v>
      </c>
      <c r="F109" t="s">
        <v>22</v>
      </c>
      <c r="G109" s="11">
        <v>7.0000000000000007E-2</v>
      </c>
      <c r="H109" t="b">
        <f>(COUNTIFS(OrderLines!$A:$A,A109,OrderLines!$F:$F,"Beverage")&gt;0)</f>
        <v>1</v>
      </c>
      <c r="I109">
        <f>SUMIFS(OrderLines!$I:$I,OrderLines!$A:$A,A109)</f>
        <v>200.38709999999998</v>
      </c>
      <c r="J109" t="str">
        <f>IF(AND(COUNTIFS(OrderLines!$A$2:$A$925,A109,OrderLines!$F$2:$F$925,"Hot Meal")&gt;0,COUNTIFS(OrderLines!$A$2:$A$925,A109,OrderLines!$F$2:$F$925,"Beverage")&gt;0),"Combo","Single")</f>
        <v>Single</v>
      </c>
      <c r="K109" t="str">
        <f>IF(SUMPRODUCT((OrderLines!$A$2:$A$925=A109)*OrderLines!$C$2:$C$925*OrderLines!$D$2:$D$925)*G109&gt;40,"HighDisc","OK")</f>
        <v>OK</v>
      </c>
    </row>
    <row r="110" spans="1:11" x14ac:dyDescent="0.3">
      <c r="A110" t="s">
        <v>146</v>
      </c>
      <c r="B110" s="2">
        <v>45862.926782407398</v>
      </c>
      <c r="C110" t="s">
        <v>15</v>
      </c>
      <c r="D110" t="s">
        <v>10</v>
      </c>
      <c r="E110" t="s">
        <v>11</v>
      </c>
      <c r="F110" t="s">
        <v>18</v>
      </c>
      <c r="G110" s="11">
        <v>7.0000000000000007E-2</v>
      </c>
      <c r="H110" t="b">
        <f>(COUNTIFS(OrderLines!$A:$A,A110,OrderLines!$F:$F,"Beverage")&gt;0)</f>
        <v>1</v>
      </c>
      <c r="I110">
        <f>SUMIFS(OrderLines!$I:$I,OrderLines!$A:$A,A110)</f>
        <v>56.432399999999994</v>
      </c>
      <c r="J110" t="str">
        <f>IF(AND(COUNTIFS(OrderLines!$A$2:$A$925,A110,OrderLines!$F$2:$F$925,"Hot Meal")&gt;0,COUNTIFS(OrderLines!$A$2:$A$925,A110,OrderLines!$F$2:$F$925,"Beverage")&gt;0),"Combo","Single")</f>
        <v>Single</v>
      </c>
      <c r="K110" t="str">
        <f>IF(SUMPRODUCT((OrderLines!$A$2:$A$925=A110)*OrderLines!$C$2:$C$925*OrderLines!$D$2:$D$925)*G110&gt;40,"HighDisc","OK")</f>
        <v>OK</v>
      </c>
    </row>
    <row r="111" spans="1:11" x14ac:dyDescent="0.3">
      <c r="A111" t="s">
        <v>147</v>
      </c>
      <c r="B111" s="2">
        <v>45871.910868055558</v>
      </c>
      <c r="C111" t="s">
        <v>27</v>
      </c>
      <c r="D111" t="s">
        <v>16</v>
      </c>
      <c r="E111" t="s">
        <v>21</v>
      </c>
      <c r="F111" t="s">
        <v>18</v>
      </c>
      <c r="G111" s="11">
        <v>7.0000000000000007E-2</v>
      </c>
      <c r="H111" t="b">
        <f>(COUNTIFS(OrderLines!$A:$A,A111,OrderLines!$F:$F,"Beverage")&gt;0)</f>
        <v>1</v>
      </c>
      <c r="I111">
        <f>SUMIFS(OrderLines!$I:$I,OrderLines!$A:$A,A111)</f>
        <v>761.72579999999994</v>
      </c>
      <c r="J111" t="str">
        <f>IF(AND(COUNTIFS(OrderLines!$A$2:$A$925,A111,OrderLines!$F$2:$F$925,"Hot Meal")&gt;0,COUNTIFS(OrderLines!$A$2:$A$925,A111,OrderLines!$F$2:$F$925,"Beverage")&gt;0),"Combo","Single")</f>
        <v>Combo</v>
      </c>
      <c r="K111" t="str">
        <f>IF(SUMPRODUCT((OrderLines!$A$2:$A$925=A111)*OrderLines!$C$2:$C$925*OrderLines!$D$2:$D$925)*G111&gt;40,"HighDisc","OK")</f>
        <v>HighDisc</v>
      </c>
    </row>
    <row r="112" spans="1:11" x14ac:dyDescent="0.3">
      <c r="A112" t="s">
        <v>148</v>
      </c>
      <c r="B112" s="2">
        <v>45886.586400462962</v>
      </c>
      <c r="C112" t="s">
        <v>27</v>
      </c>
      <c r="D112" t="s">
        <v>16</v>
      </c>
      <c r="E112" t="s">
        <v>21</v>
      </c>
      <c r="F112" t="s">
        <v>22</v>
      </c>
      <c r="G112" s="11">
        <v>0.03</v>
      </c>
      <c r="H112" t="b">
        <f>(COUNTIFS(OrderLines!$A:$A,A112,OrderLines!$F:$F,"Beverage")&gt;0)</f>
        <v>1</v>
      </c>
      <c r="I112">
        <f>SUMIFS(OrderLines!$I:$I,OrderLines!$A:$A,A112)</f>
        <v>335.51330000000002</v>
      </c>
      <c r="J112" t="str">
        <f>IF(AND(COUNTIFS(OrderLines!$A$2:$A$925,A112,OrderLines!$F$2:$F$925,"Hot Meal")&gt;0,COUNTIFS(OrderLines!$A$2:$A$925,A112,OrderLines!$F$2:$F$925,"Beverage")&gt;0),"Combo","Single")</f>
        <v>Combo</v>
      </c>
      <c r="K112" t="str">
        <f>IF(SUMPRODUCT((OrderLines!$A$2:$A$925=A112)*OrderLines!$C$2:$C$925*OrderLines!$D$2:$D$925)*G112&gt;40,"HighDisc","OK")</f>
        <v>OK</v>
      </c>
    </row>
    <row r="113" spans="1:11" x14ac:dyDescent="0.3">
      <c r="A113" t="s">
        <v>149</v>
      </c>
      <c r="B113" s="2">
        <v>45866.402141203696</v>
      </c>
      <c r="C113" t="s">
        <v>9</v>
      </c>
      <c r="D113" t="s">
        <v>10</v>
      </c>
      <c r="E113" t="s">
        <v>21</v>
      </c>
      <c r="F113" t="s">
        <v>12</v>
      </c>
      <c r="G113" s="11">
        <v>7.0000000000000007E-2</v>
      </c>
      <c r="H113" t="b">
        <f>(COUNTIFS(OrderLines!$A:$A,A113,OrderLines!$F:$F,"Beverage")&gt;0)</f>
        <v>1</v>
      </c>
      <c r="I113">
        <f>SUMIFS(OrderLines!$I:$I,OrderLines!$A:$A,A113)</f>
        <v>409.14420000000001</v>
      </c>
      <c r="J113" t="str">
        <f>IF(AND(COUNTIFS(OrderLines!$A$2:$A$925,A113,OrderLines!$F$2:$F$925,"Hot Meal")&gt;0,COUNTIFS(OrderLines!$A$2:$A$925,A113,OrderLines!$F$2:$F$925,"Beverage")&gt;0),"Combo","Single")</f>
        <v>Combo</v>
      </c>
      <c r="K113" t="str">
        <f>IF(SUMPRODUCT((OrderLines!$A$2:$A$925=A113)*OrderLines!$C$2:$C$925*OrderLines!$D$2:$D$925)*G113&gt;40,"HighDisc","OK")</f>
        <v>OK</v>
      </c>
    </row>
    <row r="114" spans="1:11" x14ac:dyDescent="0.3">
      <c r="A114" t="s">
        <v>150</v>
      </c>
      <c r="B114" s="2">
        <v>45840.235567129632</v>
      </c>
      <c r="C114" t="s">
        <v>9</v>
      </c>
      <c r="D114" t="s">
        <v>28</v>
      </c>
      <c r="E114" t="s">
        <v>17</v>
      </c>
      <c r="F114" t="s">
        <v>12</v>
      </c>
      <c r="G114" s="11">
        <v>7.0000000000000007E-2</v>
      </c>
      <c r="H114" t="b">
        <f>(COUNTIFS(OrderLines!$A:$A,A114,OrderLines!$F:$F,"Beverage")&gt;0)</f>
        <v>0</v>
      </c>
      <c r="I114">
        <f>SUMIFS(OrderLines!$I:$I,OrderLines!$A:$A,A114)</f>
        <v>509.79810000000003</v>
      </c>
      <c r="J114" t="str">
        <f>IF(AND(COUNTIFS(OrderLines!$A$2:$A$925,A114,OrderLines!$F$2:$F$925,"Hot Meal")&gt;0,COUNTIFS(OrderLines!$A$2:$A$925,A114,OrderLines!$F$2:$F$925,"Beverage")&gt;0),"Combo","Single")</f>
        <v>Single</v>
      </c>
      <c r="K114" t="str">
        <f>IF(SUMPRODUCT((OrderLines!$A$2:$A$925=A114)*OrderLines!$C$2:$C$925*OrderLines!$D$2:$D$925)*G114&gt;40,"HighDisc","OK")</f>
        <v>OK</v>
      </c>
    </row>
    <row r="115" spans="1:11" x14ac:dyDescent="0.3">
      <c r="A115" t="s">
        <v>151</v>
      </c>
      <c r="B115" s="2">
        <v>45878.71025462963</v>
      </c>
      <c r="C115" t="s">
        <v>15</v>
      </c>
      <c r="D115" t="s">
        <v>10</v>
      </c>
      <c r="E115" t="s">
        <v>17</v>
      </c>
      <c r="F115" t="s">
        <v>18</v>
      </c>
      <c r="G115" s="11">
        <v>0.03</v>
      </c>
      <c r="H115" t="b">
        <f>(COUNTIFS(OrderLines!$A:$A,A115,OrderLines!$F:$F,"Beverage")&gt;0)</f>
        <v>0</v>
      </c>
      <c r="I115">
        <f>SUMIFS(OrderLines!$I:$I,OrderLines!$A:$A,A115)</f>
        <v>251.20089999999999</v>
      </c>
      <c r="J115" t="str">
        <f>IF(AND(COUNTIFS(OrderLines!$A$2:$A$925,A115,OrderLines!$F$2:$F$925,"Hot Meal")&gt;0,COUNTIFS(OrderLines!$A$2:$A$925,A115,OrderLines!$F$2:$F$925,"Beverage")&gt;0),"Combo","Single")</f>
        <v>Single</v>
      </c>
      <c r="K115" t="str">
        <f>IF(SUMPRODUCT((OrderLines!$A$2:$A$925=A115)*OrderLines!$C$2:$C$925*OrderLines!$D$2:$D$925)*G115&gt;40,"HighDisc","OK")</f>
        <v>OK</v>
      </c>
    </row>
    <row r="116" spans="1:11" x14ac:dyDescent="0.3">
      <c r="A116" t="s">
        <v>152</v>
      </c>
      <c r="B116" s="2">
        <v>45886.904016203713</v>
      </c>
      <c r="C116" t="s">
        <v>15</v>
      </c>
      <c r="D116" t="s">
        <v>28</v>
      </c>
      <c r="E116" t="s">
        <v>17</v>
      </c>
      <c r="F116" t="s">
        <v>18</v>
      </c>
      <c r="G116" s="11">
        <v>0.13</v>
      </c>
      <c r="H116" t="b">
        <f>(COUNTIFS(OrderLines!$A:$A,A116,OrderLines!$F:$F,"Beverage")&gt;0)</f>
        <v>1</v>
      </c>
      <c r="I116">
        <f>SUMIFS(OrderLines!$I:$I,OrderLines!$A:$A,A116)</f>
        <v>750.9926999999999</v>
      </c>
      <c r="J116" t="str">
        <f>IF(AND(COUNTIFS(OrderLines!$A$2:$A$925,A116,OrderLines!$F$2:$F$925,"Hot Meal")&gt;0,COUNTIFS(OrderLines!$A$2:$A$925,A116,OrderLines!$F$2:$F$925,"Beverage")&gt;0),"Combo","Single")</f>
        <v>Combo</v>
      </c>
      <c r="K116" t="str">
        <f>IF(SUMPRODUCT((OrderLines!$A$2:$A$925=A116)*OrderLines!$C$2:$C$925*OrderLines!$D$2:$D$925)*G116&gt;40,"HighDisc","OK")</f>
        <v>HighDisc</v>
      </c>
    </row>
    <row r="117" spans="1:11" x14ac:dyDescent="0.3">
      <c r="A117" t="s">
        <v>153</v>
      </c>
      <c r="B117" s="2">
        <v>45860.764872685177</v>
      </c>
      <c r="C117" t="s">
        <v>15</v>
      </c>
      <c r="D117" t="s">
        <v>10</v>
      </c>
      <c r="E117" t="s">
        <v>17</v>
      </c>
      <c r="F117" t="s">
        <v>18</v>
      </c>
      <c r="G117" s="11">
        <v>0.08</v>
      </c>
      <c r="H117" t="b">
        <f>(COUNTIFS(OrderLines!$A:$A,A117,OrderLines!$F:$F,"Beverage")&gt;0)</f>
        <v>1</v>
      </c>
      <c r="I117">
        <f>SUMIFS(OrderLines!$I:$I,OrderLines!$A:$A,A117)</f>
        <v>376.96080000000006</v>
      </c>
      <c r="J117" t="str">
        <f>IF(AND(COUNTIFS(OrderLines!$A$2:$A$925,A117,OrderLines!$F$2:$F$925,"Hot Meal")&gt;0,COUNTIFS(OrderLines!$A$2:$A$925,A117,OrderLines!$F$2:$F$925,"Beverage")&gt;0),"Combo","Single")</f>
        <v>Combo</v>
      </c>
      <c r="K117" t="str">
        <f>IF(SUMPRODUCT((OrderLines!$A$2:$A$925=A117)*OrderLines!$C$2:$C$925*OrderLines!$D$2:$D$925)*G117&gt;40,"HighDisc","OK")</f>
        <v>OK</v>
      </c>
    </row>
    <row r="118" spans="1:11" x14ac:dyDescent="0.3">
      <c r="A118" t="s">
        <v>154</v>
      </c>
      <c r="B118" s="2">
        <v>45895.713437500002</v>
      </c>
      <c r="C118" t="s">
        <v>15</v>
      </c>
      <c r="D118" t="s">
        <v>16</v>
      </c>
      <c r="E118" t="s">
        <v>11</v>
      </c>
      <c r="F118" t="s">
        <v>18</v>
      </c>
      <c r="G118" s="11">
        <v>0.01</v>
      </c>
      <c r="H118" t="b">
        <f>(COUNTIFS(OrderLines!$A:$A,A118,OrderLines!$F:$F,"Beverage")&gt;0)</f>
        <v>1</v>
      </c>
      <c r="I118">
        <f>SUMIFS(OrderLines!$I:$I,OrderLines!$A:$A,A118)</f>
        <v>667.4085</v>
      </c>
      <c r="J118" t="str">
        <f>IF(AND(COUNTIFS(OrderLines!$A$2:$A$925,A118,OrderLines!$F$2:$F$925,"Hot Meal")&gt;0,COUNTIFS(OrderLines!$A$2:$A$925,A118,OrderLines!$F$2:$F$925,"Beverage")&gt;0),"Combo","Single")</f>
        <v>Single</v>
      </c>
      <c r="K118" t="str">
        <f>IF(SUMPRODUCT((OrderLines!$A$2:$A$925=A118)*OrderLines!$C$2:$C$925*OrderLines!$D$2:$D$925)*G118&gt;40,"HighDisc","OK")</f>
        <v>OK</v>
      </c>
    </row>
    <row r="119" spans="1:11" x14ac:dyDescent="0.3">
      <c r="A119" t="s">
        <v>155</v>
      </c>
      <c r="B119" s="2">
        <v>45872.625532407408</v>
      </c>
      <c r="C119" t="s">
        <v>15</v>
      </c>
      <c r="D119" t="s">
        <v>10</v>
      </c>
      <c r="E119" t="s">
        <v>11</v>
      </c>
      <c r="F119" t="s">
        <v>22</v>
      </c>
      <c r="G119" s="11">
        <v>0.09</v>
      </c>
      <c r="H119" t="b">
        <f>(COUNTIFS(OrderLines!$A:$A,A119,OrderLines!$F:$F,"Beverage")&gt;0)</f>
        <v>0</v>
      </c>
      <c r="I119">
        <f>SUMIFS(OrderLines!$I:$I,OrderLines!$A:$A,A119)</f>
        <v>47.729500000000002</v>
      </c>
      <c r="J119" t="str">
        <f>IF(AND(COUNTIFS(OrderLines!$A$2:$A$925,A119,OrderLines!$F$2:$F$925,"Hot Meal")&gt;0,COUNTIFS(OrderLines!$A$2:$A$925,A119,OrderLines!$F$2:$F$925,"Beverage")&gt;0),"Combo","Single")</f>
        <v>Single</v>
      </c>
      <c r="K119" t="str">
        <f>IF(SUMPRODUCT((OrderLines!$A$2:$A$925=A119)*OrderLines!$C$2:$C$925*OrderLines!$D$2:$D$925)*G119&gt;40,"HighDisc","OK")</f>
        <v>OK</v>
      </c>
    </row>
    <row r="120" spans="1:11" x14ac:dyDescent="0.3">
      <c r="A120" t="s">
        <v>156</v>
      </c>
      <c r="B120" s="2">
        <v>45873.407407407409</v>
      </c>
      <c r="C120" t="s">
        <v>9</v>
      </c>
      <c r="D120" t="s">
        <v>16</v>
      </c>
      <c r="E120" t="s">
        <v>21</v>
      </c>
      <c r="F120" t="s">
        <v>12</v>
      </c>
      <c r="G120" s="11">
        <v>0.02</v>
      </c>
      <c r="H120" t="b">
        <f>(COUNTIFS(OrderLines!$A:$A,A120,OrderLines!$F:$F,"Beverage")&gt;0)</f>
        <v>0</v>
      </c>
      <c r="I120">
        <f>SUMIFS(OrderLines!$I:$I,OrderLines!$A:$A,A120)</f>
        <v>69.129200000000012</v>
      </c>
      <c r="J120" t="str">
        <f>IF(AND(COUNTIFS(OrderLines!$A$2:$A$925,A120,OrderLines!$F$2:$F$925,"Hot Meal")&gt;0,COUNTIFS(OrderLines!$A$2:$A$925,A120,OrderLines!$F$2:$F$925,"Beverage")&gt;0),"Combo","Single")</f>
        <v>Single</v>
      </c>
      <c r="K120" t="str">
        <f>IF(SUMPRODUCT((OrderLines!$A$2:$A$925=A120)*OrderLines!$C$2:$C$925*OrderLines!$D$2:$D$925)*G120&gt;40,"HighDisc","OK")</f>
        <v>OK</v>
      </c>
    </row>
    <row r="121" spans="1:11" x14ac:dyDescent="0.3">
      <c r="A121" t="s">
        <v>157</v>
      </c>
      <c r="B121" s="2">
        <v>45863.658865740741</v>
      </c>
      <c r="C121" t="s">
        <v>27</v>
      </c>
      <c r="D121" t="s">
        <v>28</v>
      </c>
      <c r="E121" t="s">
        <v>11</v>
      </c>
      <c r="F121" t="s">
        <v>22</v>
      </c>
      <c r="G121" s="11">
        <v>0.09</v>
      </c>
      <c r="H121" t="b">
        <f>(COUNTIFS(OrderLines!$A:$A,A121,OrderLines!$F:$F,"Beverage")&gt;0)</f>
        <v>1</v>
      </c>
      <c r="I121">
        <f>SUMIFS(OrderLines!$I:$I,OrderLines!$A:$A,A121)</f>
        <v>82.491500000000002</v>
      </c>
      <c r="J121" t="str">
        <f>IF(AND(COUNTIFS(OrderLines!$A$2:$A$925,A121,OrderLines!$F$2:$F$925,"Hot Meal")&gt;0,COUNTIFS(OrderLines!$A$2:$A$925,A121,OrderLines!$F$2:$F$925,"Beverage")&gt;0),"Combo","Single")</f>
        <v>Single</v>
      </c>
      <c r="K121" t="str">
        <f>IF(SUMPRODUCT((OrderLines!$A$2:$A$925=A121)*OrderLines!$C$2:$C$925*OrderLines!$D$2:$D$925)*G121&gt;40,"HighDisc","OK")</f>
        <v>OK</v>
      </c>
    </row>
    <row r="122" spans="1:11" x14ac:dyDescent="0.3">
      <c r="A122" t="s">
        <v>158</v>
      </c>
      <c r="B122" s="2">
        <v>45869.886666666673</v>
      </c>
      <c r="C122" t="s">
        <v>27</v>
      </c>
      <c r="D122" t="s">
        <v>10</v>
      </c>
      <c r="E122" t="s">
        <v>11</v>
      </c>
      <c r="F122" t="s">
        <v>18</v>
      </c>
      <c r="G122" s="11">
        <v>0.11</v>
      </c>
      <c r="H122" t="b">
        <f>(COUNTIFS(OrderLines!$A:$A,A122,OrderLines!$F:$F,"Beverage")&gt;0)</f>
        <v>0</v>
      </c>
      <c r="I122">
        <f>SUMIFS(OrderLines!$I:$I,OrderLines!$A:$A,A122)</f>
        <v>541.0933</v>
      </c>
      <c r="J122" t="str">
        <f>IF(AND(COUNTIFS(OrderLines!$A$2:$A$925,A122,OrderLines!$F$2:$F$925,"Hot Meal")&gt;0,COUNTIFS(OrderLines!$A$2:$A$925,A122,OrderLines!$F$2:$F$925,"Beverage")&gt;0),"Combo","Single")</f>
        <v>Single</v>
      </c>
      <c r="K122" t="str">
        <f>IF(SUMPRODUCT((OrderLines!$A$2:$A$925=A122)*OrderLines!$C$2:$C$925*OrderLines!$D$2:$D$925)*G122&gt;40,"HighDisc","OK")</f>
        <v>HighDisc</v>
      </c>
    </row>
    <row r="123" spans="1:11" x14ac:dyDescent="0.3">
      <c r="A123" t="s">
        <v>159</v>
      </c>
      <c r="B123" s="2">
        <v>45857.846782407411</v>
      </c>
      <c r="C123" t="s">
        <v>27</v>
      </c>
      <c r="D123" t="s">
        <v>10</v>
      </c>
      <c r="E123" t="s">
        <v>21</v>
      </c>
      <c r="F123" t="s">
        <v>18</v>
      </c>
      <c r="G123" s="11">
        <v>0.03</v>
      </c>
      <c r="H123" t="b">
        <f>(COUNTIFS(OrderLines!$A:$A,A123,OrderLines!$F:$F,"Beverage")&gt;0)</f>
        <v>1</v>
      </c>
      <c r="I123">
        <f>SUMIFS(OrderLines!$I:$I,OrderLines!$A:$A,A123)</f>
        <v>615.94029999999998</v>
      </c>
      <c r="J123" t="str">
        <f>IF(AND(COUNTIFS(OrderLines!$A$2:$A$925,A123,OrderLines!$F$2:$F$925,"Hot Meal")&gt;0,COUNTIFS(OrderLines!$A$2:$A$925,A123,OrderLines!$F$2:$F$925,"Beverage")&gt;0),"Combo","Single")</f>
        <v>Combo</v>
      </c>
      <c r="K123" t="str">
        <f>IF(SUMPRODUCT((OrderLines!$A$2:$A$925=A123)*OrderLines!$C$2:$C$925*OrderLines!$D$2:$D$925)*G123&gt;40,"HighDisc","OK")</f>
        <v>OK</v>
      </c>
    </row>
    <row r="124" spans="1:11" x14ac:dyDescent="0.3">
      <c r="A124" t="s">
        <v>160</v>
      </c>
      <c r="B124" s="2">
        <v>45896.493206018517</v>
      </c>
      <c r="C124" t="s">
        <v>9</v>
      </c>
      <c r="D124" t="s">
        <v>10</v>
      </c>
      <c r="E124" t="s">
        <v>21</v>
      </c>
      <c r="F124" t="s">
        <v>22</v>
      </c>
      <c r="G124" s="11">
        <v>0.1</v>
      </c>
      <c r="H124" t="b">
        <f>(COUNTIFS(OrderLines!$A:$A,A124,OrderLines!$F:$F,"Beverage")&gt;0)</f>
        <v>0</v>
      </c>
      <c r="I124">
        <f>SUMIFS(OrderLines!$I:$I,OrderLines!$A:$A,A124)</f>
        <v>986.59799999999996</v>
      </c>
      <c r="J124" t="str">
        <f>IF(AND(COUNTIFS(OrderLines!$A$2:$A$925,A124,OrderLines!$F$2:$F$925,"Hot Meal")&gt;0,COUNTIFS(OrderLines!$A$2:$A$925,A124,OrderLines!$F$2:$F$925,"Beverage")&gt;0),"Combo","Single")</f>
        <v>Single</v>
      </c>
      <c r="K124" t="str">
        <f>IF(SUMPRODUCT((OrderLines!$A$2:$A$925=A124)*OrderLines!$C$2:$C$925*OrderLines!$D$2:$D$925)*G124&gt;40,"HighDisc","OK")</f>
        <v>HighDisc</v>
      </c>
    </row>
    <row r="125" spans="1:11" x14ac:dyDescent="0.3">
      <c r="A125" t="s">
        <v>161</v>
      </c>
      <c r="B125" s="2">
        <v>45858.096944444442</v>
      </c>
      <c r="C125" t="s">
        <v>15</v>
      </c>
      <c r="D125" t="s">
        <v>28</v>
      </c>
      <c r="E125" t="s">
        <v>21</v>
      </c>
      <c r="F125" t="s">
        <v>12</v>
      </c>
      <c r="G125" s="11">
        <v>0.08</v>
      </c>
      <c r="H125" t="b">
        <f>(COUNTIFS(OrderLines!$A:$A,A125,OrderLines!$F:$F,"Beverage")&gt;0)</f>
        <v>1</v>
      </c>
      <c r="I125">
        <f>SUMIFS(OrderLines!$I:$I,OrderLines!$A:$A,A125)</f>
        <v>858.01959999999997</v>
      </c>
      <c r="J125" t="str">
        <f>IF(AND(COUNTIFS(OrderLines!$A$2:$A$925,A125,OrderLines!$F$2:$F$925,"Hot Meal")&gt;0,COUNTIFS(OrderLines!$A$2:$A$925,A125,OrderLines!$F$2:$F$925,"Beverage")&gt;0),"Combo","Single")</f>
        <v>Combo</v>
      </c>
      <c r="K125" t="str">
        <f>IF(SUMPRODUCT((OrderLines!$A$2:$A$925=A125)*OrderLines!$C$2:$C$925*OrderLines!$D$2:$D$925)*G125&gt;40,"HighDisc","OK")</f>
        <v>HighDisc</v>
      </c>
    </row>
    <row r="126" spans="1:11" x14ac:dyDescent="0.3">
      <c r="A126" t="s">
        <v>162</v>
      </c>
      <c r="B126" s="2">
        <v>45868.597268518519</v>
      </c>
      <c r="C126" t="s">
        <v>27</v>
      </c>
      <c r="D126" t="s">
        <v>10</v>
      </c>
      <c r="E126" t="s">
        <v>11</v>
      </c>
      <c r="F126" t="s">
        <v>22</v>
      </c>
      <c r="G126" s="11">
        <v>0.09</v>
      </c>
      <c r="H126" t="b">
        <f>(COUNTIFS(OrderLines!$A:$A,A126,OrderLines!$F:$F,"Beverage")&gt;0)</f>
        <v>0</v>
      </c>
      <c r="I126">
        <f>SUMIFS(OrderLines!$I:$I,OrderLines!$A:$A,A126)</f>
        <v>155.61000000000001</v>
      </c>
      <c r="J126" t="str">
        <f>IF(AND(COUNTIFS(OrderLines!$A$2:$A$925,A126,OrderLines!$F$2:$F$925,"Hot Meal")&gt;0,COUNTIFS(OrderLines!$A$2:$A$925,A126,OrderLines!$F$2:$F$925,"Beverage")&gt;0),"Combo","Single")</f>
        <v>Single</v>
      </c>
      <c r="K126" t="str">
        <f>IF(SUMPRODUCT((OrderLines!$A$2:$A$925=A126)*OrderLines!$C$2:$C$925*OrderLines!$D$2:$D$925)*G126&gt;40,"HighDisc","OK")</f>
        <v>OK</v>
      </c>
    </row>
    <row r="127" spans="1:11" x14ac:dyDescent="0.3">
      <c r="A127" t="s">
        <v>163</v>
      </c>
      <c r="B127" s="2">
        <v>45865.882986111108</v>
      </c>
      <c r="C127" t="s">
        <v>27</v>
      </c>
      <c r="D127" t="s">
        <v>28</v>
      </c>
      <c r="E127" t="s">
        <v>11</v>
      </c>
      <c r="F127" t="s">
        <v>18</v>
      </c>
      <c r="G127" s="11">
        <v>0.14000000000000001</v>
      </c>
      <c r="H127" t="b">
        <f>(COUNTIFS(OrderLines!$A:$A,A127,OrderLines!$F:$F,"Beverage")&gt;0)</f>
        <v>0</v>
      </c>
      <c r="I127">
        <f>SUMIFS(OrderLines!$I:$I,OrderLines!$A:$A,A127)</f>
        <v>318.2516</v>
      </c>
      <c r="J127" t="str">
        <f>IF(AND(COUNTIFS(OrderLines!$A$2:$A$925,A127,OrderLines!$F$2:$F$925,"Hot Meal")&gt;0,COUNTIFS(OrderLines!$A$2:$A$925,A127,OrderLines!$F$2:$F$925,"Beverage")&gt;0),"Combo","Single")</f>
        <v>Single</v>
      </c>
      <c r="K127" t="str">
        <f>IF(SUMPRODUCT((OrderLines!$A$2:$A$925=A127)*OrderLines!$C$2:$C$925*OrderLines!$D$2:$D$925)*G127&gt;40,"HighDisc","OK")</f>
        <v>HighDisc</v>
      </c>
    </row>
    <row r="128" spans="1:11" x14ac:dyDescent="0.3">
      <c r="A128" t="s">
        <v>164</v>
      </c>
      <c r="B128" s="2">
        <v>45851.510520833333</v>
      </c>
      <c r="C128" t="s">
        <v>9</v>
      </c>
      <c r="D128" t="s">
        <v>16</v>
      </c>
      <c r="E128" t="s">
        <v>17</v>
      </c>
      <c r="F128" t="s">
        <v>22</v>
      </c>
      <c r="G128" s="11">
        <v>0.05</v>
      </c>
      <c r="H128" t="b">
        <f>(COUNTIFS(OrderLines!$A:$A,A128,OrderLines!$F:$F,"Beverage")&gt;0)</f>
        <v>1</v>
      </c>
      <c r="I128">
        <f>SUMIFS(OrderLines!$I:$I,OrderLines!$A:$A,A128)</f>
        <v>191.672</v>
      </c>
      <c r="J128" t="str">
        <f>IF(AND(COUNTIFS(OrderLines!$A$2:$A$925,A128,OrderLines!$F$2:$F$925,"Hot Meal")&gt;0,COUNTIFS(OrderLines!$A$2:$A$925,A128,OrderLines!$F$2:$F$925,"Beverage")&gt;0),"Combo","Single")</f>
        <v>Single</v>
      </c>
      <c r="K128" t="str">
        <f>IF(SUMPRODUCT((OrderLines!$A$2:$A$925=A128)*OrderLines!$C$2:$C$925*OrderLines!$D$2:$D$925)*G128&gt;40,"HighDisc","OK")</f>
        <v>OK</v>
      </c>
    </row>
    <row r="129" spans="1:11" x14ac:dyDescent="0.3">
      <c r="A129" t="s">
        <v>165</v>
      </c>
      <c r="B129" s="2">
        <v>45894.98609953704</v>
      </c>
      <c r="C129" t="s">
        <v>15</v>
      </c>
      <c r="D129" t="s">
        <v>16</v>
      </c>
      <c r="E129" t="s">
        <v>21</v>
      </c>
      <c r="F129" t="s">
        <v>18</v>
      </c>
      <c r="G129" s="11">
        <v>0.03</v>
      </c>
      <c r="H129" t="b">
        <f>(COUNTIFS(OrderLines!$A:$A,A129,OrderLines!$F:$F,"Beverage")&gt;0)</f>
        <v>1</v>
      </c>
      <c r="I129">
        <f>SUMIFS(OrderLines!$I:$I,OrderLines!$A:$A,A129)</f>
        <v>699.23419999999999</v>
      </c>
      <c r="J129" t="str">
        <f>IF(AND(COUNTIFS(OrderLines!$A$2:$A$925,A129,OrderLines!$F$2:$F$925,"Hot Meal")&gt;0,COUNTIFS(OrderLines!$A$2:$A$925,A129,OrderLines!$F$2:$F$925,"Beverage")&gt;0),"Combo","Single")</f>
        <v>Combo</v>
      </c>
      <c r="K129" t="str">
        <f>IF(SUMPRODUCT((OrderLines!$A$2:$A$925=A129)*OrderLines!$C$2:$C$925*OrderLines!$D$2:$D$925)*G129&gt;40,"HighDisc","OK")</f>
        <v>OK</v>
      </c>
    </row>
    <row r="130" spans="1:11" x14ac:dyDescent="0.3">
      <c r="A130" t="s">
        <v>166</v>
      </c>
      <c r="B130" s="2">
        <v>45872.329259259262</v>
      </c>
      <c r="C130" t="s">
        <v>27</v>
      </c>
      <c r="D130" t="s">
        <v>28</v>
      </c>
      <c r="E130" t="s">
        <v>21</v>
      </c>
      <c r="F130" t="s">
        <v>12</v>
      </c>
      <c r="G130" s="11">
        <v>0.02</v>
      </c>
      <c r="H130" t="b">
        <f>(COUNTIFS(OrderLines!$A:$A,A130,OrderLines!$F:$F,"Beverage")&gt;0)</f>
        <v>0</v>
      </c>
      <c r="I130">
        <f>SUMIFS(OrderLines!$I:$I,OrderLines!$A:$A,A130)</f>
        <v>735.34300000000007</v>
      </c>
      <c r="J130" t="str">
        <f>IF(AND(COUNTIFS(OrderLines!$A$2:$A$925,A130,OrderLines!$F$2:$F$925,"Hot Meal")&gt;0,COUNTIFS(OrderLines!$A$2:$A$925,A130,OrderLines!$F$2:$F$925,"Beverage")&gt;0),"Combo","Single")</f>
        <v>Single</v>
      </c>
      <c r="K130" t="str">
        <f>IF(SUMPRODUCT((OrderLines!$A$2:$A$925=A130)*OrderLines!$C$2:$C$925*OrderLines!$D$2:$D$925)*G130&gt;40,"HighDisc","OK")</f>
        <v>OK</v>
      </c>
    </row>
    <row r="131" spans="1:11" x14ac:dyDescent="0.3">
      <c r="A131" t="s">
        <v>167</v>
      </c>
      <c r="B131" s="2">
        <v>45850.32675925926</v>
      </c>
      <c r="C131" t="s">
        <v>27</v>
      </c>
      <c r="D131" t="s">
        <v>16</v>
      </c>
      <c r="E131" t="s">
        <v>21</v>
      </c>
      <c r="F131" t="s">
        <v>12</v>
      </c>
      <c r="G131" s="11">
        <v>0.03</v>
      </c>
      <c r="H131" t="b">
        <f>(COUNTIFS(OrderLines!$A:$A,A131,OrderLines!$F:$F,"Beverage")&gt;0)</f>
        <v>0</v>
      </c>
      <c r="I131">
        <f>SUMIFS(OrderLines!$I:$I,OrderLines!$A:$A,A131)</f>
        <v>404.48029999999994</v>
      </c>
      <c r="J131" t="str">
        <f>IF(AND(COUNTIFS(OrderLines!$A$2:$A$925,A131,OrderLines!$F$2:$F$925,"Hot Meal")&gt;0,COUNTIFS(OrderLines!$A$2:$A$925,A131,OrderLines!$F$2:$F$925,"Beverage")&gt;0),"Combo","Single")</f>
        <v>Single</v>
      </c>
      <c r="K131" t="str">
        <f>IF(SUMPRODUCT((OrderLines!$A$2:$A$925=A131)*OrderLines!$C$2:$C$925*OrderLines!$D$2:$D$925)*G131&gt;40,"HighDisc","OK")</f>
        <v>OK</v>
      </c>
    </row>
    <row r="132" spans="1:11" x14ac:dyDescent="0.3">
      <c r="A132" t="s">
        <v>168</v>
      </c>
      <c r="B132" s="2">
        <v>45895.273194444453</v>
      </c>
      <c r="C132" t="s">
        <v>9</v>
      </c>
      <c r="D132" t="s">
        <v>10</v>
      </c>
      <c r="E132" t="s">
        <v>17</v>
      </c>
      <c r="F132" t="s">
        <v>12</v>
      </c>
      <c r="G132" s="11">
        <v>0.06</v>
      </c>
      <c r="H132" t="b">
        <f>(COUNTIFS(OrderLines!$A:$A,A132,OrderLines!$F:$F,"Beverage")&gt;0)</f>
        <v>1</v>
      </c>
      <c r="I132">
        <f>SUMIFS(OrderLines!$I:$I,OrderLines!$A:$A,A132)</f>
        <v>593.14</v>
      </c>
      <c r="J132" t="str">
        <f>IF(AND(COUNTIFS(OrderLines!$A$2:$A$925,A132,OrderLines!$F$2:$F$925,"Hot Meal")&gt;0,COUNTIFS(OrderLines!$A$2:$A$925,A132,OrderLines!$F$2:$F$925,"Beverage")&gt;0),"Combo","Single")</f>
        <v>Combo</v>
      </c>
      <c r="K132" t="str">
        <f>IF(SUMPRODUCT((OrderLines!$A$2:$A$925=A132)*OrderLines!$C$2:$C$925*OrderLines!$D$2:$D$925)*G132&gt;40,"HighDisc","OK")</f>
        <v>OK</v>
      </c>
    </row>
    <row r="133" spans="1:11" x14ac:dyDescent="0.3">
      <c r="A133" t="s">
        <v>169</v>
      </c>
      <c r="B133" s="2">
        <v>45853.735648148147</v>
      </c>
      <c r="C133" t="s">
        <v>9</v>
      </c>
      <c r="D133" t="s">
        <v>16</v>
      </c>
      <c r="E133" t="s">
        <v>17</v>
      </c>
      <c r="F133" t="s">
        <v>18</v>
      </c>
      <c r="G133" s="11">
        <v>7.0000000000000007E-2</v>
      </c>
      <c r="H133" t="b">
        <f>(COUNTIFS(OrderLines!$A:$A,A133,OrderLines!$F:$F,"Beverage")&gt;0)</f>
        <v>0</v>
      </c>
      <c r="I133">
        <f>SUMIFS(OrderLines!$I:$I,OrderLines!$A:$A,A133)</f>
        <v>456.17430000000002</v>
      </c>
      <c r="J133" t="str">
        <f>IF(AND(COUNTIFS(OrderLines!$A$2:$A$925,A133,OrderLines!$F$2:$F$925,"Hot Meal")&gt;0,COUNTIFS(OrderLines!$A$2:$A$925,A133,OrderLines!$F$2:$F$925,"Beverage")&gt;0),"Combo","Single")</f>
        <v>Single</v>
      </c>
      <c r="K133" t="str">
        <f>IF(SUMPRODUCT((OrderLines!$A$2:$A$925=A133)*OrderLines!$C$2:$C$925*OrderLines!$D$2:$D$925)*G133&gt;40,"HighDisc","OK")</f>
        <v>OK</v>
      </c>
    </row>
    <row r="134" spans="1:11" x14ac:dyDescent="0.3">
      <c r="A134" t="s">
        <v>170</v>
      </c>
      <c r="B134" s="2">
        <v>45850.750497685192</v>
      </c>
      <c r="C134" t="s">
        <v>9</v>
      </c>
      <c r="D134" t="s">
        <v>16</v>
      </c>
      <c r="E134" t="s">
        <v>11</v>
      </c>
      <c r="F134" t="s">
        <v>18</v>
      </c>
      <c r="G134" s="11">
        <v>7.0000000000000007E-2</v>
      </c>
      <c r="H134" t="b">
        <f>(COUNTIFS(OrderLines!$A:$A,A134,OrderLines!$F:$F,"Beverage")&gt;0)</f>
        <v>1</v>
      </c>
      <c r="I134">
        <f>SUMIFS(OrderLines!$I:$I,OrderLines!$A:$A,A134)</f>
        <v>349.8381</v>
      </c>
      <c r="J134" t="str">
        <f>IF(AND(COUNTIFS(OrderLines!$A$2:$A$925,A134,OrderLines!$F$2:$F$925,"Hot Meal")&gt;0,COUNTIFS(OrderLines!$A$2:$A$925,A134,OrderLines!$F$2:$F$925,"Beverage")&gt;0),"Combo","Single")</f>
        <v>Single</v>
      </c>
      <c r="K134" t="str">
        <f>IF(SUMPRODUCT((OrderLines!$A$2:$A$925=A134)*OrderLines!$C$2:$C$925*OrderLines!$D$2:$D$925)*G134&gt;40,"HighDisc","OK")</f>
        <v>OK</v>
      </c>
    </row>
    <row r="135" spans="1:11" x14ac:dyDescent="0.3">
      <c r="A135" t="s">
        <v>171</v>
      </c>
      <c r="B135" s="2">
        <v>45889.986759259264</v>
      </c>
      <c r="C135" t="s">
        <v>15</v>
      </c>
      <c r="D135" t="s">
        <v>16</v>
      </c>
      <c r="E135" t="s">
        <v>21</v>
      </c>
      <c r="F135" t="s">
        <v>18</v>
      </c>
      <c r="G135" s="11">
        <v>0.09</v>
      </c>
      <c r="H135" t="b">
        <f>(COUNTIFS(OrderLines!$A:$A,A135,OrderLines!$F:$F,"Beverage")&gt;0)</f>
        <v>1</v>
      </c>
      <c r="I135">
        <f>SUMIFS(OrderLines!$I:$I,OrderLines!$A:$A,A135)</f>
        <v>90.035399999999996</v>
      </c>
      <c r="J135" t="str">
        <f>IF(AND(COUNTIFS(OrderLines!$A$2:$A$925,A135,OrderLines!$F$2:$F$925,"Hot Meal")&gt;0,COUNTIFS(OrderLines!$A$2:$A$925,A135,OrderLines!$F$2:$F$925,"Beverage")&gt;0),"Combo","Single")</f>
        <v>Single</v>
      </c>
      <c r="K135" t="str">
        <f>IF(SUMPRODUCT((OrderLines!$A$2:$A$925=A135)*OrderLines!$C$2:$C$925*OrderLines!$D$2:$D$925)*G135&gt;40,"HighDisc","OK")</f>
        <v>OK</v>
      </c>
    </row>
    <row r="136" spans="1:11" x14ac:dyDescent="0.3">
      <c r="A136" t="s">
        <v>172</v>
      </c>
      <c r="B136" s="2">
        <v>45896.390115740738</v>
      </c>
      <c r="C136" t="s">
        <v>15</v>
      </c>
      <c r="D136" t="s">
        <v>16</v>
      </c>
      <c r="E136" t="s">
        <v>11</v>
      </c>
      <c r="F136" t="s">
        <v>12</v>
      </c>
      <c r="G136" s="11">
        <v>0.06</v>
      </c>
      <c r="H136" t="b">
        <f>(COUNTIFS(OrderLines!$A:$A,A136,OrderLines!$F:$F,"Beverage")&gt;0)</f>
        <v>1</v>
      </c>
      <c r="I136">
        <f>SUMIFS(OrderLines!$I:$I,OrderLines!$A:$A,A136)</f>
        <v>188.19739999999999</v>
      </c>
      <c r="J136" t="str">
        <f>IF(AND(COUNTIFS(OrderLines!$A$2:$A$925,A136,OrderLines!$F$2:$F$925,"Hot Meal")&gt;0,COUNTIFS(OrderLines!$A$2:$A$925,A136,OrderLines!$F$2:$F$925,"Beverage")&gt;0),"Combo","Single")</f>
        <v>Single</v>
      </c>
      <c r="K136" t="str">
        <f>IF(SUMPRODUCT((OrderLines!$A$2:$A$925=A136)*OrderLines!$C$2:$C$925*OrderLines!$D$2:$D$925)*G136&gt;40,"HighDisc","OK")</f>
        <v>OK</v>
      </c>
    </row>
    <row r="137" spans="1:11" x14ac:dyDescent="0.3">
      <c r="A137" t="s">
        <v>173</v>
      </c>
      <c r="B137" s="2">
        <v>45898.439282407409</v>
      </c>
      <c r="C137" t="s">
        <v>9</v>
      </c>
      <c r="D137" t="s">
        <v>28</v>
      </c>
      <c r="E137" t="s">
        <v>17</v>
      </c>
      <c r="F137" t="s">
        <v>12</v>
      </c>
      <c r="G137" s="11">
        <v>0.12</v>
      </c>
      <c r="H137" t="b">
        <f>(COUNTIFS(OrderLines!$A:$A,A137,OrderLines!$F:$F,"Beverage")&gt;0)</f>
        <v>0</v>
      </c>
      <c r="I137">
        <f>SUMIFS(OrderLines!$I:$I,OrderLines!$A:$A,A137)</f>
        <v>492.90560000000005</v>
      </c>
      <c r="J137" t="str">
        <f>IF(AND(COUNTIFS(OrderLines!$A$2:$A$925,A137,OrderLines!$F$2:$F$925,"Hot Meal")&gt;0,COUNTIFS(OrderLines!$A$2:$A$925,A137,OrderLines!$F$2:$F$925,"Beverage")&gt;0),"Combo","Single")</f>
        <v>Single</v>
      </c>
      <c r="K137" t="str">
        <f>IF(SUMPRODUCT((OrderLines!$A$2:$A$925=A137)*OrderLines!$C$2:$C$925*OrderLines!$D$2:$D$925)*G137&gt;40,"HighDisc","OK")</f>
        <v>HighDisc</v>
      </c>
    </row>
    <row r="138" spans="1:11" x14ac:dyDescent="0.3">
      <c r="A138" t="s">
        <v>174</v>
      </c>
      <c r="B138" s="2">
        <v>45864.94458333333</v>
      </c>
      <c r="C138" t="s">
        <v>9</v>
      </c>
      <c r="D138" t="s">
        <v>28</v>
      </c>
      <c r="E138" t="s">
        <v>17</v>
      </c>
      <c r="F138" t="s">
        <v>18</v>
      </c>
      <c r="G138" s="11">
        <v>0.05</v>
      </c>
      <c r="H138" t="b">
        <f>(COUNTIFS(OrderLines!$A:$A,A138,OrderLines!$F:$F,"Beverage")&gt;0)</f>
        <v>1</v>
      </c>
      <c r="I138">
        <f>SUMIFS(OrderLines!$I:$I,OrderLines!$A:$A,A138)</f>
        <v>299.93399999999997</v>
      </c>
      <c r="J138" t="str">
        <f>IF(AND(COUNTIFS(OrderLines!$A$2:$A$925,A138,OrderLines!$F$2:$F$925,"Hot Meal")&gt;0,COUNTIFS(OrderLines!$A$2:$A$925,A138,OrderLines!$F$2:$F$925,"Beverage")&gt;0),"Combo","Single")</f>
        <v>Combo</v>
      </c>
      <c r="K138" t="str">
        <f>IF(SUMPRODUCT((OrderLines!$A$2:$A$925=A138)*OrderLines!$C$2:$C$925*OrderLines!$D$2:$D$925)*G138&gt;40,"HighDisc","OK")</f>
        <v>OK</v>
      </c>
    </row>
    <row r="139" spans="1:11" x14ac:dyDescent="0.3">
      <c r="A139" t="s">
        <v>175</v>
      </c>
      <c r="B139" s="2">
        <v>45856.125613425917</v>
      </c>
      <c r="C139" t="s">
        <v>9</v>
      </c>
      <c r="D139" t="s">
        <v>28</v>
      </c>
      <c r="E139" t="s">
        <v>17</v>
      </c>
      <c r="F139" t="s">
        <v>12</v>
      </c>
      <c r="G139" s="11">
        <v>0.17</v>
      </c>
      <c r="H139" t="b">
        <f>(COUNTIFS(OrderLines!$A:$A,A139,OrderLines!$F:$F,"Beverage")&gt;0)</f>
        <v>0</v>
      </c>
      <c r="I139">
        <f>SUMIFS(OrderLines!$I:$I,OrderLines!$A:$A,A139)</f>
        <v>83.315399999999997</v>
      </c>
      <c r="J139" t="str">
        <f>IF(AND(COUNTIFS(OrderLines!$A$2:$A$925,A139,OrderLines!$F$2:$F$925,"Hot Meal")&gt;0,COUNTIFS(OrderLines!$A$2:$A$925,A139,OrderLines!$F$2:$F$925,"Beverage")&gt;0),"Combo","Single")</f>
        <v>Single</v>
      </c>
      <c r="K139" t="str">
        <f>IF(SUMPRODUCT((OrderLines!$A$2:$A$925=A139)*OrderLines!$C$2:$C$925*OrderLines!$D$2:$D$925)*G139&gt;40,"HighDisc","OK")</f>
        <v>OK</v>
      </c>
    </row>
    <row r="140" spans="1:11" x14ac:dyDescent="0.3">
      <c r="A140" t="s">
        <v>176</v>
      </c>
      <c r="B140" s="2">
        <v>45878.913113425922</v>
      </c>
      <c r="C140" t="s">
        <v>15</v>
      </c>
      <c r="D140" t="s">
        <v>10</v>
      </c>
      <c r="E140" t="s">
        <v>11</v>
      </c>
      <c r="F140" t="s">
        <v>18</v>
      </c>
      <c r="G140" s="11">
        <v>0.09</v>
      </c>
      <c r="H140" t="b">
        <f>(COUNTIFS(OrderLines!$A:$A,A140,OrderLines!$F:$F,"Beverage")&gt;0)</f>
        <v>0</v>
      </c>
      <c r="I140">
        <f>SUMIFS(OrderLines!$I:$I,OrderLines!$A:$A,A140)</f>
        <v>661.30610000000001</v>
      </c>
      <c r="J140" t="str">
        <f>IF(AND(COUNTIFS(OrderLines!$A$2:$A$925,A140,OrderLines!$F$2:$F$925,"Hot Meal")&gt;0,COUNTIFS(OrderLines!$A$2:$A$925,A140,OrderLines!$F$2:$F$925,"Beverage")&gt;0),"Combo","Single")</f>
        <v>Single</v>
      </c>
      <c r="K140" t="str">
        <f>IF(SUMPRODUCT((OrderLines!$A$2:$A$925=A140)*OrderLines!$C$2:$C$925*OrderLines!$D$2:$D$925)*G140&gt;40,"HighDisc","OK")</f>
        <v>HighDisc</v>
      </c>
    </row>
    <row r="141" spans="1:11" x14ac:dyDescent="0.3">
      <c r="A141" t="s">
        <v>177</v>
      </c>
      <c r="B141" s="2">
        <v>45867.52847222222</v>
      </c>
      <c r="C141" t="s">
        <v>27</v>
      </c>
      <c r="D141" t="s">
        <v>28</v>
      </c>
      <c r="E141" t="s">
        <v>21</v>
      </c>
      <c r="F141" t="s">
        <v>22</v>
      </c>
      <c r="G141" s="11">
        <v>0.03</v>
      </c>
      <c r="H141" t="b">
        <f>(COUNTIFS(OrderLines!$A:$A,A141,OrderLines!$F:$F,"Beverage")&gt;0)</f>
        <v>1</v>
      </c>
      <c r="I141">
        <f>SUMIFS(OrderLines!$I:$I,OrderLines!$A:$A,A141)</f>
        <v>310.73950000000002</v>
      </c>
      <c r="J141" t="str">
        <f>IF(AND(COUNTIFS(OrderLines!$A$2:$A$925,A141,OrderLines!$F$2:$F$925,"Hot Meal")&gt;0,COUNTIFS(OrderLines!$A$2:$A$925,A141,OrderLines!$F$2:$F$925,"Beverage")&gt;0),"Combo","Single")</f>
        <v>Single</v>
      </c>
      <c r="K141" t="str">
        <f>IF(SUMPRODUCT((OrderLines!$A$2:$A$925=A141)*OrderLines!$C$2:$C$925*OrderLines!$D$2:$D$925)*G141&gt;40,"HighDisc","OK")</f>
        <v>OK</v>
      </c>
    </row>
    <row r="142" spans="1:11" x14ac:dyDescent="0.3">
      <c r="A142" t="s">
        <v>178</v>
      </c>
      <c r="B142" s="2">
        <v>45883.332060185188</v>
      </c>
      <c r="C142" t="s">
        <v>27</v>
      </c>
      <c r="D142" t="s">
        <v>10</v>
      </c>
      <c r="E142" t="s">
        <v>17</v>
      </c>
      <c r="F142" t="s">
        <v>12</v>
      </c>
      <c r="G142" s="11">
        <v>0.02</v>
      </c>
      <c r="H142" t="b">
        <f>(COUNTIFS(OrderLines!$A:$A,A142,OrderLines!$F:$F,"Beverage")&gt;0)</f>
        <v>1</v>
      </c>
      <c r="I142">
        <f>SUMIFS(OrderLines!$I:$I,OrderLines!$A:$A,A142)</f>
        <v>79.2624</v>
      </c>
      <c r="J142" t="str">
        <f>IF(AND(COUNTIFS(OrderLines!$A$2:$A$925,A142,OrderLines!$F$2:$F$925,"Hot Meal")&gt;0,COUNTIFS(OrderLines!$A$2:$A$925,A142,OrderLines!$F$2:$F$925,"Beverage")&gt;0),"Combo","Single")</f>
        <v>Single</v>
      </c>
      <c r="K142" t="str">
        <f>IF(SUMPRODUCT((OrderLines!$A$2:$A$925=A142)*OrderLines!$C$2:$C$925*OrderLines!$D$2:$D$925)*G142&gt;40,"HighDisc","OK")</f>
        <v>OK</v>
      </c>
    </row>
    <row r="143" spans="1:11" x14ac:dyDescent="0.3">
      <c r="A143" t="s">
        <v>179</v>
      </c>
      <c r="B143" s="2">
        <v>45896.512881944444</v>
      </c>
      <c r="C143" t="s">
        <v>9</v>
      </c>
      <c r="D143" t="s">
        <v>28</v>
      </c>
      <c r="E143" t="s">
        <v>21</v>
      </c>
      <c r="F143" t="s">
        <v>22</v>
      </c>
      <c r="G143" s="11">
        <v>0.08</v>
      </c>
      <c r="H143" t="b">
        <f>(COUNTIFS(OrderLines!$A:$A,A143,OrderLines!$F:$F,"Beverage")&gt;0)</f>
        <v>1</v>
      </c>
      <c r="I143">
        <f>SUMIFS(OrderLines!$I:$I,OrderLines!$A:$A,A143)</f>
        <v>164.67999999999998</v>
      </c>
      <c r="J143" t="str">
        <f>IF(AND(COUNTIFS(OrderLines!$A$2:$A$925,A143,OrderLines!$F$2:$F$925,"Hot Meal")&gt;0,COUNTIFS(OrderLines!$A$2:$A$925,A143,OrderLines!$F$2:$F$925,"Beverage")&gt;0),"Combo","Single")</f>
        <v>Single</v>
      </c>
      <c r="K143" t="str">
        <f>IF(SUMPRODUCT((OrderLines!$A$2:$A$925=A143)*OrderLines!$C$2:$C$925*OrderLines!$D$2:$D$925)*G143&gt;40,"HighDisc","OK")</f>
        <v>OK</v>
      </c>
    </row>
    <row r="144" spans="1:11" x14ac:dyDescent="0.3">
      <c r="A144" t="s">
        <v>180</v>
      </c>
      <c r="B144" s="2">
        <v>45892.121759259258</v>
      </c>
      <c r="C144" t="s">
        <v>27</v>
      </c>
      <c r="D144" t="s">
        <v>10</v>
      </c>
      <c r="E144" t="s">
        <v>17</v>
      </c>
      <c r="F144" t="s">
        <v>12</v>
      </c>
      <c r="G144" s="11">
        <v>0.05</v>
      </c>
      <c r="H144" t="b">
        <f>(COUNTIFS(OrderLines!$A:$A,A144,OrderLines!$F:$F,"Beverage")&gt;0)</f>
        <v>1</v>
      </c>
      <c r="I144">
        <f>SUMIFS(OrderLines!$I:$I,OrderLines!$A:$A,A144)</f>
        <v>38.208999999999996</v>
      </c>
      <c r="J144" t="str">
        <f>IF(AND(COUNTIFS(OrderLines!$A$2:$A$925,A144,OrderLines!$F$2:$F$925,"Hot Meal")&gt;0,COUNTIFS(OrderLines!$A$2:$A$925,A144,OrderLines!$F$2:$F$925,"Beverage")&gt;0),"Combo","Single")</f>
        <v>Single</v>
      </c>
      <c r="K144" t="str">
        <f>IF(SUMPRODUCT((OrderLines!$A$2:$A$925=A144)*OrderLines!$C$2:$C$925*OrderLines!$D$2:$D$925)*G144&gt;40,"HighDisc","OK")</f>
        <v>OK</v>
      </c>
    </row>
    <row r="145" spans="1:11" x14ac:dyDescent="0.3">
      <c r="A145" t="s">
        <v>181</v>
      </c>
      <c r="B145" s="2">
        <v>45853.05976851852</v>
      </c>
      <c r="C145" t="s">
        <v>27</v>
      </c>
      <c r="D145" t="s">
        <v>28</v>
      </c>
      <c r="E145" t="s">
        <v>17</v>
      </c>
      <c r="F145" t="s">
        <v>12</v>
      </c>
      <c r="G145" s="11">
        <v>0.09</v>
      </c>
      <c r="H145" t="b">
        <f>(COUNTIFS(OrderLines!$A:$A,A145,OrderLines!$F:$F,"Beverage")&gt;0)</f>
        <v>0</v>
      </c>
      <c r="I145">
        <f>SUMIFS(OrderLines!$I:$I,OrderLines!$A:$A,A145)</f>
        <v>47.729500000000002</v>
      </c>
      <c r="J145" t="str">
        <f>IF(AND(COUNTIFS(OrderLines!$A$2:$A$925,A145,OrderLines!$F$2:$F$925,"Hot Meal")&gt;0,COUNTIFS(OrderLines!$A$2:$A$925,A145,OrderLines!$F$2:$F$925,"Beverage")&gt;0),"Combo","Single")</f>
        <v>Single</v>
      </c>
      <c r="K145" t="str">
        <f>IF(SUMPRODUCT((OrderLines!$A$2:$A$925=A145)*OrderLines!$C$2:$C$925*OrderLines!$D$2:$D$925)*G145&gt;40,"HighDisc","OK")</f>
        <v>OK</v>
      </c>
    </row>
    <row r="146" spans="1:11" x14ac:dyDescent="0.3">
      <c r="A146" t="s">
        <v>182</v>
      </c>
      <c r="B146" s="2">
        <v>45897.023043981477</v>
      </c>
      <c r="C146" t="s">
        <v>9</v>
      </c>
      <c r="D146" t="s">
        <v>10</v>
      </c>
      <c r="E146" t="s">
        <v>21</v>
      </c>
      <c r="F146" t="s">
        <v>12</v>
      </c>
      <c r="G146" s="11">
        <v>0.08</v>
      </c>
      <c r="H146" t="b">
        <f>(COUNTIFS(OrderLines!$A:$A,A146,OrderLines!$F:$F,"Beverage")&gt;0)</f>
        <v>1</v>
      </c>
      <c r="I146">
        <f>SUMIFS(OrderLines!$I:$I,OrderLines!$A:$A,A146)</f>
        <v>328.09960000000001</v>
      </c>
      <c r="J146" t="str">
        <f>IF(AND(COUNTIFS(OrderLines!$A$2:$A$925,A146,OrderLines!$F$2:$F$925,"Hot Meal")&gt;0,COUNTIFS(OrderLines!$A$2:$A$925,A146,OrderLines!$F$2:$F$925,"Beverage")&gt;0),"Combo","Single")</f>
        <v>Single</v>
      </c>
      <c r="K146" t="str">
        <f>IF(SUMPRODUCT((OrderLines!$A$2:$A$925=A146)*OrderLines!$C$2:$C$925*OrderLines!$D$2:$D$925)*G146&gt;40,"HighDisc","OK")</f>
        <v>OK</v>
      </c>
    </row>
    <row r="147" spans="1:11" x14ac:dyDescent="0.3">
      <c r="A147" t="s">
        <v>183</v>
      </c>
      <c r="B147" s="2">
        <v>45851.323541666658</v>
      </c>
      <c r="C147" t="s">
        <v>15</v>
      </c>
      <c r="D147" t="s">
        <v>10</v>
      </c>
      <c r="E147" t="s">
        <v>21</v>
      </c>
      <c r="F147" t="s">
        <v>12</v>
      </c>
      <c r="G147" s="11">
        <v>0.06</v>
      </c>
      <c r="H147" t="b">
        <f>(COUNTIFS(OrderLines!$A:$A,A147,OrderLines!$F:$F,"Beverage")&gt;0)</f>
        <v>1</v>
      </c>
      <c r="I147">
        <f>SUMIFS(OrderLines!$I:$I,OrderLines!$A:$A,A147)</f>
        <v>1569.9879999999998</v>
      </c>
      <c r="J147" t="str">
        <f>IF(AND(COUNTIFS(OrderLines!$A$2:$A$925,A147,OrderLines!$F$2:$F$925,"Hot Meal")&gt;0,COUNTIFS(OrderLines!$A$2:$A$925,A147,OrderLines!$F$2:$F$925,"Beverage")&gt;0),"Combo","Single")</f>
        <v>Combo</v>
      </c>
      <c r="K147" t="str">
        <f>IF(SUMPRODUCT((OrderLines!$A$2:$A$925=A147)*OrderLines!$C$2:$C$925*OrderLines!$D$2:$D$925)*G147&gt;40,"HighDisc","OK")</f>
        <v>HighDisc</v>
      </c>
    </row>
    <row r="148" spans="1:11" x14ac:dyDescent="0.3">
      <c r="A148" t="s">
        <v>184</v>
      </c>
      <c r="B148" s="2">
        <v>45865.682476851849</v>
      </c>
      <c r="C148" t="s">
        <v>9</v>
      </c>
      <c r="D148" t="s">
        <v>10</v>
      </c>
      <c r="E148" t="s">
        <v>21</v>
      </c>
      <c r="F148" t="s">
        <v>18</v>
      </c>
      <c r="G148" s="11">
        <v>0.03</v>
      </c>
      <c r="H148" t="b">
        <f>(COUNTIFS(OrderLines!$A:$A,A148,OrderLines!$F:$F,"Beverage")&gt;0)</f>
        <v>1</v>
      </c>
      <c r="I148">
        <f>SUMIFS(OrderLines!$I:$I,OrderLines!$A:$A,A148)</f>
        <v>357.67779999999999</v>
      </c>
      <c r="J148" t="str">
        <f>IF(AND(COUNTIFS(OrderLines!$A$2:$A$925,A148,OrderLines!$F$2:$F$925,"Hot Meal")&gt;0,COUNTIFS(OrderLines!$A$2:$A$925,A148,OrderLines!$F$2:$F$925,"Beverage")&gt;0),"Combo","Single")</f>
        <v>Combo</v>
      </c>
      <c r="K148" t="str">
        <f>IF(SUMPRODUCT((OrderLines!$A$2:$A$925=A148)*OrderLines!$C$2:$C$925*OrderLines!$D$2:$D$925)*G148&gt;40,"HighDisc","OK")</f>
        <v>OK</v>
      </c>
    </row>
    <row r="149" spans="1:11" x14ac:dyDescent="0.3">
      <c r="A149" t="s">
        <v>185</v>
      </c>
      <c r="B149" s="2">
        <v>45847.060127314813</v>
      </c>
      <c r="C149" t="s">
        <v>9</v>
      </c>
      <c r="D149" t="s">
        <v>28</v>
      </c>
      <c r="E149" t="s">
        <v>21</v>
      </c>
      <c r="F149" t="s">
        <v>12</v>
      </c>
      <c r="G149" s="11">
        <v>0</v>
      </c>
      <c r="H149" t="b">
        <f>(COUNTIFS(OrderLines!$A:$A,A149,OrderLines!$F:$F,"Beverage")&gt;0)</f>
        <v>1</v>
      </c>
      <c r="I149">
        <f>SUMIFS(OrderLines!$I:$I,OrderLines!$A:$A,A149)</f>
        <v>70.290000000000006</v>
      </c>
      <c r="J149" t="str">
        <f>IF(AND(COUNTIFS(OrderLines!$A$2:$A$925,A149,OrderLines!$F$2:$F$925,"Hot Meal")&gt;0,COUNTIFS(OrderLines!$A$2:$A$925,A149,OrderLines!$F$2:$F$925,"Beverage")&gt;0),"Combo","Single")</f>
        <v>Single</v>
      </c>
      <c r="K149" t="str">
        <f>IF(SUMPRODUCT((OrderLines!$A$2:$A$925=A149)*OrderLines!$C$2:$C$925*OrderLines!$D$2:$D$925)*G149&gt;40,"HighDisc","OK")</f>
        <v>OK</v>
      </c>
    </row>
    <row r="150" spans="1:11" x14ac:dyDescent="0.3">
      <c r="A150" t="s">
        <v>186</v>
      </c>
      <c r="B150" s="2">
        <v>45897.86478009259</v>
      </c>
      <c r="C150" t="s">
        <v>15</v>
      </c>
      <c r="D150" t="s">
        <v>28</v>
      </c>
      <c r="E150" t="s">
        <v>17</v>
      </c>
      <c r="F150" t="s">
        <v>18</v>
      </c>
      <c r="G150" s="11">
        <v>0.04</v>
      </c>
      <c r="H150" t="b">
        <f>(COUNTIFS(OrderLines!$A:$A,A150,OrderLines!$F:$F,"Beverage")&gt;0)</f>
        <v>0</v>
      </c>
      <c r="I150">
        <f>SUMIFS(OrderLines!$I:$I,OrderLines!$A:$A,A150)</f>
        <v>286.22400000000005</v>
      </c>
      <c r="J150" t="str">
        <f>IF(AND(COUNTIFS(OrderLines!$A$2:$A$925,A150,OrderLines!$F$2:$F$925,"Hot Meal")&gt;0,COUNTIFS(OrderLines!$A$2:$A$925,A150,OrderLines!$F$2:$F$925,"Beverage")&gt;0),"Combo","Single")</f>
        <v>Single</v>
      </c>
      <c r="K150" t="str">
        <f>IF(SUMPRODUCT((OrderLines!$A$2:$A$925=A150)*OrderLines!$C$2:$C$925*OrderLines!$D$2:$D$925)*G150&gt;40,"HighDisc","OK")</f>
        <v>OK</v>
      </c>
    </row>
    <row r="151" spans="1:11" x14ac:dyDescent="0.3">
      <c r="A151" t="s">
        <v>187</v>
      </c>
      <c r="B151" s="2">
        <v>45895.096284722233</v>
      </c>
      <c r="C151" t="s">
        <v>9</v>
      </c>
      <c r="D151" t="s">
        <v>28</v>
      </c>
      <c r="E151" t="s">
        <v>11</v>
      </c>
      <c r="F151" t="s">
        <v>12</v>
      </c>
      <c r="G151" s="11">
        <v>0.09</v>
      </c>
      <c r="H151" t="b">
        <f>(COUNTIFS(OrderLines!$A:$A,A151,OrderLines!$F:$F,"Beverage")&gt;0)</f>
        <v>0</v>
      </c>
      <c r="I151">
        <f>SUMIFS(OrderLines!$I:$I,OrderLines!$A:$A,A151)</f>
        <v>741.97760000000017</v>
      </c>
      <c r="J151" t="str">
        <f>IF(AND(COUNTIFS(OrderLines!$A$2:$A$925,A151,OrderLines!$F$2:$F$925,"Hot Meal")&gt;0,COUNTIFS(OrderLines!$A$2:$A$925,A151,OrderLines!$F$2:$F$925,"Beverage")&gt;0),"Combo","Single")</f>
        <v>Single</v>
      </c>
      <c r="K151" t="str">
        <f>IF(SUMPRODUCT((OrderLines!$A$2:$A$925=A151)*OrderLines!$C$2:$C$925*OrderLines!$D$2:$D$925)*G151&gt;40,"HighDisc","OK")</f>
        <v>HighDisc</v>
      </c>
    </row>
    <row r="152" spans="1:11" x14ac:dyDescent="0.3">
      <c r="A152" t="s">
        <v>188</v>
      </c>
      <c r="B152" s="2">
        <v>45895.19803240741</v>
      </c>
      <c r="C152" t="s">
        <v>27</v>
      </c>
      <c r="D152" t="s">
        <v>28</v>
      </c>
      <c r="E152" t="s">
        <v>21</v>
      </c>
      <c r="F152" t="s">
        <v>12</v>
      </c>
      <c r="G152" s="11">
        <v>7.0000000000000007E-2</v>
      </c>
      <c r="H152" t="b">
        <f>(COUNTIFS(OrderLines!$A:$A,A152,OrderLines!$F:$F,"Beverage")&gt;0)</f>
        <v>0</v>
      </c>
      <c r="I152">
        <f>SUMIFS(OrderLines!$I:$I,OrderLines!$A:$A,A152)</f>
        <v>1518.4016999999999</v>
      </c>
      <c r="J152" t="str">
        <f>IF(AND(COUNTIFS(OrderLines!$A$2:$A$925,A152,OrderLines!$F$2:$F$925,"Hot Meal")&gt;0,COUNTIFS(OrderLines!$A$2:$A$925,A152,OrderLines!$F$2:$F$925,"Beverage")&gt;0),"Combo","Single")</f>
        <v>Single</v>
      </c>
      <c r="K152" t="str">
        <f>IF(SUMPRODUCT((OrderLines!$A$2:$A$925=A152)*OrderLines!$C$2:$C$925*OrderLines!$D$2:$D$925)*G152&gt;40,"HighDisc","OK")</f>
        <v>HighDisc</v>
      </c>
    </row>
    <row r="153" spans="1:11" x14ac:dyDescent="0.3">
      <c r="A153" t="s">
        <v>189</v>
      </c>
      <c r="B153" s="2">
        <v>45882.186215277783</v>
      </c>
      <c r="C153" t="s">
        <v>15</v>
      </c>
      <c r="D153" t="s">
        <v>28</v>
      </c>
      <c r="E153" t="s">
        <v>11</v>
      </c>
      <c r="F153" t="s">
        <v>12</v>
      </c>
      <c r="G153" s="11">
        <v>0.01</v>
      </c>
      <c r="H153" t="b">
        <f>(COUNTIFS(OrderLines!$A:$A,A153,OrderLines!$F:$F,"Beverage")&gt;0)</f>
        <v>1</v>
      </c>
      <c r="I153">
        <f>SUMIFS(OrderLines!$I:$I,OrderLines!$A:$A,A153)</f>
        <v>235.04579999999999</v>
      </c>
      <c r="J153" t="str">
        <f>IF(AND(COUNTIFS(OrderLines!$A$2:$A$925,A153,OrderLines!$F$2:$F$925,"Hot Meal")&gt;0,COUNTIFS(OrderLines!$A$2:$A$925,A153,OrderLines!$F$2:$F$925,"Beverage")&gt;0),"Combo","Single")</f>
        <v>Combo</v>
      </c>
      <c r="K153" t="str">
        <f>IF(SUMPRODUCT((OrderLines!$A$2:$A$925=A153)*OrderLines!$C$2:$C$925*OrderLines!$D$2:$D$925)*G153&gt;40,"HighDisc","OK")</f>
        <v>OK</v>
      </c>
    </row>
    <row r="154" spans="1:11" x14ac:dyDescent="0.3">
      <c r="A154" t="s">
        <v>190</v>
      </c>
      <c r="B154" s="2">
        <v>45886.991828703707</v>
      </c>
      <c r="C154" t="s">
        <v>27</v>
      </c>
      <c r="D154" t="s">
        <v>16</v>
      </c>
      <c r="E154" t="s">
        <v>21</v>
      </c>
      <c r="F154" t="s">
        <v>18</v>
      </c>
      <c r="G154" s="11">
        <v>7.0000000000000007E-2</v>
      </c>
      <c r="H154" t="b">
        <f>(COUNTIFS(OrderLines!$A:$A,A154,OrderLines!$F:$F,"Beverage")&gt;0)</f>
        <v>1</v>
      </c>
      <c r="I154">
        <f>SUMIFS(OrderLines!$I:$I,OrderLines!$A:$A,A154)</f>
        <v>71.582099999999997</v>
      </c>
      <c r="J154" t="str">
        <f>IF(AND(COUNTIFS(OrderLines!$A$2:$A$925,A154,OrderLines!$F$2:$F$925,"Hot Meal")&gt;0,COUNTIFS(OrderLines!$A$2:$A$925,A154,OrderLines!$F$2:$F$925,"Beverage")&gt;0),"Combo","Single")</f>
        <v>Single</v>
      </c>
      <c r="K154" t="str">
        <f>IF(SUMPRODUCT((OrderLines!$A$2:$A$925=A154)*OrderLines!$C$2:$C$925*OrderLines!$D$2:$D$925)*G154&gt;40,"HighDisc","OK")</f>
        <v>OK</v>
      </c>
    </row>
    <row r="155" spans="1:11" x14ac:dyDescent="0.3">
      <c r="A155" t="s">
        <v>191</v>
      </c>
      <c r="B155" s="2">
        <v>45871.611030092587</v>
      </c>
      <c r="C155" t="s">
        <v>15</v>
      </c>
      <c r="D155" t="s">
        <v>10</v>
      </c>
      <c r="E155" t="s">
        <v>17</v>
      </c>
      <c r="F155" t="s">
        <v>22</v>
      </c>
      <c r="G155" s="11">
        <v>0.08</v>
      </c>
      <c r="H155" t="b">
        <f>(COUNTIFS(OrderLines!$A:$A,A155,OrderLines!$F:$F,"Beverage")&gt;0)</f>
        <v>1</v>
      </c>
      <c r="I155">
        <f>SUMIFS(OrderLines!$I:$I,OrderLines!$A:$A,A155)</f>
        <v>343.7396</v>
      </c>
      <c r="J155" t="str">
        <f>IF(AND(COUNTIFS(OrderLines!$A$2:$A$925,A155,OrderLines!$F$2:$F$925,"Hot Meal")&gt;0,COUNTIFS(OrderLines!$A$2:$A$925,A155,OrderLines!$F$2:$F$925,"Beverage")&gt;0),"Combo","Single")</f>
        <v>Single</v>
      </c>
      <c r="K155" t="str">
        <f>IF(SUMPRODUCT((OrderLines!$A$2:$A$925=A155)*OrderLines!$C$2:$C$925*OrderLines!$D$2:$D$925)*G155&gt;40,"HighDisc","OK")</f>
        <v>OK</v>
      </c>
    </row>
    <row r="156" spans="1:11" x14ac:dyDescent="0.3">
      <c r="A156" t="s">
        <v>192</v>
      </c>
      <c r="B156" s="2">
        <v>45871.270752314813</v>
      </c>
      <c r="C156" t="s">
        <v>15</v>
      </c>
      <c r="D156" t="s">
        <v>10</v>
      </c>
      <c r="E156" t="s">
        <v>21</v>
      </c>
      <c r="F156" t="s">
        <v>12</v>
      </c>
      <c r="G156" s="11">
        <v>0.02</v>
      </c>
      <c r="H156" t="b">
        <f>(COUNTIFS(OrderLines!$A:$A,A156,OrderLines!$F:$F,"Beverage")&gt;0)</f>
        <v>0</v>
      </c>
      <c r="I156">
        <f>SUMIFS(OrderLines!$I:$I,OrderLines!$A:$A,A156)</f>
        <v>791.97720000000004</v>
      </c>
      <c r="J156" t="str">
        <f>IF(AND(COUNTIFS(OrderLines!$A$2:$A$925,A156,OrderLines!$F$2:$F$925,"Hot Meal")&gt;0,COUNTIFS(OrderLines!$A$2:$A$925,A156,OrderLines!$F$2:$F$925,"Beverage")&gt;0),"Combo","Single")</f>
        <v>Single</v>
      </c>
      <c r="K156" t="str">
        <f>IF(SUMPRODUCT((OrderLines!$A$2:$A$925=A156)*OrderLines!$C$2:$C$925*OrderLines!$D$2:$D$925)*G156&gt;40,"HighDisc","OK")</f>
        <v>OK</v>
      </c>
    </row>
    <row r="157" spans="1:11" x14ac:dyDescent="0.3">
      <c r="A157" t="s">
        <v>193</v>
      </c>
      <c r="B157" s="2">
        <v>45878.130046296297</v>
      </c>
      <c r="C157" t="s">
        <v>9</v>
      </c>
      <c r="D157" t="s">
        <v>28</v>
      </c>
      <c r="E157" t="s">
        <v>21</v>
      </c>
      <c r="F157" t="s">
        <v>12</v>
      </c>
      <c r="G157" s="11">
        <v>7.0000000000000007E-2</v>
      </c>
      <c r="H157" t="b">
        <f>(COUNTIFS(OrderLines!$A:$A,A157,OrderLines!$F:$F,"Beverage")&gt;0)</f>
        <v>1</v>
      </c>
      <c r="I157">
        <f>SUMIFS(OrderLines!$I:$I,OrderLines!$A:$A,A157)</f>
        <v>939.76499999999999</v>
      </c>
      <c r="J157" t="str">
        <f>IF(AND(COUNTIFS(OrderLines!$A$2:$A$925,A157,OrderLines!$F$2:$F$925,"Hot Meal")&gt;0,COUNTIFS(OrderLines!$A$2:$A$925,A157,OrderLines!$F$2:$F$925,"Beverage")&gt;0),"Combo","Single")</f>
        <v>Combo</v>
      </c>
      <c r="K157" t="str">
        <f>IF(SUMPRODUCT((OrderLines!$A$2:$A$925=A157)*OrderLines!$C$2:$C$925*OrderLines!$D$2:$D$925)*G157&gt;40,"HighDisc","OK")</f>
        <v>HighDisc</v>
      </c>
    </row>
    <row r="158" spans="1:11" x14ac:dyDescent="0.3">
      <c r="A158" t="s">
        <v>194</v>
      </c>
      <c r="B158" s="2">
        <v>45869.786585648151</v>
      </c>
      <c r="C158" t="s">
        <v>15</v>
      </c>
      <c r="D158" t="s">
        <v>16</v>
      </c>
      <c r="E158" t="s">
        <v>17</v>
      </c>
      <c r="F158" t="s">
        <v>18</v>
      </c>
      <c r="G158" s="11">
        <v>0.06</v>
      </c>
      <c r="H158" t="b">
        <f>(COUNTIFS(OrderLines!$A:$A,A158,OrderLines!$F:$F,"Beverage")&gt;0)</f>
        <v>0</v>
      </c>
      <c r="I158">
        <f>SUMIFS(OrderLines!$I:$I,OrderLines!$A:$A,A158)</f>
        <v>860.27859999999998</v>
      </c>
      <c r="J158" t="str">
        <f>IF(AND(COUNTIFS(OrderLines!$A$2:$A$925,A158,OrderLines!$F$2:$F$925,"Hot Meal")&gt;0,COUNTIFS(OrderLines!$A$2:$A$925,A158,OrderLines!$F$2:$F$925,"Beverage")&gt;0),"Combo","Single")</f>
        <v>Single</v>
      </c>
      <c r="K158" t="str">
        <f>IF(SUMPRODUCT((OrderLines!$A$2:$A$925=A158)*OrderLines!$C$2:$C$925*OrderLines!$D$2:$D$925)*G158&gt;40,"HighDisc","OK")</f>
        <v>HighDisc</v>
      </c>
    </row>
    <row r="159" spans="1:11" x14ac:dyDescent="0.3">
      <c r="A159" t="s">
        <v>195</v>
      </c>
      <c r="B159" s="2">
        <v>45889.212337962963</v>
      </c>
      <c r="C159" t="s">
        <v>27</v>
      </c>
      <c r="D159" t="s">
        <v>10</v>
      </c>
      <c r="E159" t="s">
        <v>11</v>
      </c>
      <c r="F159" t="s">
        <v>12</v>
      </c>
      <c r="G159" s="11">
        <v>0.01</v>
      </c>
      <c r="H159" t="b">
        <f>(COUNTIFS(OrderLines!$A:$A,A159,OrderLines!$F:$F,"Beverage")&gt;0)</f>
        <v>1</v>
      </c>
      <c r="I159">
        <f>SUMIFS(OrderLines!$I:$I,OrderLines!$A:$A,A159)</f>
        <v>334.40219999999999</v>
      </c>
      <c r="J159" t="str">
        <f>IF(AND(COUNTIFS(OrderLines!$A$2:$A$925,A159,OrderLines!$F$2:$F$925,"Hot Meal")&gt;0,COUNTIFS(OrderLines!$A$2:$A$925,A159,OrderLines!$F$2:$F$925,"Beverage")&gt;0),"Combo","Single")</f>
        <v>Single</v>
      </c>
      <c r="K159" t="str">
        <f>IF(SUMPRODUCT((OrderLines!$A$2:$A$925=A159)*OrderLines!$C$2:$C$925*OrderLines!$D$2:$D$925)*G159&gt;40,"HighDisc","OK")</f>
        <v>OK</v>
      </c>
    </row>
    <row r="160" spans="1:11" x14ac:dyDescent="0.3">
      <c r="A160" t="s">
        <v>196</v>
      </c>
      <c r="B160" s="2">
        <v>45879.372349537043</v>
      </c>
      <c r="C160" t="s">
        <v>27</v>
      </c>
      <c r="D160" t="s">
        <v>28</v>
      </c>
      <c r="E160" t="s">
        <v>11</v>
      </c>
      <c r="F160" t="s">
        <v>12</v>
      </c>
      <c r="G160" s="11">
        <v>7.0000000000000007E-2</v>
      </c>
      <c r="H160" t="b">
        <f>(COUNTIFS(OrderLines!$A:$A,A160,OrderLines!$F:$F,"Beverage")&gt;0)</f>
        <v>0</v>
      </c>
      <c r="I160">
        <f>SUMIFS(OrderLines!$I:$I,OrderLines!$A:$A,A160)</f>
        <v>228.86369999999999</v>
      </c>
      <c r="J160" t="str">
        <f>IF(AND(COUNTIFS(OrderLines!$A$2:$A$925,A160,OrderLines!$F$2:$F$925,"Hot Meal")&gt;0,COUNTIFS(OrderLines!$A$2:$A$925,A160,OrderLines!$F$2:$F$925,"Beverage")&gt;0),"Combo","Single")</f>
        <v>Single</v>
      </c>
      <c r="K160" t="str">
        <f>IF(SUMPRODUCT((OrderLines!$A$2:$A$925=A160)*OrderLines!$C$2:$C$925*OrderLines!$D$2:$D$925)*G160&gt;40,"HighDisc","OK")</f>
        <v>OK</v>
      </c>
    </row>
    <row r="161" spans="1:11" x14ac:dyDescent="0.3">
      <c r="A161" t="s">
        <v>197</v>
      </c>
      <c r="B161" s="2">
        <v>45887.648877314823</v>
      </c>
      <c r="C161" t="s">
        <v>9</v>
      </c>
      <c r="D161" t="s">
        <v>16</v>
      </c>
      <c r="E161" t="s">
        <v>17</v>
      </c>
      <c r="F161" t="s">
        <v>22</v>
      </c>
      <c r="G161" s="11">
        <v>0.08</v>
      </c>
      <c r="H161" t="b">
        <f>(COUNTIFS(OrderLines!$A:$A,A161,OrderLines!$F:$F,"Beverage")&gt;0)</f>
        <v>0</v>
      </c>
      <c r="I161">
        <f>SUMIFS(OrderLines!$I:$I,OrderLines!$A:$A,A161)</f>
        <v>314.32720000000006</v>
      </c>
      <c r="J161" t="str">
        <f>IF(AND(COUNTIFS(OrderLines!$A$2:$A$925,A161,OrderLines!$F$2:$F$925,"Hot Meal")&gt;0,COUNTIFS(OrderLines!$A$2:$A$925,A161,OrderLines!$F$2:$F$925,"Beverage")&gt;0),"Combo","Single")</f>
        <v>Single</v>
      </c>
      <c r="K161" t="str">
        <f>IF(SUMPRODUCT((OrderLines!$A$2:$A$925=A161)*OrderLines!$C$2:$C$925*OrderLines!$D$2:$D$925)*G161&gt;40,"HighDisc","OK")</f>
        <v>OK</v>
      </c>
    </row>
    <row r="162" spans="1:11" x14ac:dyDescent="0.3">
      <c r="A162" t="s">
        <v>198</v>
      </c>
      <c r="B162" s="2">
        <v>45865.178587962961</v>
      </c>
      <c r="C162" t="s">
        <v>9</v>
      </c>
      <c r="D162" t="s">
        <v>28</v>
      </c>
      <c r="E162" t="s">
        <v>21</v>
      </c>
      <c r="F162" t="s">
        <v>12</v>
      </c>
      <c r="G162" s="11">
        <v>0.1</v>
      </c>
      <c r="H162" t="b">
        <f>(COUNTIFS(OrderLines!$A:$A,A162,OrderLines!$F:$F,"Beverage")&gt;0)</f>
        <v>1</v>
      </c>
      <c r="I162">
        <f>SUMIFS(OrderLines!$I:$I,OrderLines!$A:$A,A162)</f>
        <v>636.94800000000009</v>
      </c>
      <c r="J162" t="str">
        <f>IF(AND(COUNTIFS(OrderLines!$A$2:$A$925,A162,OrderLines!$F$2:$F$925,"Hot Meal")&gt;0,COUNTIFS(OrderLines!$A$2:$A$925,A162,OrderLines!$F$2:$F$925,"Beverage")&gt;0),"Combo","Single")</f>
        <v>Combo</v>
      </c>
      <c r="K162" t="str">
        <f>IF(SUMPRODUCT((OrderLines!$A$2:$A$925=A162)*OrderLines!$C$2:$C$925*OrderLines!$D$2:$D$925)*G162&gt;40,"HighDisc","OK")</f>
        <v>HighDisc</v>
      </c>
    </row>
    <row r="163" spans="1:11" x14ac:dyDescent="0.3">
      <c r="A163" t="s">
        <v>199</v>
      </c>
      <c r="B163" s="2">
        <v>45886.310844907413</v>
      </c>
      <c r="C163" t="s">
        <v>27</v>
      </c>
      <c r="D163" t="s">
        <v>28</v>
      </c>
      <c r="E163" t="s">
        <v>11</v>
      </c>
      <c r="F163" t="s">
        <v>12</v>
      </c>
      <c r="G163" s="11">
        <v>0.1</v>
      </c>
      <c r="H163" t="b">
        <f>(COUNTIFS(OrderLines!$A:$A,A163,OrderLines!$F:$F,"Beverage")&gt;0)</f>
        <v>0</v>
      </c>
      <c r="I163">
        <f>SUMIFS(OrderLines!$I:$I,OrderLines!$A:$A,A163)</f>
        <v>406.53899999999999</v>
      </c>
      <c r="J163" t="str">
        <f>IF(AND(COUNTIFS(OrderLines!$A$2:$A$925,A163,OrderLines!$F$2:$F$925,"Hot Meal")&gt;0,COUNTIFS(OrderLines!$A$2:$A$925,A163,OrderLines!$F$2:$F$925,"Beverage")&gt;0),"Combo","Single")</f>
        <v>Single</v>
      </c>
      <c r="K163" t="str">
        <f>IF(SUMPRODUCT((OrderLines!$A$2:$A$925=A163)*OrderLines!$C$2:$C$925*OrderLines!$D$2:$D$925)*G163&gt;40,"HighDisc","OK")</f>
        <v>HighDisc</v>
      </c>
    </row>
    <row r="164" spans="1:11" x14ac:dyDescent="0.3">
      <c r="A164" t="s">
        <v>200</v>
      </c>
      <c r="B164" s="2">
        <v>45854.62699074074</v>
      </c>
      <c r="C164" t="s">
        <v>15</v>
      </c>
      <c r="D164" t="s">
        <v>10</v>
      </c>
      <c r="E164" t="s">
        <v>17</v>
      </c>
      <c r="F164" t="s">
        <v>22</v>
      </c>
      <c r="G164" s="11">
        <v>0</v>
      </c>
      <c r="H164" t="b">
        <f>(COUNTIFS(OrderLines!$A:$A,A164,OrderLines!$F:$F,"Beverage")&gt;0)</f>
        <v>0</v>
      </c>
      <c r="I164">
        <f>SUMIFS(OrderLines!$I:$I,OrderLines!$A:$A,A164)</f>
        <v>633.67000000000007</v>
      </c>
      <c r="J164" t="str">
        <f>IF(AND(COUNTIFS(OrderLines!$A$2:$A$925,A164,OrderLines!$F$2:$F$925,"Hot Meal")&gt;0,COUNTIFS(OrderLines!$A$2:$A$925,A164,OrderLines!$F$2:$F$925,"Beverage")&gt;0),"Combo","Single")</f>
        <v>Single</v>
      </c>
      <c r="K164" t="str">
        <f>IF(SUMPRODUCT((OrderLines!$A$2:$A$925=A164)*OrderLines!$C$2:$C$925*OrderLines!$D$2:$D$925)*G164&gt;40,"HighDisc","OK")</f>
        <v>OK</v>
      </c>
    </row>
    <row r="165" spans="1:11" x14ac:dyDescent="0.3">
      <c r="A165" t="s">
        <v>201</v>
      </c>
      <c r="B165" s="2">
        <v>45878.861956018518</v>
      </c>
      <c r="C165" t="s">
        <v>27</v>
      </c>
      <c r="D165" t="s">
        <v>28</v>
      </c>
      <c r="E165" t="s">
        <v>17</v>
      </c>
      <c r="F165" t="s">
        <v>18</v>
      </c>
      <c r="G165" s="11">
        <v>0.02</v>
      </c>
      <c r="H165" t="b">
        <f>(COUNTIFS(OrderLines!$A:$A,A165,OrderLines!$F:$F,"Beverage")&gt;0)</f>
        <v>0</v>
      </c>
      <c r="I165">
        <f>SUMIFS(OrderLines!$I:$I,OrderLines!$A:$A,A165)</f>
        <v>194.18700000000001</v>
      </c>
      <c r="J165" t="str">
        <f>IF(AND(COUNTIFS(OrderLines!$A$2:$A$925,A165,OrderLines!$F$2:$F$925,"Hot Meal")&gt;0,COUNTIFS(OrderLines!$A$2:$A$925,A165,OrderLines!$F$2:$F$925,"Beverage")&gt;0),"Combo","Single")</f>
        <v>Single</v>
      </c>
      <c r="K165" t="str">
        <f>IF(SUMPRODUCT((OrderLines!$A$2:$A$925=A165)*OrderLines!$C$2:$C$925*OrderLines!$D$2:$D$925)*G165&gt;40,"HighDisc","OK")</f>
        <v>OK</v>
      </c>
    </row>
    <row r="166" spans="1:11" x14ac:dyDescent="0.3">
      <c r="A166" t="s">
        <v>202</v>
      </c>
      <c r="B166" s="2">
        <v>45850.654826388891</v>
      </c>
      <c r="C166" t="s">
        <v>9</v>
      </c>
      <c r="D166" t="s">
        <v>28</v>
      </c>
      <c r="E166" t="s">
        <v>21</v>
      </c>
      <c r="F166" t="s">
        <v>22</v>
      </c>
      <c r="G166" s="11">
        <v>0.08</v>
      </c>
      <c r="H166" t="b">
        <f>(COUNTIFS(OrderLines!$A:$A,A166,OrderLines!$F:$F,"Beverage")&gt;0)</f>
        <v>1</v>
      </c>
      <c r="I166">
        <f>SUMIFS(OrderLines!$I:$I,OrderLines!$A:$A,A166)</f>
        <v>146.00400000000002</v>
      </c>
      <c r="J166" t="str">
        <f>IF(AND(COUNTIFS(OrderLines!$A$2:$A$925,A166,OrderLines!$F$2:$F$925,"Hot Meal")&gt;0,COUNTIFS(OrderLines!$A$2:$A$925,A166,OrderLines!$F$2:$F$925,"Beverage")&gt;0),"Combo","Single")</f>
        <v>Single</v>
      </c>
      <c r="K166" t="str">
        <f>IF(SUMPRODUCT((OrderLines!$A$2:$A$925=A166)*OrderLines!$C$2:$C$925*OrderLines!$D$2:$D$925)*G166&gt;40,"HighDisc","OK")</f>
        <v>OK</v>
      </c>
    </row>
    <row r="167" spans="1:11" x14ac:dyDescent="0.3">
      <c r="A167" t="s">
        <v>203</v>
      </c>
      <c r="B167" s="2">
        <v>45888.6565625</v>
      </c>
      <c r="C167" t="s">
        <v>9</v>
      </c>
      <c r="D167" t="s">
        <v>16</v>
      </c>
      <c r="E167" t="s">
        <v>21</v>
      </c>
      <c r="F167" t="s">
        <v>22</v>
      </c>
      <c r="G167" s="11">
        <v>0.08</v>
      </c>
      <c r="H167" t="b">
        <f>(COUNTIFS(OrderLines!$A:$A,A167,OrderLines!$F:$F,"Beverage")&gt;0)</f>
        <v>1</v>
      </c>
      <c r="I167">
        <f>SUMIFS(OrderLines!$I:$I,OrderLines!$A:$A,A167)</f>
        <v>91.024799999999999</v>
      </c>
      <c r="J167" t="str">
        <f>IF(AND(COUNTIFS(OrderLines!$A$2:$A$925,A167,OrderLines!$F$2:$F$925,"Hot Meal")&gt;0,COUNTIFS(OrderLines!$A$2:$A$925,A167,OrderLines!$F$2:$F$925,"Beverage")&gt;0),"Combo","Single")</f>
        <v>Single</v>
      </c>
      <c r="K167" t="str">
        <f>IF(SUMPRODUCT((OrderLines!$A$2:$A$925=A167)*OrderLines!$C$2:$C$925*OrderLines!$D$2:$D$925)*G167&gt;40,"HighDisc","OK")</f>
        <v>OK</v>
      </c>
    </row>
    <row r="168" spans="1:11" x14ac:dyDescent="0.3">
      <c r="A168" t="s">
        <v>204</v>
      </c>
      <c r="B168" s="2">
        <v>45885.097986111112</v>
      </c>
      <c r="C168" t="s">
        <v>27</v>
      </c>
      <c r="D168" t="s">
        <v>16</v>
      </c>
      <c r="E168" t="s">
        <v>11</v>
      </c>
      <c r="F168" t="s">
        <v>12</v>
      </c>
      <c r="G168" s="11">
        <v>0.08</v>
      </c>
      <c r="H168" t="b">
        <f>(COUNTIFS(OrderLines!$A:$A,A168,OrderLines!$F:$F,"Beverage")&gt;0)</f>
        <v>1</v>
      </c>
      <c r="I168">
        <f>SUMIFS(OrderLines!$I:$I,OrderLines!$A:$A,A168)</f>
        <v>37.002400000000002</v>
      </c>
      <c r="J168" t="str">
        <f>IF(AND(COUNTIFS(OrderLines!$A$2:$A$925,A168,OrderLines!$F$2:$F$925,"Hot Meal")&gt;0,COUNTIFS(OrderLines!$A$2:$A$925,A168,OrderLines!$F$2:$F$925,"Beverage")&gt;0),"Combo","Single")</f>
        <v>Single</v>
      </c>
      <c r="K168" t="str">
        <f>IF(SUMPRODUCT((OrderLines!$A$2:$A$925=A168)*OrderLines!$C$2:$C$925*OrderLines!$D$2:$D$925)*G168&gt;40,"HighDisc","OK")</f>
        <v>OK</v>
      </c>
    </row>
    <row r="169" spans="1:11" x14ac:dyDescent="0.3">
      <c r="A169" t="s">
        <v>205</v>
      </c>
      <c r="B169" s="2">
        <v>45876.4925</v>
      </c>
      <c r="C169" t="s">
        <v>27</v>
      </c>
      <c r="D169" t="s">
        <v>10</v>
      </c>
      <c r="E169" t="s">
        <v>11</v>
      </c>
      <c r="F169" t="s">
        <v>22</v>
      </c>
      <c r="G169" s="11">
        <v>0.21</v>
      </c>
      <c r="H169" t="b">
        <f>(COUNTIFS(OrderLines!$A:$A,A169,OrderLines!$F:$F,"Beverage")&gt;0)</f>
        <v>0</v>
      </c>
      <c r="I169">
        <f>SUMIFS(OrderLines!$I:$I,OrderLines!$A:$A,A169)</f>
        <v>331.4366</v>
      </c>
      <c r="J169" t="str">
        <f>IF(AND(COUNTIFS(OrderLines!$A$2:$A$925,A169,OrderLines!$F$2:$F$925,"Hot Meal")&gt;0,COUNTIFS(OrderLines!$A$2:$A$925,A169,OrderLines!$F$2:$F$925,"Beverage")&gt;0),"Combo","Single")</f>
        <v>Single</v>
      </c>
      <c r="K169" t="str">
        <f>IF(SUMPRODUCT((OrderLines!$A$2:$A$925=A169)*OrderLines!$C$2:$C$925*OrderLines!$D$2:$D$925)*G169&gt;40,"HighDisc","OK")</f>
        <v>HighDisc</v>
      </c>
    </row>
    <row r="170" spans="1:11" x14ac:dyDescent="0.3">
      <c r="A170" t="s">
        <v>206</v>
      </c>
      <c r="B170" s="2">
        <v>45846.027881944443</v>
      </c>
      <c r="C170" t="s">
        <v>15</v>
      </c>
      <c r="D170" t="s">
        <v>16</v>
      </c>
      <c r="E170" t="s">
        <v>21</v>
      </c>
      <c r="F170" t="s">
        <v>12</v>
      </c>
      <c r="G170" s="11">
        <v>0.08</v>
      </c>
      <c r="H170" t="b">
        <f>(COUNTIFS(OrderLines!$A:$A,A170,OrderLines!$F:$F,"Beverage")&gt;0)</f>
        <v>1</v>
      </c>
      <c r="I170">
        <f>SUMIFS(OrderLines!$I:$I,OrderLines!$A:$A,A170)</f>
        <v>318.40280000000001</v>
      </c>
      <c r="J170" t="str">
        <f>IF(AND(COUNTIFS(OrderLines!$A$2:$A$925,A170,OrderLines!$F$2:$F$925,"Hot Meal")&gt;0,COUNTIFS(OrderLines!$A$2:$A$925,A170,OrderLines!$F$2:$F$925,"Beverage")&gt;0),"Combo","Single")</f>
        <v>Combo</v>
      </c>
      <c r="K170" t="str">
        <f>IF(SUMPRODUCT((OrderLines!$A$2:$A$925=A170)*OrderLines!$C$2:$C$925*OrderLines!$D$2:$D$925)*G170&gt;40,"HighDisc","OK")</f>
        <v>OK</v>
      </c>
    </row>
    <row r="171" spans="1:11" x14ac:dyDescent="0.3">
      <c r="A171" t="s">
        <v>207</v>
      </c>
      <c r="B171" s="2">
        <v>45865.189884259264</v>
      </c>
      <c r="C171" t="s">
        <v>27</v>
      </c>
      <c r="D171" t="s">
        <v>16</v>
      </c>
      <c r="E171" t="s">
        <v>11</v>
      </c>
      <c r="F171" t="s">
        <v>12</v>
      </c>
      <c r="G171" s="11">
        <v>0.11</v>
      </c>
      <c r="H171" t="b">
        <f>(COUNTIFS(OrderLines!$A:$A,A171,OrderLines!$F:$F,"Beverage")&gt;0)</f>
        <v>1</v>
      </c>
      <c r="I171">
        <f>SUMIFS(OrderLines!$I:$I,OrderLines!$A:$A,A171)</f>
        <v>153.614</v>
      </c>
      <c r="J171" t="str">
        <f>IF(AND(COUNTIFS(OrderLines!$A$2:$A$925,A171,OrderLines!$F$2:$F$925,"Hot Meal")&gt;0,COUNTIFS(OrderLines!$A$2:$A$925,A171,OrderLines!$F$2:$F$925,"Beverage")&gt;0),"Combo","Single")</f>
        <v>Single</v>
      </c>
      <c r="K171" t="str">
        <f>IF(SUMPRODUCT((OrderLines!$A$2:$A$925=A171)*OrderLines!$C$2:$C$925*OrderLines!$D$2:$D$925)*G171&gt;40,"HighDisc","OK")</f>
        <v>OK</v>
      </c>
    </row>
    <row r="172" spans="1:11" x14ac:dyDescent="0.3">
      <c r="A172" t="s">
        <v>208</v>
      </c>
      <c r="B172" s="2">
        <v>45896.235995370371</v>
      </c>
      <c r="C172" t="s">
        <v>9</v>
      </c>
      <c r="D172" t="s">
        <v>10</v>
      </c>
      <c r="E172" t="s">
        <v>21</v>
      </c>
      <c r="F172" t="s">
        <v>12</v>
      </c>
      <c r="G172" s="11">
        <v>0.1</v>
      </c>
      <c r="H172" t="b">
        <f>(COUNTIFS(OrderLines!$A:$A,A172,OrderLines!$F:$F,"Beverage")&gt;0)</f>
        <v>0</v>
      </c>
      <c r="I172">
        <f>SUMIFS(OrderLines!$I:$I,OrderLines!$A:$A,A172)</f>
        <v>502.74000000000007</v>
      </c>
      <c r="J172" t="str">
        <f>IF(AND(COUNTIFS(OrderLines!$A$2:$A$925,A172,OrderLines!$F$2:$F$925,"Hot Meal")&gt;0,COUNTIFS(OrderLines!$A$2:$A$925,A172,OrderLines!$F$2:$F$925,"Beverage")&gt;0),"Combo","Single")</f>
        <v>Single</v>
      </c>
      <c r="K172" t="str">
        <f>IF(SUMPRODUCT((OrderLines!$A$2:$A$925=A172)*OrderLines!$C$2:$C$925*OrderLines!$D$2:$D$925)*G172&gt;40,"HighDisc","OK")</f>
        <v>HighDisc</v>
      </c>
    </row>
    <row r="173" spans="1:11" x14ac:dyDescent="0.3">
      <c r="A173" t="s">
        <v>209</v>
      </c>
      <c r="B173" s="2">
        <v>45882.605451388888</v>
      </c>
      <c r="C173" t="s">
        <v>9</v>
      </c>
      <c r="D173" t="s">
        <v>16</v>
      </c>
      <c r="E173" t="s">
        <v>21</v>
      </c>
      <c r="F173" t="s">
        <v>22</v>
      </c>
      <c r="G173" s="11">
        <v>0.09</v>
      </c>
      <c r="H173" t="b">
        <f>(COUNTIFS(OrderLines!$A:$A,A173,OrderLines!$F:$F,"Beverage")&gt;0)</f>
        <v>0</v>
      </c>
      <c r="I173">
        <f>SUMIFS(OrderLines!$I:$I,OrderLines!$A:$A,A173)</f>
        <v>414.25020000000006</v>
      </c>
      <c r="J173" t="str">
        <f>IF(AND(COUNTIFS(OrderLines!$A$2:$A$925,A173,OrderLines!$F$2:$F$925,"Hot Meal")&gt;0,COUNTIFS(OrderLines!$A$2:$A$925,A173,OrderLines!$F$2:$F$925,"Beverage")&gt;0),"Combo","Single")</f>
        <v>Single</v>
      </c>
      <c r="K173" t="str">
        <f>IF(SUMPRODUCT((OrderLines!$A$2:$A$925=A173)*OrderLines!$C$2:$C$925*OrderLines!$D$2:$D$925)*G173&gt;40,"HighDisc","OK")</f>
        <v>HighDisc</v>
      </c>
    </row>
    <row r="174" spans="1:11" x14ac:dyDescent="0.3">
      <c r="A174" t="s">
        <v>210</v>
      </c>
      <c r="B174" s="2">
        <v>45892.835856481477</v>
      </c>
      <c r="C174" t="s">
        <v>9</v>
      </c>
      <c r="D174" t="s">
        <v>16</v>
      </c>
      <c r="E174" t="s">
        <v>21</v>
      </c>
      <c r="F174" t="s">
        <v>18</v>
      </c>
      <c r="G174" s="11">
        <v>0.05</v>
      </c>
      <c r="H174" t="b">
        <f>(COUNTIFS(OrderLines!$A:$A,A174,OrderLines!$F:$F,"Beverage")&gt;0)</f>
        <v>0</v>
      </c>
      <c r="I174">
        <f>SUMIFS(OrderLines!$I:$I,OrderLines!$A:$A,A174)</f>
        <v>488.12900000000002</v>
      </c>
      <c r="J174" t="str">
        <f>IF(AND(COUNTIFS(OrderLines!$A$2:$A$925,A174,OrderLines!$F$2:$F$925,"Hot Meal")&gt;0,COUNTIFS(OrderLines!$A$2:$A$925,A174,OrderLines!$F$2:$F$925,"Beverage")&gt;0),"Combo","Single")</f>
        <v>Single</v>
      </c>
      <c r="K174" t="str">
        <f>IF(SUMPRODUCT((OrderLines!$A$2:$A$925=A174)*OrderLines!$C$2:$C$925*OrderLines!$D$2:$D$925)*G174&gt;40,"HighDisc","OK")</f>
        <v>OK</v>
      </c>
    </row>
    <row r="175" spans="1:11" x14ac:dyDescent="0.3">
      <c r="A175" t="s">
        <v>211</v>
      </c>
      <c r="B175" s="2">
        <v>45857.566319444442</v>
      </c>
      <c r="C175" t="s">
        <v>9</v>
      </c>
      <c r="D175" t="s">
        <v>28</v>
      </c>
      <c r="E175" t="s">
        <v>11</v>
      </c>
      <c r="F175" t="s">
        <v>22</v>
      </c>
      <c r="G175" s="11">
        <v>0.09</v>
      </c>
      <c r="H175" t="b">
        <f>(COUNTIFS(OrderLines!$A:$A,A175,OrderLines!$F:$F,"Beverage")&gt;0)</f>
        <v>1</v>
      </c>
      <c r="I175">
        <f>SUMIFS(OrderLines!$I:$I,OrderLines!$A:$A,A175)</f>
        <v>243.8982</v>
      </c>
      <c r="J175" t="str">
        <f>IF(AND(COUNTIFS(OrderLines!$A$2:$A$925,A175,OrderLines!$F$2:$F$925,"Hot Meal")&gt;0,COUNTIFS(OrderLines!$A$2:$A$925,A175,OrderLines!$F$2:$F$925,"Beverage")&gt;0),"Combo","Single")</f>
        <v>Single</v>
      </c>
      <c r="K175" t="str">
        <f>IF(SUMPRODUCT((OrderLines!$A$2:$A$925=A175)*OrderLines!$C$2:$C$925*OrderLines!$D$2:$D$925)*G175&gt;40,"HighDisc","OK")</f>
        <v>OK</v>
      </c>
    </row>
    <row r="176" spans="1:11" x14ac:dyDescent="0.3">
      <c r="A176" t="s">
        <v>212</v>
      </c>
      <c r="B176" s="2">
        <v>45861.926655092589</v>
      </c>
      <c r="C176" t="s">
        <v>15</v>
      </c>
      <c r="D176" t="s">
        <v>28</v>
      </c>
      <c r="E176" t="s">
        <v>21</v>
      </c>
      <c r="F176" t="s">
        <v>18</v>
      </c>
      <c r="G176" s="11">
        <v>0.03</v>
      </c>
      <c r="H176" t="b">
        <f>(COUNTIFS(OrderLines!$A:$A,A176,OrderLines!$F:$F,"Beverage")&gt;0)</f>
        <v>0</v>
      </c>
      <c r="I176">
        <f>SUMIFS(OrderLines!$I:$I,OrderLines!$A:$A,A176)</f>
        <v>318.15030000000002</v>
      </c>
      <c r="J176" t="str">
        <f>IF(AND(COUNTIFS(OrderLines!$A$2:$A$925,A176,OrderLines!$F$2:$F$925,"Hot Meal")&gt;0,COUNTIFS(OrderLines!$A$2:$A$925,A176,OrderLines!$F$2:$F$925,"Beverage")&gt;0),"Combo","Single")</f>
        <v>Single</v>
      </c>
      <c r="K176" t="str">
        <f>IF(SUMPRODUCT((OrderLines!$A$2:$A$925=A176)*OrderLines!$C$2:$C$925*OrderLines!$D$2:$D$925)*G176&gt;40,"HighDisc","OK")</f>
        <v>OK</v>
      </c>
    </row>
    <row r="177" spans="1:11" x14ac:dyDescent="0.3">
      <c r="A177" t="s">
        <v>213</v>
      </c>
      <c r="B177" s="2">
        <v>45876.263865740737</v>
      </c>
      <c r="C177" t="s">
        <v>15</v>
      </c>
      <c r="D177" t="s">
        <v>10</v>
      </c>
      <c r="E177" t="s">
        <v>11</v>
      </c>
      <c r="F177" t="s">
        <v>12</v>
      </c>
      <c r="G177" s="11">
        <v>0.05</v>
      </c>
      <c r="H177" t="b">
        <f>(COUNTIFS(OrderLines!$A:$A,A177,OrderLines!$F:$F,"Beverage")&gt;0)</f>
        <v>1</v>
      </c>
      <c r="I177">
        <f>SUMIFS(OrderLines!$I:$I,OrderLines!$A:$A,A177)</f>
        <v>479.39850000000001</v>
      </c>
      <c r="J177" t="str">
        <f>IF(AND(COUNTIFS(OrderLines!$A$2:$A$925,A177,OrderLines!$F$2:$F$925,"Hot Meal")&gt;0,COUNTIFS(OrderLines!$A$2:$A$925,A177,OrderLines!$F$2:$F$925,"Beverage")&gt;0),"Combo","Single")</f>
        <v>Combo</v>
      </c>
      <c r="K177" t="str">
        <f>IF(SUMPRODUCT((OrderLines!$A$2:$A$925=A177)*OrderLines!$C$2:$C$925*OrderLines!$D$2:$D$925)*G177&gt;40,"HighDisc","OK")</f>
        <v>OK</v>
      </c>
    </row>
    <row r="178" spans="1:11" x14ac:dyDescent="0.3">
      <c r="A178" t="s">
        <v>214</v>
      </c>
      <c r="B178" s="2">
        <v>45887.341631944437</v>
      </c>
      <c r="C178" t="s">
        <v>27</v>
      </c>
      <c r="D178" t="s">
        <v>28</v>
      </c>
      <c r="E178" t="s">
        <v>11</v>
      </c>
      <c r="F178" t="s">
        <v>12</v>
      </c>
      <c r="G178" s="11">
        <v>0.04</v>
      </c>
      <c r="H178" t="b">
        <f>(COUNTIFS(OrderLines!$A:$A,A178,OrderLines!$F:$F,"Beverage")&gt;0)</f>
        <v>1</v>
      </c>
      <c r="I178">
        <f>SUMIFS(OrderLines!$I:$I,OrderLines!$A:$A,A178)</f>
        <v>145.91039999999998</v>
      </c>
      <c r="J178" t="str">
        <f>IF(AND(COUNTIFS(OrderLines!$A$2:$A$925,A178,OrderLines!$F$2:$F$925,"Hot Meal")&gt;0,COUNTIFS(OrderLines!$A$2:$A$925,A178,OrderLines!$F$2:$F$925,"Beverage")&gt;0),"Combo","Single")</f>
        <v>Single</v>
      </c>
      <c r="K178" t="str">
        <f>IF(SUMPRODUCT((OrderLines!$A$2:$A$925=A178)*OrderLines!$C$2:$C$925*OrderLines!$D$2:$D$925)*G178&gt;40,"HighDisc","OK")</f>
        <v>OK</v>
      </c>
    </row>
    <row r="179" spans="1:11" x14ac:dyDescent="0.3">
      <c r="A179" t="s">
        <v>215</v>
      </c>
      <c r="B179" s="2">
        <v>45848.994432870371</v>
      </c>
      <c r="C179" t="s">
        <v>15</v>
      </c>
      <c r="D179" t="s">
        <v>28</v>
      </c>
      <c r="E179" t="s">
        <v>11</v>
      </c>
      <c r="F179" t="s">
        <v>18</v>
      </c>
      <c r="G179" s="11">
        <v>0.06</v>
      </c>
      <c r="H179" t="b">
        <f>(COUNTIFS(OrderLines!$A:$A,A179,OrderLines!$F:$F,"Beverage")&gt;0)</f>
        <v>0</v>
      </c>
      <c r="I179">
        <f>SUMIFS(OrderLines!$I:$I,OrderLines!$A:$A,A179)</f>
        <v>976.71639999999991</v>
      </c>
      <c r="J179" t="str">
        <f>IF(AND(COUNTIFS(OrderLines!$A$2:$A$925,A179,OrderLines!$F$2:$F$925,"Hot Meal")&gt;0,COUNTIFS(OrderLines!$A$2:$A$925,A179,OrderLines!$F$2:$F$925,"Beverage")&gt;0),"Combo","Single")</f>
        <v>Single</v>
      </c>
      <c r="K179" t="str">
        <f>IF(SUMPRODUCT((OrderLines!$A$2:$A$925=A179)*OrderLines!$C$2:$C$925*OrderLines!$D$2:$D$925)*G179&gt;40,"HighDisc","OK")</f>
        <v>HighDisc</v>
      </c>
    </row>
    <row r="180" spans="1:11" x14ac:dyDescent="0.3">
      <c r="A180" t="s">
        <v>216</v>
      </c>
      <c r="B180" s="2">
        <v>45840.74009259259</v>
      </c>
      <c r="C180" t="s">
        <v>9</v>
      </c>
      <c r="D180" t="s">
        <v>28</v>
      </c>
      <c r="E180" t="s">
        <v>21</v>
      </c>
      <c r="F180" t="s">
        <v>18</v>
      </c>
      <c r="G180" s="11">
        <v>0.15</v>
      </c>
      <c r="H180" t="b">
        <f>(COUNTIFS(OrderLines!$A:$A,A180,OrderLines!$F:$F,"Beverage")&gt;0)</f>
        <v>0</v>
      </c>
      <c r="I180">
        <f>SUMIFS(OrderLines!$I:$I,OrderLines!$A:$A,A180)</f>
        <v>339.08199999999999</v>
      </c>
      <c r="J180" t="str">
        <f>IF(AND(COUNTIFS(OrderLines!$A$2:$A$925,A180,OrderLines!$F$2:$F$925,"Hot Meal")&gt;0,COUNTIFS(OrderLines!$A$2:$A$925,A180,OrderLines!$F$2:$F$925,"Beverage")&gt;0),"Combo","Single")</f>
        <v>Single</v>
      </c>
      <c r="K180" t="str">
        <f>IF(SUMPRODUCT((OrderLines!$A$2:$A$925=A180)*OrderLines!$C$2:$C$925*OrderLines!$D$2:$D$925)*G180&gt;40,"HighDisc","OK")</f>
        <v>HighDisc</v>
      </c>
    </row>
    <row r="181" spans="1:11" x14ac:dyDescent="0.3">
      <c r="A181" t="s">
        <v>217</v>
      </c>
      <c r="B181" s="2">
        <v>45846.515092592592</v>
      </c>
      <c r="C181" t="s">
        <v>15</v>
      </c>
      <c r="D181" t="s">
        <v>16</v>
      </c>
      <c r="E181" t="s">
        <v>21</v>
      </c>
      <c r="F181" t="s">
        <v>22</v>
      </c>
      <c r="G181" s="11">
        <v>0</v>
      </c>
      <c r="H181" t="b">
        <f>(COUNTIFS(OrderLines!$A:$A,A181,OrderLines!$F:$F,"Beverage")&gt;0)</f>
        <v>1</v>
      </c>
      <c r="I181">
        <f>SUMIFS(OrderLines!$I:$I,OrderLines!$A:$A,A181)</f>
        <v>28.43</v>
      </c>
      <c r="J181" t="str">
        <f>IF(AND(COUNTIFS(OrderLines!$A$2:$A$925,A181,OrderLines!$F$2:$F$925,"Hot Meal")&gt;0,COUNTIFS(OrderLines!$A$2:$A$925,A181,OrderLines!$F$2:$F$925,"Beverage")&gt;0),"Combo","Single")</f>
        <v>Single</v>
      </c>
      <c r="K181" t="str">
        <f>IF(SUMPRODUCT((OrderLines!$A$2:$A$925=A181)*OrderLines!$C$2:$C$925*OrderLines!$D$2:$D$925)*G181&gt;40,"HighDisc","OK")</f>
        <v>OK</v>
      </c>
    </row>
    <row r="182" spans="1:11" x14ac:dyDescent="0.3">
      <c r="A182" t="s">
        <v>218</v>
      </c>
      <c r="B182" s="2">
        <v>45847.047835648147</v>
      </c>
      <c r="C182" t="s">
        <v>15</v>
      </c>
      <c r="D182" t="s">
        <v>10</v>
      </c>
      <c r="E182" t="s">
        <v>11</v>
      </c>
      <c r="F182" t="s">
        <v>12</v>
      </c>
      <c r="G182" s="11">
        <v>0.09</v>
      </c>
      <c r="H182" t="b">
        <f>(COUNTIFS(OrderLines!$A:$A,A182,OrderLines!$F:$F,"Beverage")&gt;0)</f>
        <v>0</v>
      </c>
      <c r="I182">
        <f>SUMIFS(OrderLines!$I:$I,OrderLines!$A:$A,A182)</f>
        <v>1182.9727000000003</v>
      </c>
      <c r="J182" t="str">
        <f>IF(AND(COUNTIFS(OrderLines!$A$2:$A$925,A182,OrderLines!$F$2:$F$925,"Hot Meal")&gt;0,COUNTIFS(OrderLines!$A$2:$A$925,A182,OrderLines!$F$2:$F$925,"Beverage")&gt;0),"Combo","Single")</f>
        <v>Single</v>
      </c>
      <c r="K182" t="str">
        <f>IF(SUMPRODUCT((OrderLines!$A$2:$A$925=A182)*OrderLines!$C$2:$C$925*OrderLines!$D$2:$D$925)*G182&gt;40,"HighDisc","OK")</f>
        <v>HighDisc</v>
      </c>
    </row>
    <row r="183" spans="1:11" x14ac:dyDescent="0.3">
      <c r="A183" t="s">
        <v>219</v>
      </c>
      <c r="B183" s="2">
        <v>45869.994745370372</v>
      </c>
      <c r="C183" t="s">
        <v>9</v>
      </c>
      <c r="D183" t="s">
        <v>10</v>
      </c>
      <c r="E183" t="s">
        <v>21</v>
      </c>
      <c r="F183" t="s">
        <v>18</v>
      </c>
      <c r="G183" s="11">
        <v>0</v>
      </c>
      <c r="H183" t="b">
        <f>(COUNTIFS(OrderLines!$A:$A,A183,OrderLines!$F:$F,"Beverage")&gt;0)</f>
        <v>0</v>
      </c>
      <c r="I183">
        <f>SUMIFS(OrderLines!$I:$I,OrderLines!$A:$A,A183)</f>
        <v>52.45</v>
      </c>
      <c r="J183" t="str">
        <f>IF(AND(COUNTIFS(OrderLines!$A$2:$A$925,A183,OrderLines!$F$2:$F$925,"Hot Meal")&gt;0,COUNTIFS(OrderLines!$A$2:$A$925,A183,OrderLines!$F$2:$F$925,"Beverage")&gt;0),"Combo","Single")</f>
        <v>Single</v>
      </c>
      <c r="K183" t="str">
        <f>IF(SUMPRODUCT((OrderLines!$A$2:$A$925=A183)*OrderLines!$C$2:$C$925*OrderLines!$D$2:$D$925)*G183&gt;40,"HighDisc","OK")</f>
        <v>OK</v>
      </c>
    </row>
    <row r="184" spans="1:11" x14ac:dyDescent="0.3">
      <c r="A184" t="s">
        <v>220</v>
      </c>
      <c r="B184" s="2">
        <v>45842.735451388893</v>
      </c>
      <c r="C184" t="s">
        <v>9</v>
      </c>
      <c r="D184" t="s">
        <v>28</v>
      </c>
      <c r="E184" t="s">
        <v>17</v>
      </c>
      <c r="F184" t="s">
        <v>18</v>
      </c>
      <c r="G184" s="11">
        <v>0.04</v>
      </c>
      <c r="H184" t="b">
        <f>(COUNTIFS(OrderLines!$A:$A,A184,OrderLines!$F:$F,"Beverage")&gt;0)</f>
        <v>1</v>
      </c>
      <c r="I184">
        <f>SUMIFS(OrderLines!$I:$I,OrderLines!$A:$A,A184)</f>
        <v>150.70079999999999</v>
      </c>
      <c r="J184" t="str">
        <f>IF(AND(COUNTIFS(OrderLines!$A$2:$A$925,A184,OrderLines!$F$2:$F$925,"Hot Meal")&gt;0,COUNTIFS(OrderLines!$A$2:$A$925,A184,OrderLines!$F$2:$F$925,"Beverage")&gt;0),"Combo","Single")</f>
        <v>Single</v>
      </c>
      <c r="K184" t="str">
        <f>IF(SUMPRODUCT((OrderLines!$A$2:$A$925=A184)*OrderLines!$C$2:$C$925*OrderLines!$D$2:$D$925)*G184&gt;40,"HighDisc","OK")</f>
        <v>OK</v>
      </c>
    </row>
    <row r="185" spans="1:11" x14ac:dyDescent="0.3">
      <c r="A185" t="s">
        <v>221</v>
      </c>
      <c r="B185" s="2">
        <v>45861.336724537039</v>
      </c>
      <c r="C185" t="s">
        <v>9</v>
      </c>
      <c r="D185" t="s">
        <v>28</v>
      </c>
      <c r="E185" t="s">
        <v>21</v>
      </c>
      <c r="F185" t="s">
        <v>12</v>
      </c>
      <c r="G185" s="11">
        <v>0.1</v>
      </c>
      <c r="H185" t="b">
        <f>(COUNTIFS(OrderLines!$A:$A,A185,OrderLines!$F:$F,"Beverage")&gt;0)</f>
        <v>0</v>
      </c>
      <c r="I185">
        <f>SUMIFS(OrderLines!$I:$I,OrderLines!$A:$A,A185)</f>
        <v>130.78800000000001</v>
      </c>
      <c r="J185" t="str">
        <f>IF(AND(COUNTIFS(OrderLines!$A$2:$A$925,A185,OrderLines!$F$2:$F$925,"Hot Meal")&gt;0,COUNTIFS(OrderLines!$A$2:$A$925,A185,OrderLines!$F$2:$F$925,"Beverage")&gt;0),"Combo","Single")</f>
        <v>Single</v>
      </c>
      <c r="K185" t="str">
        <f>IF(SUMPRODUCT((OrderLines!$A$2:$A$925=A185)*OrderLines!$C$2:$C$925*OrderLines!$D$2:$D$925)*G185&gt;40,"HighDisc","OK")</f>
        <v>OK</v>
      </c>
    </row>
    <row r="186" spans="1:11" x14ac:dyDescent="0.3">
      <c r="A186" t="s">
        <v>222</v>
      </c>
      <c r="B186" s="2">
        <v>45849.008275462962</v>
      </c>
      <c r="C186" t="s">
        <v>15</v>
      </c>
      <c r="D186" t="s">
        <v>28</v>
      </c>
      <c r="E186" t="s">
        <v>11</v>
      </c>
      <c r="F186" t="s">
        <v>12</v>
      </c>
      <c r="G186" s="11">
        <v>0.06</v>
      </c>
      <c r="H186" t="b">
        <f>(COUNTIFS(OrderLines!$A:$A,A186,OrderLines!$F:$F,"Beverage")&gt;0)</f>
        <v>1</v>
      </c>
      <c r="I186">
        <f>SUMIFS(OrderLines!$I:$I,OrderLines!$A:$A,A186)</f>
        <v>138.85679999999999</v>
      </c>
      <c r="J186" t="str">
        <f>IF(AND(COUNTIFS(OrderLines!$A$2:$A$925,A186,OrderLines!$F$2:$F$925,"Hot Meal")&gt;0,COUNTIFS(OrderLines!$A$2:$A$925,A186,OrderLines!$F$2:$F$925,"Beverage")&gt;0),"Combo","Single")</f>
        <v>Single</v>
      </c>
      <c r="K186" t="str">
        <f>IF(SUMPRODUCT((OrderLines!$A$2:$A$925=A186)*OrderLines!$C$2:$C$925*OrderLines!$D$2:$D$925)*G186&gt;40,"HighDisc","OK")</f>
        <v>OK</v>
      </c>
    </row>
    <row r="187" spans="1:11" x14ac:dyDescent="0.3">
      <c r="A187" t="s">
        <v>223</v>
      </c>
      <c r="B187" s="2">
        <v>45842.060497685183</v>
      </c>
      <c r="C187" t="s">
        <v>27</v>
      </c>
      <c r="D187" t="s">
        <v>16</v>
      </c>
      <c r="E187" t="s">
        <v>17</v>
      </c>
      <c r="F187" t="s">
        <v>12</v>
      </c>
      <c r="G187" s="11">
        <v>0.02</v>
      </c>
      <c r="H187" t="b">
        <f>(COUNTIFS(OrderLines!$A:$A,A187,OrderLines!$F:$F,"Beverage")&gt;0)</f>
        <v>1</v>
      </c>
      <c r="I187">
        <f>SUMIFS(OrderLines!$I:$I,OrderLines!$A:$A,A187)</f>
        <v>59.4664</v>
      </c>
      <c r="J187" t="str">
        <f>IF(AND(COUNTIFS(OrderLines!$A$2:$A$925,A187,OrderLines!$F$2:$F$925,"Hot Meal")&gt;0,COUNTIFS(OrderLines!$A$2:$A$925,A187,OrderLines!$F$2:$F$925,"Beverage")&gt;0),"Combo","Single")</f>
        <v>Single</v>
      </c>
      <c r="K187" t="str">
        <f>IF(SUMPRODUCT((OrderLines!$A$2:$A$925=A187)*OrderLines!$C$2:$C$925*OrderLines!$D$2:$D$925)*G187&gt;40,"HighDisc","OK")</f>
        <v>OK</v>
      </c>
    </row>
    <row r="188" spans="1:11" x14ac:dyDescent="0.3">
      <c r="A188" t="s">
        <v>224</v>
      </c>
      <c r="B188" s="2">
        <v>45874.053333333337</v>
      </c>
      <c r="C188" t="s">
        <v>15</v>
      </c>
      <c r="D188" t="s">
        <v>16</v>
      </c>
      <c r="E188" t="s">
        <v>17</v>
      </c>
      <c r="F188" t="s">
        <v>12</v>
      </c>
      <c r="G188" s="11">
        <v>0.03</v>
      </c>
      <c r="H188" t="b">
        <f>(COUNTIFS(OrderLines!$A:$A,A188,OrderLines!$F:$F,"Beverage")&gt;0)</f>
        <v>1</v>
      </c>
      <c r="I188">
        <f>SUMIFS(OrderLines!$I:$I,OrderLines!$A:$A,A188)</f>
        <v>403.25810000000001</v>
      </c>
      <c r="J188" t="str">
        <f>IF(AND(COUNTIFS(OrderLines!$A$2:$A$925,A188,OrderLines!$F$2:$F$925,"Hot Meal")&gt;0,COUNTIFS(OrderLines!$A$2:$A$925,A188,OrderLines!$F$2:$F$925,"Beverage")&gt;0),"Combo","Single")</f>
        <v>Combo</v>
      </c>
      <c r="K188" t="str">
        <f>IF(SUMPRODUCT((OrderLines!$A$2:$A$925=A188)*OrderLines!$C$2:$C$925*OrderLines!$D$2:$D$925)*G188&gt;40,"HighDisc","OK")</f>
        <v>OK</v>
      </c>
    </row>
    <row r="189" spans="1:11" x14ac:dyDescent="0.3">
      <c r="A189" t="s">
        <v>225</v>
      </c>
      <c r="B189" s="2">
        <v>45890.821134259262</v>
      </c>
      <c r="C189" t="s">
        <v>15</v>
      </c>
      <c r="D189" t="s">
        <v>10</v>
      </c>
      <c r="E189" t="s">
        <v>11</v>
      </c>
      <c r="F189" t="s">
        <v>18</v>
      </c>
      <c r="G189" s="11">
        <v>0.09</v>
      </c>
      <c r="H189" t="b">
        <f>(COUNTIFS(OrderLines!$A:$A,A189,OrderLines!$F:$F,"Beverage")&gt;0)</f>
        <v>1</v>
      </c>
      <c r="I189">
        <f>SUMIFS(OrderLines!$I:$I,OrderLines!$A:$A,A189)</f>
        <v>186.86850000000001</v>
      </c>
      <c r="J189" t="str">
        <f>IF(AND(COUNTIFS(OrderLines!$A$2:$A$925,A189,OrderLines!$F$2:$F$925,"Hot Meal")&gt;0,COUNTIFS(OrderLines!$A$2:$A$925,A189,OrderLines!$F$2:$F$925,"Beverage")&gt;0),"Combo","Single")</f>
        <v>Single</v>
      </c>
      <c r="K189" t="str">
        <f>IF(SUMPRODUCT((OrderLines!$A$2:$A$925=A189)*OrderLines!$C$2:$C$925*OrderLines!$D$2:$D$925)*G189&gt;40,"HighDisc","OK")</f>
        <v>OK</v>
      </c>
    </row>
    <row r="190" spans="1:11" x14ac:dyDescent="0.3">
      <c r="A190" t="s">
        <v>226</v>
      </c>
      <c r="B190" s="2">
        <v>45855.75377314815</v>
      </c>
      <c r="C190" t="s">
        <v>27</v>
      </c>
      <c r="D190" t="s">
        <v>28</v>
      </c>
      <c r="E190" t="s">
        <v>11</v>
      </c>
      <c r="F190" t="s">
        <v>18</v>
      </c>
      <c r="G190" s="11">
        <v>0.03</v>
      </c>
      <c r="H190" t="b">
        <f>(COUNTIFS(OrderLines!$A:$A,A190,OrderLines!$F:$F,"Beverage")&gt;0)</f>
        <v>1</v>
      </c>
      <c r="I190">
        <f>SUMIFS(OrderLines!$I:$I,OrderLines!$A:$A,A190)</f>
        <v>584.85180000000003</v>
      </c>
      <c r="J190" t="str">
        <f>IF(AND(COUNTIFS(OrderLines!$A$2:$A$925,A190,OrderLines!$F$2:$F$925,"Hot Meal")&gt;0,COUNTIFS(OrderLines!$A$2:$A$925,A190,OrderLines!$F$2:$F$925,"Beverage")&gt;0),"Combo","Single")</f>
        <v>Combo</v>
      </c>
      <c r="K190" t="str">
        <f>IF(SUMPRODUCT((OrderLines!$A$2:$A$925=A190)*OrderLines!$C$2:$C$925*OrderLines!$D$2:$D$925)*G190&gt;40,"HighDisc","OK")</f>
        <v>OK</v>
      </c>
    </row>
    <row r="191" spans="1:11" x14ac:dyDescent="0.3">
      <c r="A191" t="s">
        <v>227</v>
      </c>
      <c r="B191" s="2">
        <v>45862.632245370369</v>
      </c>
      <c r="C191" t="s">
        <v>15</v>
      </c>
      <c r="D191" t="s">
        <v>10</v>
      </c>
      <c r="E191" t="s">
        <v>17</v>
      </c>
      <c r="F191" t="s">
        <v>22</v>
      </c>
      <c r="G191" s="11">
        <v>7.0000000000000007E-2</v>
      </c>
      <c r="H191" t="b">
        <f>(COUNTIFS(OrderLines!$A:$A,A191,OrderLines!$F:$F,"Beverage")&gt;0)</f>
        <v>0</v>
      </c>
      <c r="I191">
        <f>SUMIFS(OrderLines!$I:$I,OrderLines!$A:$A,A191)</f>
        <v>136.15199999999999</v>
      </c>
      <c r="J191" t="str">
        <f>IF(AND(COUNTIFS(OrderLines!$A$2:$A$925,A191,OrderLines!$F$2:$F$925,"Hot Meal")&gt;0,COUNTIFS(OrderLines!$A$2:$A$925,A191,OrderLines!$F$2:$F$925,"Beverage")&gt;0),"Combo","Single")</f>
        <v>Single</v>
      </c>
      <c r="K191" t="str">
        <f>IF(SUMPRODUCT((OrderLines!$A$2:$A$925=A191)*OrderLines!$C$2:$C$925*OrderLines!$D$2:$D$925)*G191&gt;40,"HighDisc","OK")</f>
        <v>OK</v>
      </c>
    </row>
    <row r="192" spans="1:11" x14ac:dyDescent="0.3">
      <c r="A192" t="s">
        <v>228</v>
      </c>
      <c r="B192" s="2">
        <v>45884.023206018523</v>
      </c>
      <c r="C192" t="s">
        <v>9</v>
      </c>
      <c r="D192" t="s">
        <v>16</v>
      </c>
      <c r="E192" t="s">
        <v>21</v>
      </c>
      <c r="F192" t="s">
        <v>12</v>
      </c>
      <c r="G192" s="11">
        <v>0.06</v>
      </c>
      <c r="H192" t="b">
        <f>(COUNTIFS(OrderLines!$A:$A,A192,OrderLines!$F:$F,"Beverage")&gt;0)</f>
        <v>0</v>
      </c>
      <c r="I192">
        <f>SUMIFS(OrderLines!$I:$I,OrderLines!$A:$A,A192)</f>
        <v>255.2946</v>
      </c>
      <c r="J192" t="str">
        <f>IF(AND(COUNTIFS(OrderLines!$A$2:$A$925,A192,OrderLines!$F$2:$F$925,"Hot Meal")&gt;0,COUNTIFS(OrderLines!$A$2:$A$925,A192,OrderLines!$F$2:$F$925,"Beverage")&gt;0),"Combo","Single")</f>
        <v>Single</v>
      </c>
      <c r="K192" t="str">
        <f>IF(SUMPRODUCT((OrderLines!$A$2:$A$925=A192)*OrderLines!$C$2:$C$925*OrderLines!$D$2:$D$925)*G192&gt;40,"HighDisc","OK")</f>
        <v>OK</v>
      </c>
    </row>
    <row r="193" spans="1:11" x14ac:dyDescent="0.3">
      <c r="A193" t="s">
        <v>229</v>
      </c>
      <c r="B193" s="2">
        <v>45840.162395833337</v>
      </c>
      <c r="C193" t="s">
        <v>15</v>
      </c>
      <c r="D193" t="s">
        <v>16</v>
      </c>
      <c r="E193" t="s">
        <v>11</v>
      </c>
      <c r="F193" t="s">
        <v>12</v>
      </c>
      <c r="G193" s="11">
        <v>0.03</v>
      </c>
      <c r="H193" t="b">
        <f>(COUNTIFS(OrderLines!$A:$A,A193,OrderLines!$F:$F,"Beverage")&gt;0)</f>
        <v>0</v>
      </c>
      <c r="I193">
        <f>SUMIFS(OrderLines!$I:$I,OrderLines!$A:$A,A193)</f>
        <v>498.40540000000004</v>
      </c>
      <c r="J193" t="str">
        <f>IF(AND(COUNTIFS(OrderLines!$A$2:$A$925,A193,OrderLines!$F$2:$F$925,"Hot Meal")&gt;0,COUNTIFS(OrderLines!$A$2:$A$925,A193,OrderLines!$F$2:$F$925,"Beverage")&gt;0),"Combo","Single")</f>
        <v>Single</v>
      </c>
      <c r="K193" t="str">
        <f>IF(SUMPRODUCT((OrderLines!$A$2:$A$925=A193)*OrderLines!$C$2:$C$925*OrderLines!$D$2:$D$925)*G193&gt;40,"HighDisc","OK")</f>
        <v>OK</v>
      </c>
    </row>
    <row r="194" spans="1:11" x14ac:dyDescent="0.3">
      <c r="A194" t="s">
        <v>230</v>
      </c>
      <c r="B194" s="2">
        <v>45854.587905092587</v>
      </c>
      <c r="C194" t="s">
        <v>27</v>
      </c>
      <c r="D194" t="s">
        <v>16</v>
      </c>
      <c r="E194" t="s">
        <v>21</v>
      </c>
      <c r="F194" t="s">
        <v>22</v>
      </c>
      <c r="G194" s="11">
        <v>0.15</v>
      </c>
      <c r="H194" t="b">
        <f>(COUNTIFS(OrderLines!$A:$A,A194,OrderLines!$F:$F,"Beverage")&gt;0)</f>
        <v>1</v>
      </c>
      <c r="I194">
        <f>SUMIFS(OrderLines!$I:$I,OrderLines!$A:$A,A194)</f>
        <v>209.661</v>
      </c>
      <c r="J194" t="str">
        <f>IF(AND(COUNTIFS(OrderLines!$A$2:$A$925,A194,OrderLines!$F$2:$F$925,"Hot Meal")&gt;0,COUNTIFS(OrderLines!$A$2:$A$925,A194,OrderLines!$F$2:$F$925,"Beverage")&gt;0),"Combo","Single")</f>
        <v>Single</v>
      </c>
      <c r="K194" t="str">
        <f>IF(SUMPRODUCT((OrderLines!$A$2:$A$925=A194)*OrderLines!$C$2:$C$925*OrderLines!$D$2:$D$925)*G194&gt;40,"HighDisc","OK")</f>
        <v>OK</v>
      </c>
    </row>
    <row r="195" spans="1:11" x14ac:dyDescent="0.3">
      <c r="A195" t="s">
        <v>231</v>
      </c>
      <c r="B195" s="2">
        <v>45880.44630787037</v>
      </c>
      <c r="C195" t="s">
        <v>9</v>
      </c>
      <c r="D195" t="s">
        <v>16</v>
      </c>
      <c r="E195" t="s">
        <v>21</v>
      </c>
      <c r="F195" t="s">
        <v>12</v>
      </c>
      <c r="G195" s="11">
        <v>0.09</v>
      </c>
      <c r="H195" t="b">
        <f>(COUNTIFS(OrderLines!$A:$A,A195,OrderLines!$F:$F,"Beverage")&gt;0)</f>
        <v>1</v>
      </c>
      <c r="I195">
        <f>SUMIFS(OrderLines!$I:$I,OrderLines!$A:$A,A195)</f>
        <v>227.2088</v>
      </c>
      <c r="J195" t="str">
        <f>IF(AND(COUNTIFS(OrderLines!$A$2:$A$925,A195,OrderLines!$F$2:$F$925,"Hot Meal")&gt;0,COUNTIFS(OrderLines!$A$2:$A$925,A195,OrderLines!$F$2:$F$925,"Beverage")&gt;0),"Combo","Single")</f>
        <v>Single</v>
      </c>
      <c r="K195" t="str">
        <f>IF(SUMPRODUCT((OrderLines!$A$2:$A$925=A195)*OrderLines!$C$2:$C$925*OrderLines!$D$2:$D$925)*G195&gt;40,"HighDisc","OK")</f>
        <v>OK</v>
      </c>
    </row>
    <row r="196" spans="1:11" x14ac:dyDescent="0.3">
      <c r="A196" t="s">
        <v>232</v>
      </c>
      <c r="B196" s="2">
        <v>45858.592048611114</v>
      </c>
      <c r="C196" t="s">
        <v>15</v>
      </c>
      <c r="D196" t="s">
        <v>16</v>
      </c>
      <c r="E196" t="s">
        <v>17</v>
      </c>
      <c r="F196" t="s">
        <v>22</v>
      </c>
      <c r="G196" s="11">
        <v>0</v>
      </c>
      <c r="H196" t="b">
        <f>(COUNTIFS(OrderLines!$A:$A,A196,OrderLines!$F:$F,"Beverage")&gt;0)</f>
        <v>0</v>
      </c>
      <c r="I196">
        <f>SUMIFS(OrderLines!$I:$I,OrderLines!$A:$A,A196)</f>
        <v>731</v>
      </c>
      <c r="J196" t="str">
        <f>IF(AND(COUNTIFS(OrderLines!$A$2:$A$925,A196,OrderLines!$F$2:$F$925,"Hot Meal")&gt;0,COUNTIFS(OrderLines!$A$2:$A$925,A196,OrderLines!$F$2:$F$925,"Beverage")&gt;0),"Combo","Single")</f>
        <v>Single</v>
      </c>
      <c r="K196" t="str">
        <f>IF(SUMPRODUCT((OrderLines!$A$2:$A$925=A196)*OrderLines!$C$2:$C$925*OrderLines!$D$2:$D$925)*G196&gt;40,"HighDisc","OK")</f>
        <v>OK</v>
      </c>
    </row>
    <row r="197" spans="1:11" x14ac:dyDescent="0.3">
      <c r="A197" t="s">
        <v>233</v>
      </c>
      <c r="B197" s="2">
        <v>45876.27679398148</v>
      </c>
      <c r="C197" t="s">
        <v>9</v>
      </c>
      <c r="D197" t="s">
        <v>16</v>
      </c>
      <c r="E197" t="s">
        <v>11</v>
      </c>
      <c r="F197" t="s">
        <v>12</v>
      </c>
      <c r="G197" s="11">
        <v>7.0000000000000007E-2</v>
      </c>
      <c r="H197" t="b">
        <f>(COUNTIFS(OrderLines!$A:$A,A197,OrderLines!$F:$F,"Beverage")&gt;0)</f>
        <v>0</v>
      </c>
      <c r="I197">
        <f>SUMIFS(OrderLines!$I:$I,OrderLines!$A:$A,A197)</f>
        <v>318.80399999999997</v>
      </c>
      <c r="J197" t="str">
        <f>IF(AND(COUNTIFS(OrderLines!$A$2:$A$925,A197,OrderLines!$F$2:$F$925,"Hot Meal")&gt;0,COUNTIFS(OrderLines!$A$2:$A$925,A197,OrderLines!$F$2:$F$925,"Beverage")&gt;0),"Combo","Single")</f>
        <v>Single</v>
      </c>
      <c r="K197" t="str">
        <f>IF(SUMPRODUCT((OrderLines!$A$2:$A$925=A197)*OrderLines!$C$2:$C$925*OrderLines!$D$2:$D$925)*G197&gt;40,"HighDisc","OK")</f>
        <v>OK</v>
      </c>
    </row>
    <row r="198" spans="1:11" x14ac:dyDescent="0.3">
      <c r="A198" t="s">
        <v>234</v>
      </c>
      <c r="B198" s="2">
        <v>45867.9140625</v>
      </c>
      <c r="C198" t="s">
        <v>27</v>
      </c>
      <c r="D198" t="s">
        <v>10</v>
      </c>
      <c r="E198" t="s">
        <v>21</v>
      </c>
      <c r="F198" t="s">
        <v>18</v>
      </c>
      <c r="G198" s="11">
        <v>0.03</v>
      </c>
      <c r="H198" t="b">
        <f>(COUNTIFS(OrderLines!$A:$A,A198,OrderLines!$F:$F,"Beverage")&gt;0)</f>
        <v>1</v>
      </c>
      <c r="I198">
        <f>SUMIFS(OrderLines!$I:$I,OrderLines!$A:$A,A198)</f>
        <v>308.06230000000005</v>
      </c>
      <c r="J198" t="str">
        <f>IF(AND(COUNTIFS(OrderLines!$A$2:$A$925,A198,OrderLines!$F$2:$F$925,"Hot Meal")&gt;0,COUNTIFS(OrderLines!$A$2:$A$925,A198,OrderLines!$F$2:$F$925,"Beverage")&gt;0),"Combo","Single")</f>
        <v>Combo</v>
      </c>
      <c r="K198" t="str">
        <f>IF(SUMPRODUCT((OrderLines!$A$2:$A$925=A198)*OrderLines!$C$2:$C$925*OrderLines!$D$2:$D$925)*G198&gt;40,"HighDisc","OK")</f>
        <v>OK</v>
      </c>
    </row>
    <row r="199" spans="1:11" x14ac:dyDescent="0.3">
      <c r="A199" t="s">
        <v>235</v>
      </c>
      <c r="B199" s="2">
        <v>45840.036226851851</v>
      </c>
      <c r="C199" t="s">
        <v>9</v>
      </c>
      <c r="D199" t="s">
        <v>10</v>
      </c>
      <c r="E199" t="s">
        <v>11</v>
      </c>
      <c r="F199" t="s">
        <v>12</v>
      </c>
      <c r="G199" s="11">
        <v>0.09</v>
      </c>
      <c r="H199" t="b">
        <f>(COUNTIFS(OrderLines!$A:$A,A199,OrderLines!$F:$F,"Beverage")&gt;0)</f>
        <v>1</v>
      </c>
      <c r="I199">
        <f>SUMIFS(OrderLines!$I:$I,OrderLines!$A:$A,A199)</f>
        <v>107.1525</v>
      </c>
      <c r="J199" t="str">
        <f>IF(AND(COUNTIFS(OrderLines!$A$2:$A$925,A199,OrderLines!$F$2:$F$925,"Hot Meal")&gt;0,COUNTIFS(OrderLines!$A$2:$A$925,A199,OrderLines!$F$2:$F$925,"Beverage")&gt;0),"Combo","Single")</f>
        <v>Single</v>
      </c>
      <c r="K199" t="str">
        <f>IF(SUMPRODUCT((OrderLines!$A$2:$A$925=A199)*OrderLines!$C$2:$C$925*OrderLines!$D$2:$D$925)*G199&gt;40,"HighDisc","OK")</f>
        <v>OK</v>
      </c>
    </row>
    <row r="200" spans="1:11" x14ac:dyDescent="0.3">
      <c r="A200" t="s">
        <v>236</v>
      </c>
      <c r="B200" s="2">
        <v>45898.126226851848</v>
      </c>
      <c r="C200" t="s">
        <v>9</v>
      </c>
      <c r="D200" t="s">
        <v>16</v>
      </c>
      <c r="E200" t="s">
        <v>21</v>
      </c>
      <c r="F200" t="s">
        <v>12</v>
      </c>
      <c r="G200" s="11">
        <v>0.03</v>
      </c>
      <c r="H200" t="b">
        <f>(COUNTIFS(OrderLines!$A:$A,A200,OrderLines!$F:$F,"Beverage")&gt;0)</f>
        <v>1</v>
      </c>
      <c r="I200">
        <f>SUMIFS(OrderLines!$I:$I,OrderLines!$A:$A,A200)</f>
        <v>851.31080000000009</v>
      </c>
      <c r="J200" t="str">
        <f>IF(AND(COUNTIFS(OrderLines!$A$2:$A$925,A200,OrderLines!$F$2:$F$925,"Hot Meal")&gt;0,COUNTIFS(OrderLines!$A$2:$A$925,A200,OrderLines!$F$2:$F$925,"Beverage")&gt;0),"Combo","Single")</f>
        <v>Combo</v>
      </c>
      <c r="K200" t="str">
        <f>IF(SUMPRODUCT((OrderLines!$A$2:$A$925=A200)*OrderLines!$C$2:$C$925*OrderLines!$D$2:$D$925)*G200&gt;40,"HighDisc","OK")</f>
        <v>OK</v>
      </c>
    </row>
    <row r="201" spans="1:11" x14ac:dyDescent="0.3">
      <c r="A201" t="s">
        <v>237</v>
      </c>
      <c r="B201" s="2">
        <v>45898.190162037034</v>
      </c>
      <c r="C201" t="s">
        <v>15</v>
      </c>
      <c r="D201" t="s">
        <v>28</v>
      </c>
      <c r="E201" t="s">
        <v>11</v>
      </c>
      <c r="F201" t="s">
        <v>12</v>
      </c>
      <c r="G201" s="11">
        <v>0.06</v>
      </c>
      <c r="H201" t="b">
        <f>(COUNTIFS(OrderLines!$A:$A,A201,OrderLines!$F:$F,"Beverage")&gt;0)</f>
        <v>0</v>
      </c>
      <c r="I201">
        <f>SUMIFS(OrderLines!$I:$I,OrderLines!$A:$A,A201)</f>
        <v>37.552999999999997</v>
      </c>
      <c r="J201" t="str">
        <f>IF(AND(COUNTIFS(OrderLines!$A$2:$A$925,A201,OrderLines!$F$2:$F$925,"Hot Meal")&gt;0,COUNTIFS(OrderLines!$A$2:$A$925,A201,OrderLines!$F$2:$F$925,"Beverage")&gt;0),"Combo","Single")</f>
        <v>Single</v>
      </c>
      <c r="K201" t="str">
        <f>IF(SUMPRODUCT((OrderLines!$A$2:$A$925=A201)*OrderLines!$C$2:$C$925*OrderLines!$D$2:$D$925)*G201&gt;40,"HighDisc","OK")</f>
        <v>OK</v>
      </c>
    </row>
    <row r="202" spans="1:11" x14ac:dyDescent="0.3">
      <c r="A202" t="s">
        <v>238</v>
      </c>
      <c r="B202" s="2">
        <v>45863.583437499998</v>
      </c>
      <c r="C202" t="s">
        <v>9</v>
      </c>
      <c r="D202" t="s">
        <v>10</v>
      </c>
      <c r="E202" t="s">
        <v>11</v>
      </c>
      <c r="F202" t="s">
        <v>22</v>
      </c>
      <c r="G202" s="11">
        <v>0.08</v>
      </c>
      <c r="H202" t="b">
        <f>(COUNTIFS(OrderLines!$A:$A,A202,OrderLines!$F:$F,"Beverage")&gt;0)</f>
        <v>0</v>
      </c>
      <c r="I202">
        <f>SUMIFS(OrderLines!$I:$I,OrderLines!$A:$A,A202)</f>
        <v>35.0152</v>
      </c>
      <c r="J202" t="str">
        <f>IF(AND(COUNTIFS(OrderLines!$A$2:$A$925,A202,OrderLines!$F$2:$F$925,"Hot Meal")&gt;0,COUNTIFS(OrderLines!$A$2:$A$925,A202,OrderLines!$F$2:$F$925,"Beverage")&gt;0),"Combo","Single")</f>
        <v>Single</v>
      </c>
      <c r="K202" t="str">
        <f>IF(SUMPRODUCT((OrderLines!$A$2:$A$925=A202)*OrderLines!$C$2:$C$925*OrderLines!$D$2:$D$925)*G202&gt;40,"HighDisc","OK")</f>
        <v>OK</v>
      </c>
    </row>
    <row r="203" spans="1:11" x14ac:dyDescent="0.3">
      <c r="A203" t="s">
        <v>239</v>
      </c>
      <c r="B203" s="2">
        <v>45848.683680555558</v>
      </c>
      <c r="C203" t="s">
        <v>9</v>
      </c>
      <c r="D203" t="s">
        <v>10</v>
      </c>
      <c r="E203" t="s">
        <v>17</v>
      </c>
      <c r="F203" t="s">
        <v>18</v>
      </c>
      <c r="G203" s="11">
        <v>0.09</v>
      </c>
      <c r="H203" t="b">
        <f>(COUNTIFS(OrderLines!$A:$A,A203,OrderLines!$F:$F,"Beverage")&gt;0)</f>
        <v>0</v>
      </c>
      <c r="I203">
        <f>SUMIFS(OrderLines!$I:$I,OrderLines!$A:$A,A203)</f>
        <v>155.45530000000002</v>
      </c>
      <c r="J203" t="str">
        <f>IF(AND(COUNTIFS(OrderLines!$A$2:$A$925,A203,OrderLines!$F$2:$F$925,"Hot Meal")&gt;0,COUNTIFS(OrderLines!$A$2:$A$925,A203,OrderLines!$F$2:$F$925,"Beverage")&gt;0),"Combo","Single")</f>
        <v>Single</v>
      </c>
      <c r="K203" t="str">
        <f>IF(SUMPRODUCT((OrderLines!$A$2:$A$925=A203)*OrderLines!$C$2:$C$925*OrderLines!$D$2:$D$925)*G203&gt;40,"HighDisc","OK")</f>
        <v>OK</v>
      </c>
    </row>
    <row r="204" spans="1:11" x14ac:dyDescent="0.3">
      <c r="A204" t="s">
        <v>240</v>
      </c>
      <c r="B204" s="2">
        <v>45882.049675925933</v>
      </c>
      <c r="C204" t="s">
        <v>27</v>
      </c>
      <c r="D204" t="s">
        <v>10</v>
      </c>
      <c r="E204" t="s">
        <v>21</v>
      </c>
      <c r="F204" t="s">
        <v>12</v>
      </c>
      <c r="G204" s="11">
        <v>0.01</v>
      </c>
      <c r="H204" t="b">
        <f>(COUNTIFS(OrderLines!$A:$A,A204,OrderLines!$F:$F,"Beverage")&gt;0)</f>
        <v>0</v>
      </c>
      <c r="I204">
        <f>SUMIFS(OrderLines!$I:$I,OrderLines!$A:$A,A204)</f>
        <v>252.25200000000001</v>
      </c>
      <c r="J204" t="str">
        <f>IF(AND(COUNTIFS(OrderLines!$A$2:$A$925,A204,OrderLines!$F$2:$F$925,"Hot Meal")&gt;0,COUNTIFS(OrderLines!$A$2:$A$925,A204,OrderLines!$F$2:$F$925,"Beverage")&gt;0),"Combo","Single")</f>
        <v>Single</v>
      </c>
      <c r="K204" t="str">
        <f>IF(SUMPRODUCT((OrderLines!$A$2:$A$925=A204)*OrderLines!$C$2:$C$925*OrderLines!$D$2:$D$925)*G204&gt;40,"HighDisc","OK")</f>
        <v>OK</v>
      </c>
    </row>
    <row r="205" spans="1:11" x14ac:dyDescent="0.3">
      <c r="A205" t="s">
        <v>241</v>
      </c>
      <c r="B205" s="2">
        <v>45848.001076388893</v>
      </c>
      <c r="C205" t="s">
        <v>15</v>
      </c>
      <c r="D205" t="s">
        <v>16</v>
      </c>
      <c r="E205" t="s">
        <v>11</v>
      </c>
      <c r="F205" t="s">
        <v>12</v>
      </c>
      <c r="G205" s="11">
        <v>0.05</v>
      </c>
      <c r="H205" t="b">
        <f>(COUNTIFS(OrderLines!$A:$A,A205,OrderLines!$F:$F,"Beverage")&gt;0)</f>
        <v>1</v>
      </c>
      <c r="I205">
        <f>SUMIFS(OrderLines!$I:$I,OrderLines!$A:$A,A205)</f>
        <v>903.56399999999996</v>
      </c>
      <c r="J205" t="str">
        <f>IF(AND(COUNTIFS(OrderLines!$A$2:$A$925,A205,OrderLines!$F$2:$F$925,"Hot Meal")&gt;0,COUNTIFS(OrderLines!$A$2:$A$925,A205,OrderLines!$F$2:$F$925,"Beverage")&gt;0),"Combo","Single")</f>
        <v>Combo</v>
      </c>
      <c r="K205" t="str">
        <f>IF(SUMPRODUCT((OrderLines!$A$2:$A$925=A205)*OrderLines!$C$2:$C$925*OrderLines!$D$2:$D$925)*G205&gt;40,"HighDisc","OK")</f>
        <v>HighDisc</v>
      </c>
    </row>
    <row r="206" spans="1:11" x14ac:dyDescent="0.3">
      <c r="A206" t="s">
        <v>242</v>
      </c>
      <c r="B206" s="2">
        <v>45856.302951388891</v>
      </c>
      <c r="C206" t="s">
        <v>27</v>
      </c>
      <c r="D206" t="s">
        <v>28</v>
      </c>
      <c r="E206" t="s">
        <v>11</v>
      </c>
      <c r="F206" t="s">
        <v>12</v>
      </c>
      <c r="G206" s="11">
        <v>0.04</v>
      </c>
      <c r="H206" t="b">
        <f>(COUNTIFS(OrderLines!$A:$A,A206,OrderLines!$F:$F,"Beverage")&gt;0)</f>
        <v>1</v>
      </c>
      <c r="I206">
        <f>SUMIFS(OrderLines!$I:$I,OrderLines!$A:$A,A206)</f>
        <v>296.72640000000001</v>
      </c>
      <c r="J206" t="str">
        <f>IF(AND(COUNTIFS(OrderLines!$A$2:$A$925,A206,OrderLines!$F$2:$F$925,"Hot Meal")&gt;0,COUNTIFS(OrderLines!$A$2:$A$925,A206,OrderLines!$F$2:$F$925,"Beverage")&gt;0),"Combo","Single")</f>
        <v>Combo</v>
      </c>
      <c r="K206" t="str">
        <f>IF(SUMPRODUCT((OrderLines!$A$2:$A$925=A206)*OrderLines!$C$2:$C$925*OrderLines!$D$2:$D$925)*G206&gt;40,"HighDisc","OK")</f>
        <v>OK</v>
      </c>
    </row>
    <row r="207" spans="1:11" x14ac:dyDescent="0.3">
      <c r="A207" t="s">
        <v>243</v>
      </c>
      <c r="B207" s="2">
        <v>45890.790648148148</v>
      </c>
      <c r="C207" t="s">
        <v>9</v>
      </c>
      <c r="D207" t="s">
        <v>16</v>
      </c>
      <c r="E207" t="s">
        <v>17</v>
      </c>
      <c r="F207" t="s">
        <v>18</v>
      </c>
      <c r="G207" s="11">
        <v>0.03</v>
      </c>
      <c r="H207" t="b">
        <f>(COUNTIFS(OrderLines!$A:$A,A207,OrderLines!$F:$F,"Beverage")&gt;0)</f>
        <v>1</v>
      </c>
      <c r="I207">
        <f>SUMIFS(OrderLines!$I:$I,OrderLines!$A:$A,A207)</f>
        <v>213.06049999999999</v>
      </c>
      <c r="J207" t="str">
        <f>IF(AND(COUNTIFS(OrderLines!$A$2:$A$925,A207,OrderLines!$F$2:$F$925,"Hot Meal")&gt;0,COUNTIFS(OrderLines!$A$2:$A$925,A207,OrderLines!$F$2:$F$925,"Beverage")&gt;0),"Combo","Single")</f>
        <v>Single</v>
      </c>
      <c r="K207" t="str">
        <f>IF(SUMPRODUCT((OrderLines!$A$2:$A$925=A207)*OrderLines!$C$2:$C$925*OrderLines!$D$2:$D$925)*G207&gt;40,"HighDisc","OK")</f>
        <v>OK</v>
      </c>
    </row>
    <row r="208" spans="1:11" x14ac:dyDescent="0.3">
      <c r="A208" t="s">
        <v>244</v>
      </c>
      <c r="B208" s="2">
        <v>45886.032777777778</v>
      </c>
      <c r="C208" t="s">
        <v>15</v>
      </c>
      <c r="D208" t="s">
        <v>10</v>
      </c>
      <c r="E208" t="s">
        <v>21</v>
      </c>
      <c r="F208" t="s">
        <v>12</v>
      </c>
      <c r="G208" s="11">
        <v>0.13</v>
      </c>
      <c r="H208" t="b">
        <f>(COUNTIFS(OrderLines!$A:$A,A208,OrderLines!$F:$F,"Beverage")&gt;0)</f>
        <v>0</v>
      </c>
      <c r="I208">
        <f>SUMIFS(OrderLines!$I:$I,OrderLines!$A:$A,A208)</f>
        <v>363.05099999999999</v>
      </c>
      <c r="J208" t="str">
        <f>IF(AND(COUNTIFS(OrderLines!$A$2:$A$925,A208,OrderLines!$F$2:$F$925,"Hot Meal")&gt;0,COUNTIFS(OrderLines!$A$2:$A$925,A208,OrderLines!$F$2:$F$925,"Beverage")&gt;0),"Combo","Single")</f>
        <v>Single</v>
      </c>
      <c r="K208" t="str">
        <f>IF(SUMPRODUCT((OrderLines!$A$2:$A$925=A208)*OrderLines!$C$2:$C$925*OrderLines!$D$2:$D$925)*G208&gt;40,"HighDisc","OK")</f>
        <v>HighDisc</v>
      </c>
    </row>
    <row r="209" spans="1:11" x14ac:dyDescent="0.3">
      <c r="A209" t="s">
        <v>245</v>
      </c>
      <c r="B209" s="2">
        <v>45884.720462962963</v>
      </c>
      <c r="C209" t="s">
        <v>27</v>
      </c>
      <c r="D209" t="s">
        <v>28</v>
      </c>
      <c r="E209" t="s">
        <v>17</v>
      </c>
      <c r="F209" t="s">
        <v>18</v>
      </c>
      <c r="G209" s="11">
        <v>0.08</v>
      </c>
      <c r="H209" t="b">
        <f>(COUNTIFS(OrderLines!$A:$A,A209,OrderLines!$F:$F,"Beverage")&gt;0)</f>
        <v>1</v>
      </c>
      <c r="I209">
        <f>SUMIFS(OrderLines!$I:$I,OrderLines!$A:$A,A209)</f>
        <v>131.30240000000001</v>
      </c>
      <c r="J209" t="str">
        <f>IF(AND(COUNTIFS(OrderLines!$A$2:$A$925,A209,OrderLines!$F$2:$F$925,"Hot Meal")&gt;0,COUNTIFS(OrderLines!$A$2:$A$925,A209,OrderLines!$F$2:$F$925,"Beverage")&gt;0),"Combo","Single")</f>
        <v>Single</v>
      </c>
      <c r="K209" t="str">
        <f>IF(SUMPRODUCT((OrderLines!$A$2:$A$925=A209)*OrderLines!$C$2:$C$925*OrderLines!$D$2:$D$925)*G209&gt;40,"HighDisc","OK")</f>
        <v>OK</v>
      </c>
    </row>
    <row r="210" spans="1:11" x14ac:dyDescent="0.3">
      <c r="A210" t="s">
        <v>246</v>
      </c>
      <c r="B210" s="2">
        <v>45893.3596875</v>
      </c>
      <c r="C210" t="s">
        <v>15</v>
      </c>
      <c r="D210" t="s">
        <v>28</v>
      </c>
      <c r="E210" t="s">
        <v>21</v>
      </c>
      <c r="F210" t="s">
        <v>12</v>
      </c>
      <c r="G210" s="11">
        <v>0.01</v>
      </c>
      <c r="H210" t="b">
        <f>(COUNTIFS(OrderLines!$A:$A,A210,OrderLines!$F:$F,"Beverage")&gt;0)</f>
        <v>1</v>
      </c>
      <c r="I210">
        <f>SUMIFS(OrderLines!$I:$I,OrderLines!$A:$A,A210)</f>
        <v>225.26459999999997</v>
      </c>
      <c r="J210" t="str">
        <f>IF(AND(COUNTIFS(OrderLines!$A$2:$A$925,A210,OrderLines!$F$2:$F$925,"Hot Meal")&gt;0,COUNTIFS(OrderLines!$A$2:$A$925,A210,OrderLines!$F$2:$F$925,"Beverage")&gt;0),"Combo","Single")</f>
        <v>Single</v>
      </c>
      <c r="K210" t="str">
        <f>IF(SUMPRODUCT((OrderLines!$A$2:$A$925=A210)*OrderLines!$C$2:$C$925*OrderLines!$D$2:$D$925)*G210&gt;40,"HighDisc","OK")</f>
        <v>OK</v>
      </c>
    </row>
    <row r="211" spans="1:11" x14ac:dyDescent="0.3">
      <c r="A211" t="s">
        <v>247</v>
      </c>
      <c r="B211" s="2">
        <v>45864.926377314812</v>
      </c>
      <c r="C211" t="s">
        <v>9</v>
      </c>
      <c r="D211" t="s">
        <v>28</v>
      </c>
      <c r="E211" t="s">
        <v>21</v>
      </c>
      <c r="F211" t="s">
        <v>18</v>
      </c>
      <c r="G211" s="11">
        <v>0.1</v>
      </c>
      <c r="H211" t="b">
        <f>(COUNTIFS(OrderLines!$A:$A,A211,OrderLines!$F:$F,"Beverage")&gt;0)</f>
        <v>1</v>
      </c>
      <c r="I211">
        <f>SUMIFS(OrderLines!$I:$I,OrderLines!$A:$A,A211)</f>
        <v>481.041</v>
      </c>
      <c r="J211" t="str">
        <f>IF(AND(COUNTIFS(OrderLines!$A$2:$A$925,A211,OrderLines!$F$2:$F$925,"Hot Meal")&gt;0,COUNTIFS(OrderLines!$A$2:$A$925,A211,OrderLines!$F$2:$F$925,"Beverage")&gt;0),"Combo","Single")</f>
        <v>Combo</v>
      </c>
      <c r="K211" t="str">
        <f>IF(SUMPRODUCT((OrderLines!$A$2:$A$925=A211)*OrderLines!$C$2:$C$925*OrderLines!$D$2:$D$925)*G211&gt;40,"HighDisc","OK")</f>
        <v>HighDisc</v>
      </c>
    </row>
    <row r="212" spans="1:11" x14ac:dyDescent="0.3">
      <c r="A212" t="s">
        <v>248</v>
      </c>
      <c r="B212" s="2">
        <v>45864.703344907408</v>
      </c>
      <c r="C212" t="s">
        <v>9</v>
      </c>
      <c r="D212" t="s">
        <v>16</v>
      </c>
      <c r="E212" t="s">
        <v>11</v>
      </c>
      <c r="F212" t="s">
        <v>18</v>
      </c>
      <c r="G212" s="11">
        <v>0.14000000000000001</v>
      </c>
      <c r="H212" t="b">
        <f>(COUNTIFS(OrderLines!$A:$A,A212,OrderLines!$F:$F,"Beverage")&gt;0)</f>
        <v>0</v>
      </c>
      <c r="I212">
        <f>SUMIFS(OrderLines!$I:$I,OrderLines!$A:$A,A212)</f>
        <v>844.82100000000003</v>
      </c>
      <c r="J212" t="str">
        <f>IF(AND(COUNTIFS(OrderLines!$A$2:$A$925,A212,OrderLines!$F$2:$F$925,"Hot Meal")&gt;0,COUNTIFS(OrderLines!$A$2:$A$925,A212,OrderLines!$F$2:$F$925,"Beverage")&gt;0),"Combo","Single")</f>
        <v>Single</v>
      </c>
      <c r="K212" t="str">
        <f>IF(SUMPRODUCT((OrderLines!$A$2:$A$925=A212)*OrderLines!$C$2:$C$925*OrderLines!$D$2:$D$925)*G212&gt;40,"HighDisc","OK")</f>
        <v>HighDisc</v>
      </c>
    </row>
    <row r="213" spans="1:11" x14ac:dyDescent="0.3">
      <c r="A213" t="s">
        <v>249</v>
      </c>
      <c r="B213" s="2">
        <v>45849.76935185185</v>
      </c>
      <c r="C213" t="s">
        <v>9</v>
      </c>
      <c r="D213" t="s">
        <v>28</v>
      </c>
      <c r="E213" t="s">
        <v>21</v>
      </c>
      <c r="F213" t="s">
        <v>18</v>
      </c>
      <c r="G213" s="11">
        <v>0.1</v>
      </c>
      <c r="H213" t="b">
        <f>(COUNTIFS(OrderLines!$A:$A,A213,OrderLines!$F:$F,"Beverage")&gt;0)</f>
        <v>1</v>
      </c>
      <c r="I213">
        <f>SUMIFS(OrderLines!$I:$I,OrderLines!$A:$A,A213)</f>
        <v>317.75400000000002</v>
      </c>
      <c r="J213" t="str">
        <f>IF(AND(COUNTIFS(OrderLines!$A$2:$A$925,A213,OrderLines!$F$2:$F$925,"Hot Meal")&gt;0,COUNTIFS(OrderLines!$A$2:$A$925,A213,OrderLines!$F$2:$F$925,"Beverage")&gt;0),"Combo","Single")</f>
        <v>Combo</v>
      </c>
      <c r="K213" t="str">
        <f>IF(SUMPRODUCT((OrderLines!$A$2:$A$925=A213)*OrderLines!$C$2:$C$925*OrderLines!$D$2:$D$925)*G213&gt;40,"HighDisc","OK")</f>
        <v>OK</v>
      </c>
    </row>
    <row r="214" spans="1:11" x14ac:dyDescent="0.3">
      <c r="A214" t="s">
        <v>250</v>
      </c>
      <c r="B214" s="2">
        <v>45893.757245370369</v>
      </c>
      <c r="C214" t="s">
        <v>15</v>
      </c>
      <c r="D214" t="s">
        <v>10</v>
      </c>
      <c r="E214" t="s">
        <v>17</v>
      </c>
      <c r="F214" t="s">
        <v>18</v>
      </c>
      <c r="G214" s="11">
        <v>0</v>
      </c>
      <c r="H214" t="b">
        <f>(COUNTIFS(OrderLines!$A:$A,A214,OrderLines!$F:$F,"Beverage")&gt;0)</f>
        <v>0</v>
      </c>
      <c r="I214">
        <f>SUMIFS(OrderLines!$I:$I,OrderLines!$A:$A,A214)</f>
        <v>442.17</v>
      </c>
      <c r="J214" t="str">
        <f>IF(AND(COUNTIFS(OrderLines!$A$2:$A$925,A214,OrderLines!$F$2:$F$925,"Hot Meal")&gt;0,COUNTIFS(OrderLines!$A$2:$A$925,A214,OrderLines!$F$2:$F$925,"Beverage")&gt;0),"Combo","Single")</f>
        <v>Single</v>
      </c>
      <c r="K214" t="str">
        <f>IF(SUMPRODUCT((OrderLines!$A$2:$A$925=A214)*OrderLines!$C$2:$C$925*OrderLines!$D$2:$D$925)*G214&gt;40,"HighDisc","OK")</f>
        <v>OK</v>
      </c>
    </row>
    <row r="215" spans="1:11" x14ac:dyDescent="0.3">
      <c r="A215" t="s">
        <v>251</v>
      </c>
      <c r="B215" s="2">
        <v>45884.325902777768</v>
      </c>
      <c r="C215" t="s">
        <v>9</v>
      </c>
      <c r="D215" t="s">
        <v>16</v>
      </c>
      <c r="E215" t="s">
        <v>11</v>
      </c>
      <c r="F215" t="s">
        <v>12</v>
      </c>
      <c r="G215" s="11">
        <v>0.04</v>
      </c>
      <c r="H215" t="b">
        <f>(COUNTIFS(OrderLines!$A:$A,A215,OrderLines!$F:$F,"Beverage")&gt;0)</f>
        <v>1</v>
      </c>
      <c r="I215">
        <f>SUMIFS(OrderLines!$I:$I,OrderLines!$A:$A,A215)</f>
        <v>731.61599999999999</v>
      </c>
      <c r="J215" t="str">
        <f>IF(AND(COUNTIFS(OrderLines!$A$2:$A$925,A215,OrderLines!$F$2:$F$925,"Hot Meal")&gt;0,COUNTIFS(OrderLines!$A$2:$A$925,A215,OrderLines!$F$2:$F$925,"Beverage")&gt;0),"Combo","Single")</f>
        <v>Combo</v>
      </c>
      <c r="K215" t="str">
        <f>IF(SUMPRODUCT((OrderLines!$A$2:$A$925=A215)*OrderLines!$C$2:$C$925*OrderLines!$D$2:$D$925)*G215&gt;40,"HighDisc","OK")</f>
        <v>OK</v>
      </c>
    </row>
    <row r="216" spans="1:11" x14ac:dyDescent="0.3">
      <c r="A216" t="s">
        <v>252</v>
      </c>
      <c r="B216" s="2">
        <v>45850.578101851846</v>
      </c>
      <c r="C216" t="s">
        <v>27</v>
      </c>
      <c r="D216" t="s">
        <v>28</v>
      </c>
      <c r="E216" t="s">
        <v>17</v>
      </c>
      <c r="F216" t="s">
        <v>22</v>
      </c>
      <c r="G216" s="11">
        <v>0.11</v>
      </c>
      <c r="H216" t="b">
        <f>(COUNTIFS(OrderLines!$A:$A,A216,OrderLines!$F:$F,"Beverage")&gt;0)</f>
        <v>1</v>
      </c>
      <c r="I216">
        <f>SUMIFS(OrderLines!$I:$I,OrderLines!$A:$A,A216)</f>
        <v>329.12199999999996</v>
      </c>
      <c r="J216" t="str">
        <f>IF(AND(COUNTIFS(OrderLines!$A$2:$A$925,A216,OrderLines!$F$2:$F$925,"Hot Meal")&gt;0,COUNTIFS(OrderLines!$A$2:$A$925,A216,OrderLines!$F$2:$F$925,"Beverage")&gt;0),"Combo","Single")</f>
        <v>Combo</v>
      </c>
      <c r="K216" t="str">
        <f>IF(SUMPRODUCT((OrderLines!$A$2:$A$925=A216)*OrderLines!$C$2:$C$925*OrderLines!$D$2:$D$925)*G216&gt;40,"HighDisc","OK")</f>
        <v>HighDisc</v>
      </c>
    </row>
    <row r="217" spans="1:11" x14ac:dyDescent="0.3">
      <c r="A217" t="s">
        <v>253</v>
      </c>
      <c r="B217" s="2">
        <v>45887.079097222217</v>
      </c>
      <c r="C217" t="s">
        <v>27</v>
      </c>
      <c r="D217" t="s">
        <v>28</v>
      </c>
      <c r="E217" t="s">
        <v>17</v>
      </c>
      <c r="F217" t="s">
        <v>12</v>
      </c>
      <c r="G217" s="11">
        <v>0.03</v>
      </c>
      <c r="H217" t="b">
        <f>(COUNTIFS(OrderLines!$A:$A,A217,OrderLines!$F:$F,"Beverage")&gt;0)</f>
        <v>1</v>
      </c>
      <c r="I217">
        <f>SUMIFS(OrderLines!$I:$I,OrderLines!$A:$A,A217)</f>
        <v>166.29679999999999</v>
      </c>
      <c r="J217" t="str">
        <f>IF(AND(COUNTIFS(OrderLines!$A$2:$A$925,A217,OrderLines!$F$2:$F$925,"Hot Meal")&gt;0,COUNTIFS(OrderLines!$A$2:$A$925,A217,OrderLines!$F$2:$F$925,"Beverage")&gt;0),"Combo","Single")</f>
        <v>Single</v>
      </c>
      <c r="K217" t="str">
        <f>IF(SUMPRODUCT((OrderLines!$A$2:$A$925=A217)*OrderLines!$C$2:$C$925*OrderLines!$D$2:$D$925)*G217&gt;40,"HighDisc","OK")</f>
        <v>OK</v>
      </c>
    </row>
    <row r="218" spans="1:11" x14ac:dyDescent="0.3">
      <c r="A218" t="s">
        <v>254</v>
      </c>
      <c r="B218" s="2">
        <v>45852.421666666669</v>
      </c>
      <c r="C218" t="s">
        <v>15</v>
      </c>
      <c r="D218" t="s">
        <v>16</v>
      </c>
      <c r="E218" t="s">
        <v>21</v>
      </c>
      <c r="F218" t="s">
        <v>12</v>
      </c>
      <c r="G218" s="11">
        <v>0.08</v>
      </c>
      <c r="H218" t="b">
        <f>(COUNTIFS(OrderLines!$A:$A,A218,OrderLines!$F:$F,"Beverage")&gt;0)</f>
        <v>0</v>
      </c>
      <c r="I218">
        <f>SUMIFS(OrderLines!$I:$I,OrderLines!$A:$A,A218)</f>
        <v>611.7908000000001</v>
      </c>
      <c r="J218" t="str">
        <f>IF(AND(COUNTIFS(OrderLines!$A$2:$A$925,A218,OrderLines!$F$2:$F$925,"Hot Meal")&gt;0,COUNTIFS(OrderLines!$A$2:$A$925,A218,OrderLines!$F$2:$F$925,"Beverage")&gt;0),"Combo","Single")</f>
        <v>Single</v>
      </c>
      <c r="K218" t="str">
        <f>IF(SUMPRODUCT((OrderLines!$A$2:$A$925=A218)*OrderLines!$C$2:$C$925*OrderLines!$D$2:$D$925)*G218&gt;40,"HighDisc","OK")</f>
        <v>HighDisc</v>
      </c>
    </row>
    <row r="219" spans="1:11" x14ac:dyDescent="0.3">
      <c r="A219" t="s">
        <v>255</v>
      </c>
      <c r="B219" s="2">
        <v>45879.943171296298</v>
      </c>
      <c r="C219" t="s">
        <v>9</v>
      </c>
      <c r="D219" t="s">
        <v>10</v>
      </c>
      <c r="E219" t="s">
        <v>11</v>
      </c>
      <c r="F219" t="s">
        <v>18</v>
      </c>
      <c r="G219" s="11">
        <v>0.09</v>
      </c>
      <c r="H219" t="b">
        <f>(COUNTIFS(OrderLines!$A:$A,A219,OrderLines!$F:$F,"Beverage")&gt;0)</f>
        <v>1</v>
      </c>
      <c r="I219">
        <f>SUMIFS(OrderLines!$I:$I,OrderLines!$A:$A,A219)</f>
        <v>25.871300000000002</v>
      </c>
      <c r="J219" t="str">
        <f>IF(AND(COUNTIFS(OrderLines!$A$2:$A$925,A219,OrderLines!$F$2:$F$925,"Hot Meal")&gt;0,COUNTIFS(OrderLines!$A$2:$A$925,A219,OrderLines!$F$2:$F$925,"Beverage")&gt;0),"Combo","Single")</f>
        <v>Single</v>
      </c>
      <c r="K219" t="str">
        <f>IF(SUMPRODUCT((OrderLines!$A$2:$A$925=A219)*OrderLines!$C$2:$C$925*OrderLines!$D$2:$D$925)*G219&gt;40,"HighDisc","OK")</f>
        <v>OK</v>
      </c>
    </row>
    <row r="220" spans="1:11" x14ac:dyDescent="0.3">
      <c r="A220" t="s">
        <v>256</v>
      </c>
      <c r="B220" s="2">
        <v>45879.531284722223</v>
      </c>
      <c r="C220" t="s">
        <v>9</v>
      </c>
      <c r="D220" t="s">
        <v>28</v>
      </c>
      <c r="E220" t="s">
        <v>21</v>
      </c>
      <c r="F220" t="s">
        <v>22</v>
      </c>
      <c r="G220" s="11">
        <v>0.02</v>
      </c>
      <c r="H220" t="b">
        <f>(COUNTIFS(OrderLines!$A:$A,A220,OrderLines!$F:$F,"Beverage")&gt;0)</f>
        <v>0</v>
      </c>
      <c r="I220">
        <f>SUMIFS(OrderLines!$I:$I,OrderLines!$A:$A,A220)</f>
        <v>669.74180000000001</v>
      </c>
      <c r="J220" t="str">
        <f>IF(AND(COUNTIFS(OrderLines!$A$2:$A$925,A220,OrderLines!$F$2:$F$925,"Hot Meal")&gt;0,COUNTIFS(OrderLines!$A$2:$A$925,A220,OrderLines!$F$2:$F$925,"Beverage")&gt;0),"Combo","Single")</f>
        <v>Single</v>
      </c>
      <c r="K220" t="str">
        <f>IF(SUMPRODUCT((OrderLines!$A$2:$A$925=A220)*OrderLines!$C$2:$C$925*OrderLines!$D$2:$D$925)*G220&gt;40,"HighDisc","OK")</f>
        <v>OK</v>
      </c>
    </row>
    <row r="221" spans="1:11" x14ac:dyDescent="0.3">
      <c r="A221" t="s">
        <v>257</v>
      </c>
      <c r="B221" s="2">
        <v>45866.410069444442</v>
      </c>
      <c r="C221" t="s">
        <v>27</v>
      </c>
      <c r="D221" t="s">
        <v>10</v>
      </c>
      <c r="E221" t="s">
        <v>21</v>
      </c>
      <c r="F221" t="s">
        <v>12</v>
      </c>
      <c r="G221" s="11">
        <v>0.06</v>
      </c>
      <c r="H221" t="b">
        <f>(COUNTIFS(OrderLines!$A:$A,A221,OrderLines!$F:$F,"Beverage")&gt;0)</f>
        <v>0</v>
      </c>
      <c r="I221">
        <f>SUMIFS(OrderLines!$I:$I,OrderLines!$A:$A,A221)</f>
        <v>582.66840000000002</v>
      </c>
      <c r="J221" t="str">
        <f>IF(AND(COUNTIFS(OrderLines!$A$2:$A$925,A221,OrderLines!$F$2:$F$925,"Hot Meal")&gt;0,COUNTIFS(OrderLines!$A$2:$A$925,A221,OrderLines!$F$2:$F$925,"Beverage")&gt;0),"Combo","Single")</f>
        <v>Single</v>
      </c>
      <c r="K221" t="str">
        <f>IF(SUMPRODUCT((OrderLines!$A$2:$A$925=A221)*OrderLines!$C$2:$C$925*OrderLines!$D$2:$D$925)*G221&gt;40,"HighDisc","OK")</f>
        <v>OK</v>
      </c>
    </row>
    <row r="222" spans="1:11" x14ac:dyDescent="0.3">
      <c r="A222" t="s">
        <v>258</v>
      </c>
      <c r="B222" s="2">
        <v>45882.298217592594</v>
      </c>
      <c r="C222" t="s">
        <v>15</v>
      </c>
      <c r="D222" t="s">
        <v>28</v>
      </c>
      <c r="E222" t="s">
        <v>21</v>
      </c>
      <c r="F222" t="s">
        <v>12</v>
      </c>
      <c r="G222" s="11">
        <v>0</v>
      </c>
      <c r="H222" t="b">
        <f>(COUNTIFS(OrderLines!$A:$A,A222,OrderLines!$F:$F,"Beverage")&gt;0)</f>
        <v>0</v>
      </c>
      <c r="I222">
        <f>SUMIFS(OrderLines!$I:$I,OrderLines!$A:$A,A222)</f>
        <v>57.07</v>
      </c>
      <c r="J222" t="str">
        <f>IF(AND(COUNTIFS(OrderLines!$A$2:$A$925,A222,OrderLines!$F$2:$F$925,"Hot Meal")&gt;0,COUNTIFS(OrderLines!$A$2:$A$925,A222,OrderLines!$F$2:$F$925,"Beverage")&gt;0),"Combo","Single")</f>
        <v>Single</v>
      </c>
      <c r="K222" t="str">
        <f>IF(SUMPRODUCT((OrderLines!$A$2:$A$925=A222)*OrderLines!$C$2:$C$925*OrderLines!$D$2:$D$925)*G222&gt;40,"HighDisc","OK")</f>
        <v>OK</v>
      </c>
    </row>
    <row r="223" spans="1:11" x14ac:dyDescent="0.3">
      <c r="A223" t="s">
        <v>259</v>
      </c>
      <c r="B223" s="2">
        <v>45874.914675925917</v>
      </c>
      <c r="C223" t="s">
        <v>9</v>
      </c>
      <c r="D223" t="s">
        <v>10</v>
      </c>
      <c r="E223" t="s">
        <v>21</v>
      </c>
      <c r="F223" t="s">
        <v>18</v>
      </c>
      <c r="G223" s="11">
        <v>0.02</v>
      </c>
      <c r="H223" t="b">
        <f>(COUNTIFS(OrderLines!$A:$A,A223,OrderLines!$F:$F,"Beverage")&gt;0)</f>
        <v>1</v>
      </c>
      <c r="I223">
        <f>SUMIFS(OrderLines!$I:$I,OrderLines!$A:$A,A223)</f>
        <v>297.38099999999997</v>
      </c>
      <c r="J223" t="str">
        <f>IF(AND(COUNTIFS(OrderLines!$A$2:$A$925,A223,OrderLines!$F$2:$F$925,"Hot Meal")&gt;0,COUNTIFS(OrderLines!$A$2:$A$925,A223,OrderLines!$F$2:$F$925,"Beverage")&gt;0),"Combo","Single")</f>
        <v>Single</v>
      </c>
      <c r="K223" t="str">
        <f>IF(SUMPRODUCT((OrderLines!$A$2:$A$925=A223)*OrderLines!$C$2:$C$925*OrderLines!$D$2:$D$925)*G223&gt;40,"HighDisc","OK")</f>
        <v>OK</v>
      </c>
    </row>
    <row r="224" spans="1:11" x14ac:dyDescent="0.3">
      <c r="A224" t="s">
        <v>260</v>
      </c>
      <c r="B224" s="2">
        <v>45877.90552083333</v>
      </c>
      <c r="C224" t="s">
        <v>15</v>
      </c>
      <c r="D224" t="s">
        <v>28</v>
      </c>
      <c r="E224" t="s">
        <v>17</v>
      </c>
      <c r="F224" t="s">
        <v>18</v>
      </c>
      <c r="G224" s="11">
        <v>0.05</v>
      </c>
      <c r="H224" t="b">
        <f>(COUNTIFS(OrderLines!$A:$A,A224,OrderLines!$F:$F,"Beverage")&gt;0)</f>
        <v>1</v>
      </c>
      <c r="I224">
        <f>SUMIFS(OrderLines!$I:$I,OrderLines!$A:$A,A224)</f>
        <v>178.08699999999999</v>
      </c>
      <c r="J224" t="str">
        <f>IF(AND(COUNTIFS(OrderLines!$A$2:$A$925,A224,OrderLines!$F$2:$F$925,"Hot Meal")&gt;0,COUNTIFS(OrderLines!$A$2:$A$925,A224,OrderLines!$F$2:$F$925,"Beverage")&gt;0),"Combo","Single")</f>
        <v>Single</v>
      </c>
      <c r="K224" t="str">
        <f>IF(SUMPRODUCT((OrderLines!$A$2:$A$925=A224)*OrderLines!$C$2:$C$925*OrderLines!$D$2:$D$925)*G224&gt;40,"HighDisc","OK")</f>
        <v>OK</v>
      </c>
    </row>
    <row r="225" spans="1:11" x14ac:dyDescent="0.3">
      <c r="A225" t="s">
        <v>261</v>
      </c>
      <c r="B225" s="2">
        <v>45848.150601851848</v>
      </c>
      <c r="C225" t="s">
        <v>9</v>
      </c>
      <c r="D225" t="s">
        <v>28</v>
      </c>
      <c r="E225" t="s">
        <v>11</v>
      </c>
      <c r="F225" t="s">
        <v>12</v>
      </c>
      <c r="G225" s="11">
        <v>0.01</v>
      </c>
      <c r="H225" t="b">
        <f>(COUNTIFS(OrderLines!$A:$A,A225,OrderLines!$F:$F,"Beverage")&gt;0)</f>
        <v>0</v>
      </c>
      <c r="I225">
        <f>SUMIFS(OrderLines!$I:$I,OrderLines!$A:$A,A225)</f>
        <v>155.77650000000003</v>
      </c>
      <c r="J225" t="str">
        <f>IF(AND(COUNTIFS(OrderLines!$A$2:$A$925,A225,OrderLines!$F$2:$F$925,"Hot Meal")&gt;0,COUNTIFS(OrderLines!$A$2:$A$925,A225,OrderLines!$F$2:$F$925,"Beverage")&gt;0),"Combo","Single")</f>
        <v>Single</v>
      </c>
      <c r="K225" t="str">
        <f>IF(SUMPRODUCT((OrderLines!$A$2:$A$925=A225)*OrderLines!$C$2:$C$925*OrderLines!$D$2:$D$925)*G225&gt;40,"HighDisc","OK")</f>
        <v>OK</v>
      </c>
    </row>
    <row r="226" spans="1:11" x14ac:dyDescent="0.3">
      <c r="A226" t="s">
        <v>262</v>
      </c>
      <c r="B226" s="2">
        <v>45844.160682870373</v>
      </c>
      <c r="C226" t="s">
        <v>15</v>
      </c>
      <c r="D226" t="s">
        <v>28</v>
      </c>
      <c r="E226" t="s">
        <v>17</v>
      </c>
      <c r="F226" t="s">
        <v>12</v>
      </c>
      <c r="G226" s="11">
        <v>0.13</v>
      </c>
      <c r="H226" t="b">
        <f>(COUNTIFS(OrderLines!$A:$A,A226,OrderLines!$F:$F,"Beverage")&gt;0)</f>
        <v>1</v>
      </c>
      <c r="I226">
        <f>SUMIFS(OrderLines!$I:$I,OrderLines!$A:$A,A226)</f>
        <v>834.16470000000004</v>
      </c>
      <c r="J226" t="str">
        <f>IF(AND(COUNTIFS(OrderLines!$A$2:$A$925,A226,OrderLines!$F$2:$F$925,"Hot Meal")&gt;0,COUNTIFS(OrderLines!$A$2:$A$925,A226,OrderLines!$F$2:$F$925,"Beverage")&gt;0),"Combo","Single")</f>
        <v>Combo</v>
      </c>
      <c r="K226" t="str">
        <f>IF(SUMPRODUCT((OrderLines!$A$2:$A$925=A226)*OrderLines!$C$2:$C$925*OrderLines!$D$2:$D$925)*G226&gt;40,"HighDisc","OK")</f>
        <v>HighDisc</v>
      </c>
    </row>
    <row r="227" spans="1:11" x14ac:dyDescent="0.3">
      <c r="A227" t="s">
        <v>263</v>
      </c>
      <c r="B227" s="2">
        <v>45845.911377314813</v>
      </c>
      <c r="C227" t="s">
        <v>9</v>
      </c>
      <c r="D227" t="s">
        <v>28</v>
      </c>
      <c r="E227" t="s">
        <v>11</v>
      </c>
      <c r="F227" t="s">
        <v>18</v>
      </c>
      <c r="G227" s="11">
        <v>0</v>
      </c>
      <c r="H227" t="b">
        <f>(COUNTIFS(OrderLines!$A:$A,A227,OrderLines!$F:$F,"Beverage")&gt;0)</f>
        <v>1</v>
      </c>
      <c r="I227">
        <f>SUMIFS(OrderLines!$I:$I,OrderLines!$A:$A,A227)</f>
        <v>329.84000000000003</v>
      </c>
      <c r="J227" t="str">
        <f>IF(AND(COUNTIFS(OrderLines!$A$2:$A$925,A227,OrderLines!$F$2:$F$925,"Hot Meal")&gt;0,COUNTIFS(OrderLines!$A$2:$A$925,A227,OrderLines!$F$2:$F$925,"Beverage")&gt;0),"Combo","Single")</f>
        <v>Combo</v>
      </c>
      <c r="K227" t="str">
        <f>IF(SUMPRODUCT((OrderLines!$A$2:$A$925=A227)*OrderLines!$C$2:$C$925*OrderLines!$D$2:$D$925)*G227&gt;40,"HighDisc","OK")</f>
        <v>OK</v>
      </c>
    </row>
    <row r="228" spans="1:11" x14ac:dyDescent="0.3">
      <c r="A228" t="s">
        <v>264</v>
      </c>
      <c r="B228" s="2">
        <v>45861.871921296297</v>
      </c>
      <c r="C228" t="s">
        <v>15</v>
      </c>
      <c r="D228" t="s">
        <v>28</v>
      </c>
      <c r="E228" t="s">
        <v>11</v>
      </c>
      <c r="F228" t="s">
        <v>18</v>
      </c>
      <c r="G228" s="11">
        <v>0.04</v>
      </c>
      <c r="H228" t="b">
        <f>(COUNTIFS(OrderLines!$A:$A,A228,OrderLines!$F:$F,"Beverage")&gt;0)</f>
        <v>0</v>
      </c>
      <c r="I228">
        <f>SUMIFS(OrderLines!$I:$I,OrderLines!$A:$A,A228)</f>
        <v>380.0256</v>
      </c>
      <c r="J228" t="str">
        <f>IF(AND(COUNTIFS(OrderLines!$A$2:$A$925,A228,OrderLines!$F$2:$F$925,"Hot Meal")&gt;0,COUNTIFS(OrderLines!$A$2:$A$925,A228,OrderLines!$F$2:$F$925,"Beverage")&gt;0),"Combo","Single")</f>
        <v>Single</v>
      </c>
      <c r="K228" t="str">
        <f>IF(SUMPRODUCT((OrderLines!$A$2:$A$925=A228)*OrderLines!$C$2:$C$925*OrderLines!$D$2:$D$925)*G228&gt;40,"HighDisc","OK")</f>
        <v>OK</v>
      </c>
    </row>
    <row r="229" spans="1:11" x14ac:dyDescent="0.3">
      <c r="A229" t="s">
        <v>265</v>
      </c>
      <c r="B229" s="2">
        <v>45866.170706018522</v>
      </c>
      <c r="C229" t="s">
        <v>27</v>
      </c>
      <c r="D229" t="s">
        <v>28</v>
      </c>
      <c r="E229" t="s">
        <v>11</v>
      </c>
      <c r="F229" t="s">
        <v>12</v>
      </c>
      <c r="G229" s="11">
        <v>7.0000000000000007E-2</v>
      </c>
      <c r="H229" t="b">
        <f>(COUNTIFS(OrderLines!$A:$A,A229,OrderLines!$F:$F,"Beverage")&gt;0)</f>
        <v>0</v>
      </c>
      <c r="I229">
        <f>SUMIFS(OrderLines!$I:$I,OrderLines!$A:$A,A229)</f>
        <v>100.812</v>
      </c>
      <c r="J229" t="str">
        <f>IF(AND(COUNTIFS(OrderLines!$A$2:$A$925,A229,OrderLines!$F$2:$F$925,"Hot Meal")&gt;0,COUNTIFS(OrderLines!$A$2:$A$925,A229,OrderLines!$F$2:$F$925,"Beverage")&gt;0),"Combo","Single")</f>
        <v>Single</v>
      </c>
      <c r="K229" t="str">
        <f>IF(SUMPRODUCT((OrderLines!$A$2:$A$925=A229)*OrderLines!$C$2:$C$925*OrderLines!$D$2:$D$925)*G229&gt;40,"HighDisc","OK")</f>
        <v>OK</v>
      </c>
    </row>
    <row r="230" spans="1:11" x14ac:dyDescent="0.3">
      <c r="A230" t="s">
        <v>266</v>
      </c>
      <c r="B230" s="2">
        <v>45856.191979166673</v>
      </c>
      <c r="C230" t="s">
        <v>27</v>
      </c>
      <c r="D230" t="s">
        <v>10</v>
      </c>
      <c r="E230" t="s">
        <v>17</v>
      </c>
      <c r="F230" t="s">
        <v>12</v>
      </c>
      <c r="G230" s="11">
        <v>0.12</v>
      </c>
      <c r="H230" t="b">
        <f>(COUNTIFS(OrderLines!$A:$A,A230,OrderLines!$F:$F,"Beverage")&gt;0)</f>
        <v>0</v>
      </c>
      <c r="I230">
        <f>SUMIFS(OrderLines!$I:$I,OrderLines!$A:$A,A230)</f>
        <v>455.21519999999998</v>
      </c>
      <c r="J230" t="str">
        <f>IF(AND(COUNTIFS(OrderLines!$A$2:$A$925,A230,OrderLines!$F$2:$F$925,"Hot Meal")&gt;0,COUNTIFS(OrderLines!$A$2:$A$925,A230,OrderLines!$F$2:$F$925,"Beverage")&gt;0),"Combo","Single")</f>
        <v>Single</v>
      </c>
      <c r="K230" t="str">
        <f>IF(SUMPRODUCT((OrderLines!$A$2:$A$925=A230)*OrderLines!$C$2:$C$925*OrderLines!$D$2:$D$925)*G230&gt;40,"HighDisc","OK")</f>
        <v>HighDisc</v>
      </c>
    </row>
    <row r="231" spans="1:11" x14ac:dyDescent="0.3">
      <c r="A231" t="s">
        <v>267</v>
      </c>
      <c r="B231" s="2">
        <v>45840.692789351851</v>
      </c>
      <c r="C231" t="s">
        <v>15</v>
      </c>
      <c r="D231" t="s">
        <v>28</v>
      </c>
      <c r="E231" t="s">
        <v>11</v>
      </c>
      <c r="F231" t="s">
        <v>18</v>
      </c>
      <c r="G231" s="11">
        <v>0</v>
      </c>
      <c r="H231" t="b">
        <f>(COUNTIFS(OrderLines!$A:$A,A231,OrderLines!$F:$F,"Beverage")&gt;0)</f>
        <v>1</v>
      </c>
      <c r="I231">
        <f>SUMIFS(OrderLines!$I:$I,OrderLines!$A:$A,A231)</f>
        <v>199.26000000000002</v>
      </c>
      <c r="J231" t="str">
        <f>IF(AND(COUNTIFS(OrderLines!$A$2:$A$925,A231,OrderLines!$F$2:$F$925,"Hot Meal")&gt;0,COUNTIFS(OrderLines!$A$2:$A$925,A231,OrderLines!$F$2:$F$925,"Beverage")&gt;0),"Combo","Single")</f>
        <v>Combo</v>
      </c>
      <c r="K231" t="str">
        <f>IF(SUMPRODUCT((OrderLines!$A$2:$A$925=A231)*OrderLines!$C$2:$C$925*OrderLines!$D$2:$D$925)*G231&gt;40,"HighDisc","OK")</f>
        <v>OK</v>
      </c>
    </row>
    <row r="232" spans="1:11" x14ac:dyDescent="0.3">
      <c r="A232" t="s">
        <v>268</v>
      </c>
      <c r="B232" s="2">
        <v>45840.782187500001</v>
      </c>
      <c r="C232" t="s">
        <v>27</v>
      </c>
      <c r="D232" t="s">
        <v>16</v>
      </c>
      <c r="E232" t="s">
        <v>17</v>
      </c>
      <c r="F232" t="s">
        <v>18</v>
      </c>
      <c r="G232" s="11">
        <v>0.11</v>
      </c>
      <c r="H232" t="b">
        <f>(COUNTIFS(OrderLines!$A:$A,A232,OrderLines!$F:$F,"Beverage")&gt;0)</f>
        <v>1</v>
      </c>
      <c r="I232">
        <f>SUMIFS(OrderLines!$I:$I,OrderLines!$A:$A,A232)</f>
        <v>460.40589999999997</v>
      </c>
      <c r="J232" t="str">
        <f>IF(AND(COUNTIFS(OrderLines!$A$2:$A$925,A232,OrderLines!$F$2:$F$925,"Hot Meal")&gt;0,COUNTIFS(OrderLines!$A$2:$A$925,A232,OrderLines!$F$2:$F$925,"Beverage")&gt;0),"Combo","Single")</f>
        <v>Single</v>
      </c>
      <c r="K232" t="str">
        <f>IF(SUMPRODUCT((OrderLines!$A$2:$A$925=A232)*OrderLines!$C$2:$C$925*OrderLines!$D$2:$D$925)*G232&gt;40,"HighDisc","OK")</f>
        <v>HighDisc</v>
      </c>
    </row>
    <row r="233" spans="1:11" x14ac:dyDescent="0.3">
      <c r="A233" t="s">
        <v>269</v>
      </c>
      <c r="B233" s="2">
        <v>45880.121215277781</v>
      </c>
      <c r="C233" t="s">
        <v>9</v>
      </c>
      <c r="D233" t="s">
        <v>28</v>
      </c>
      <c r="E233" t="s">
        <v>11</v>
      </c>
      <c r="F233" t="s">
        <v>12</v>
      </c>
      <c r="G233" s="11">
        <v>0.06</v>
      </c>
      <c r="H233" t="b">
        <f>(COUNTIFS(OrderLines!$A:$A,A233,OrderLines!$F:$F,"Beverage")&gt;0)</f>
        <v>1</v>
      </c>
      <c r="I233">
        <f>SUMIFS(OrderLines!$I:$I,OrderLines!$A:$A,A233)</f>
        <v>483.5172</v>
      </c>
      <c r="J233" t="str">
        <f>IF(AND(COUNTIFS(OrderLines!$A$2:$A$925,A233,OrderLines!$F$2:$F$925,"Hot Meal")&gt;0,COUNTIFS(OrderLines!$A$2:$A$925,A233,OrderLines!$F$2:$F$925,"Beverage")&gt;0),"Combo","Single")</f>
        <v>Combo</v>
      </c>
      <c r="K233" t="str">
        <f>IF(SUMPRODUCT((OrderLines!$A$2:$A$925=A233)*OrderLines!$C$2:$C$925*OrderLines!$D$2:$D$925)*G233&gt;40,"HighDisc","OK")</f>
        <v>OK</v>
      </c>
    </row>
    <row r="234" spans="1:11" x14ac:dyDescent="0.3">
      <c r="A234" t="s">
        <v>270</v>
      </c>
      <c r="B234" s="2">
        <v>45885.488888888889</v>
      </c>
      <c r="C234" t="s">
        <v>15</v>
      </c>
      <c r="D234" t="s">
        <v>16</v>
      </c>
      <c r="E234" t="s">
        <v>11</v>
      </c>
      <c r="F234" t="s">
        <v>22</v>
      </c>
      <c r="G234" s="11">
        <v>0.02</v>
      </c>
      <c r="H234" t="b">
        <f>(COUNTIFS(OrderLines!$A:$A,A234,OrderLines!$F:$F,"Beverage")&gt;0)</f>
        <v>1</v>
      </c>
      <c r="I234">
        <f>SUMIFS(OrderLines!$I:$I,OrderLines!$A:$A,A234)</f>
        <v>128.10560000000001</v>
      </c>
      <c r="J234" t="str">
        <f>IF(AND(COUNTIFS(OrderLines!$A$2:$A$925,A234,OrderLines!$F$2:$F$925,"Hot Meal")&gt;0,COUNTIFS(OrderLines!$A$2:$A$925,A234,OrderLines!$F$2:$F$925,"Beverage")&gt;0),"Combo","Single")</f>
        <v>Single</v>
      </c>
      <c r="K234" t="str">
        <f>IF(SUMPRODUCT((OrderLines!$A$2:$A$925=A234)*OrderLines!$C$2:$C$925*OrderLines!$D$2:$D$925)*G234&gt;40,"HighDisc","OK")</f>
        <v>OK</v>
      </c>
    </row>
    <row r="235" spans="1:11" x14ac:dyDescent="0.3">
      <c r="A235" t="s">
        <v>271</v>
      </c>
      <c r="B235" s="2">
        <v>45883.135370370372</v>
      </c>
      <c r="C235" t="s">
        <v>9</v>
      </c>
      <c r="D235" t="s">
        <v>28</v>
      </c>
      <c r="E235" t="s">
        <v>11</v>
      </c>
      <c r="F235" t="s">
        <v>12</v>
      </c>
      <c r="G235" s="11">
        <v>0.08</v>
      </c>
      <c r="H235" t="b">
        <f>(COUNTIFS(OrderLines!$A:$A,A235,OrderLines!$F:$F,"Beverage")&gt;0)</f>
        <v>0</v>
      </c>
      <c r="I235">
        <f>SUMIFS(OrderLines!$I:$I,OrderLines!$A:$A,A235)</f>
        <v>36.754000000000005</v>
      </c>
      <c r="J235" t="str">
        <f>IF(AND(COUNTIFS(OrderLines!$A$2:$A$925,A235,OrderLines!$F$2:$F$925,"Hot Meal")&gt;0,COUNTIFS(OrderLines!$A$2:$A$925,A235,OrderLines!$F$2:$F$925,"Beverage")&gt;0),"Combo","Single")</f>
        <v>Single</v>
      </c>
      <c r="K235" t="str">
        <f>IF(SUMPRODUCT((OrderLines!$A$2:$A$925=A235)*OrderLines!$C$2:$C$925*OrderLines!$D$2:$D$925)*G235&gt;40,"HighDisc","OK")</f>
        <v>OK</v>
      </c>
    </row>
    <row r="236" spans="1:11" x14ac:dyDescent="0.3">
      <c r="A236" t="s">
        <v>272</v>
      </c>
      <c r="B236" s="2">
        <v>45889.877881944441</v>
      </c>
      <c r="C236" t="s">
        <v>15</v>
      </c>
      <c r="D236" t="s">
        <v>16</v>
      </c>
      <c r="E236" t="s">
        <v>11</v>
      </c>
      <c r="F236" t="s">
        <v>18</v>
      </c>
      <c r="G236" s="11">
        <v>7.0000000000000007E-2</v>
      </c>
      <c r="H236" t="b">
        <f>(COUNTIFS(OrderLines!$A:$A,A236,OrderLines!$F:$F,"Beverage")&gt;0)</f>
        <v>0</v>
      </c>
      <c r="I236">
        <f>SUMIFS(OrderLines!$I:$I,OrderLines!$A:$A,A236)</f>
        <v>136.15199999999999</v>
      </c>
      <c r="J236" t="str">
        <f>IF(AND(COUNTIFS(OrderLines!$A$2:$A$925,A236,OrderLines!$F$2:$F$925,"Hot Meal")&gt;0,COUNTIFS(OrderLines!$A$2:$A$925,A236,OrderLines!$F$2:$F$925,"Beverage")&gt;0),"Combo","Single")</f>
        <v>Single</v>
      </c>
      <c r="K236" t="str">
        <f>IF(SUMPRODUCT((OrderLines!$A$2:$A$925=A236)*OrderLines!$C$2:$C$925*OrderLines!$D$2:$D$925)*G236&gt;40,"HighDisc","OK")</f>
        <v>OK</v>
      </c>
    </row>
    <row r="237" spans="1:11" x14ac:dyDescent="0.3">
      <c r="A237" t="s">
        <v>273</v>
      </c>
      <c r="B237" s="2">
        <v>45845.155555555553</v>
      </c>
      <c r="C237" t="s">
        <v>15</v>
      </c>
      <c r="D237" t="s">
        <v>16</v>
      </c>
      <c r="E237" t="s">
        <v>21</v>
      </c>
      <c r="F237" t="s">
        <v>12</v>
      </c>
      <c r="G237" s="11">
        <v>0.04</v>
      </c>
      <c r="H237" t="b">
        <f>(COUNTIFS(OrderLines!$A:$A,A237,OrderLines!$F:$F,"Beverage")&gt;0)</f>
        <v>0</v>
      </c>
      <c r="I237">
        <f>SUMIFS(OrderLines!$I:$I,OrderLines!$A:$A,A237)</f>
        <v>190.22399999999999</v>
      </c>
      <c r="J237" t="str">
        <f>IF(AND(COUNTIFS(OrderLines!$A$2:$A$925,A237,OrderLines!$F$2:$F$925,"Hot Meal")&gt;0,COUNTIFS(OrderLines!$A$2:$A$925,A237,OrderLines!$F$2:$F$925,"Beverage")&gt;0),"Combo","Single")</f>
        <v>Single</v>
      </c>
      <c r="K237" t="str">
        <f>IF(SUMPRODUCT((OrderLines!$A$2:$A$925=A237)*OrderLines!$C$2:$C$925*OrderLines!$D$2:$D$925)*G237&gt;40,"HighDisc","OK")</f>
        <v>OK</v>
      </c>
    </row>
    <row r="238" spans="1:11" x14ac:dyDescent="0.3">
      <c r="A238" t="s">
        <v>274</v>
      </c>
      <c r="B238" s="2">
        <v>45886.850381944438</v>
      </c>
      <c r="C238" t="s">
        <v>9</v>
      </c>
      <c r="D238" t="s">
        <v>16</v>
      </c>
      <c r="E238" t="s">
        <v>17</v>
      </c>
      <c r="F238" t="s">
        <v>18</v>
      </c>
      <c r="G238" s="11">
        <v>0.06</v>
      </c>
      <c r="H238" t="b">
        <f>(COUNTIFS(OrderLines!$A:$A,A238,OrderLines!$F:$F,"Beverage")&gt;0)</f>
        <v>0</v>
      </c>
      <c r="I238">
        <f>SUMIFS(OrderLines!$I:$I,OrderLines!$A:$A,A238)</f>
        <v>75.105999999999995</v>
      </c>
      <c r="J238" t="str">
        <f>IF(AND(COUNTIFS(OrderLines!$A$2:$A$925,A238,OrderLines!$F$2:$F$925,"Hot Meal")&gt;0,COUNTIFS(OrderLines!$A$2:$A$925,A238,OrderLines!$F$2:$F$925,"Beverage")&gt;0),"Combo","Single")</f>
        <v>Single</v>
      </c>
      <c r="K238" t="str">
        <f>IF(SUMPRODUCT((OrderLines!$A$2:$A$925=A238)*OrderLines!$C$2:$C$925*OrderLines!$D$2:$D$925)*G238&gt;40,"HighDisc","OK")</f>
        <v>OK</v>
      </c>
    </row>
    <row r="239" spans="1:11" x14ac:dyDescent="0.3">
      <c r="A239" t="s">
        <v>275</v>
      </c>
      <c r="B239" s="2">
        <v>45870.523946759262</v>
      </c>
      <c r="C239" t="s">
        <v>9</v>
      </c>
      <c r="D239" t="s">
        <v>28</v>
      </c>
      <c r="E239" t="s">
        <v>17</v>
      </c>
      <c r="F239" t="s">
        <v>22</v>
      </c>
      <c r="G239" s="11">
        <v>0.04</v>
      </c>
      <c r="H239" t="b">
        <f>(COUNTIFS(OrderLines!$A:$A,A239,OrderLines!$F:$F,"Beverage")&gt;0)</f>
        <v>1</v>
      </c>
      <c r="I239">
        <f>SUMIFS(OrderLines!$I:$I,OrderLines!$A:$A,A239)</f>
        <v>358.31040000000002</v>
      </c>
      <c r="J239" t="str">
        <f>IF(AND(COUNTIFS(OrderLines!$A$2:$A$925,A239,OrderLines!$F$2:$F$925,"Hot Meal")&gt;0,COUNTIFS(OrderLines!$A$2:$A$925,A239,OrderLines!$F$2:$F$925,"Beverage")&gt;0),"Combo","Single")</f>
        <v>Single</v>
      </c>
      <c r="K239" t="str">
        <f>IF(SUMPRODUCT((OrderLines!$A$2:$A$925=A239)*OrderLines!$C$2:$C$925*OrderLines!$D$2:$D$925)*G239&gt;40,"HighDisc","OK")</f>
        <v>OK</v>
      </c>
    </row>
    <row r="240" spans="1:11" x14ac:dyDescent="0.3">
      <c r="A240" t="s">
        <v>276</v>
      </c>
      <c r="B240" s="2">
        <v>45865.95140046296</v>
      </c>
      <c r="C240" t="s">
        <v>9</v>
      </c>
      <c r="D240" t="s">
        <v>10</v>
      </c>
      <c r="E240" t="s">
        <v>11</v>
      </c>
      <c r="F240" t="s">
        <v>18</v>
      </c>
      <c r="G240" s="11">
        <v>0.06</v>
      </c>
      <c r="H240" t="b">
        <f>(COUNTIFS(OrderLines!$A:$A,A240,OrderLines!$F:$F,"Beverage")&gt;0)</f>
        <v>1</v>
      </c>
      <c r="I240">
        <f>SUMIFS(OrderLines!$I:$I,OrderLines!$A:$A,A240)</f>
        <v>403.89919999999995</v>
      </c>
      <c r="J240" t="str">
        <f>IF(AND(COUNTIFS(OrderLines!$A$2:$A$925,A240,OrderLines!$F$2:$F$925,"Hot Meal")&gt;0,COUNTIFS(OrderLines!$A$2:$A$925,A240,OrderLines!$F$2:$F$925,"Beverage")&gt;0),"Combo","Single")</f>
        <v>Combo</v>
      </c>
      <c r="K240" t="str">
        <f>IF(SUMPRODUCT((OrderLines!$A$2:$A$925=A240)*OrderLines!$C$2:$C$925*OrderLines!$D$2:$D$925)*G240&gt;40,"HighDisc","OK")</f>
        <v>OK</v>
      </c>
    </row>
    <row r="241" spans="1:11" x14ac:dyDescent="0.3">
      <c r="A241" t="s">
        <v>277</v>
      </c>
      <c r="B241" s="2">
        <v>45870.822372685187</v>
      </c>
      <c r="C241" t="s">
        <v>15</v>
      </c>
      <c r="D241" t="s">
        <v>10</v>
      </c>
      <c r="E241" t="s">
        <v>11</v>
      </c>
      <c r="F241" t="s">
        <v>18</v>
      </c>
      <c r="G241" s="11">
        <v>0.09</v>
      </c>
      <c r="H241" t="b">
        <f>(COUNTIFS(OrderLines!$A:$A,A241,OrderLines!$F:$F,"Beverage")&gt;0)</f>
        <v>0</v>
      </c>
      <c r="I241">
        <f>SUMIFS(OrderLines!$I:$I,OrderLines!$A:$A,A241)</f>
        <v>1180.0425</v>
      </c>
      <c r="J241" t="str">
        <f>IF(AND(COUNTIFS(OrderLines!$A$2:$A$925,A241,OrderLines!$F$2:$F$925,"Hot Meal")&gt;0,COUNTIFS(OrderLines!$A$2:$A$925,A241,OrderLines!$F$2:$F$925,"Beverage")&gt;0),"Combo","Single")</f>
        <v>Single</v>
      </c>
      <c r="K241" t="str">
        <f>IF(SUMPRODUCT((OrderLines!$A$2:$A$925=A241)*OrderLines!$C$2:$C$925*OrderLines!$D$2:$D$925)*G241&gt;40,"HighDisc","OK")</f>
        <v>HighDisc</v>
      </c>
    </row>
    <row r="242" spans="1:11" x14ac:dyDescent="0.3">
      <c r="A242" t="s">
        <v>278</v>
      </c>
      <c r="B242" s="2">
        <v>45883.301388888889</v>
      </c>
      <c r="C242" t="s">
        <v>9</v>
      </c>
      <c r="D242" t="s">
        <v>10</v>
      </c>
      <c r="E242" t="s">
        <v>21</v>
      </c>
      <c r="F242" t="s">
        <v>12</v>
      </c>
      <c r="G242" s="11">
        <v>0.12</v>
      </c>
      <c r="H242" t="b">
        <f>(COUNTIFS(OrderLines!$A:$A,A242,OrderLines!$F:$F,"Beverage")&gt;0)</f>
        <v>1</v>
      </c>
      <c r="I242">
        <f>SUMIFS(OrderLines!$I:$I,OrderLines!$A:$A,A242)</f>
        <v>129.48319999999998</v>
      </c>
      <c r="J242" t="str">
        <f>IF(AND(COUNTIFS(OrderLines!$A$2:$A$925,A242,OrderLines!$F$2:$F$925,"Hot Meal")&gt;0,COUNTIFS(OrderLines!$A$2:$A$925,A242,OrderLines!$F$2:$F$925,"Beverage")&gt;0),"Combo","Single")</f>
        <v>Single</v>
      </c>
      <c r="K242" t="str">
        <f>IF(SUMPRODUCT((OrderLines!$A$2:$A$925=A242)*OrderLines!$C$2:$C$925*OrderLines!$D$2:$D$925)*G242&gt;40,"HighDisc","OK")</f>
        <v>OK</v>
      </c>
    </row>
    <row r="243" spans="1:11" x14ac:dyDescent="0.3">
      <c r="A243" t="s">
        <v>279</v>
      </c>
      <c r="B243" s="2">
        <v>45850.358495370368</v>
      </c>
      <c r="C243" t="s">
        <v>9</v>
      </c>
      <c r="D243" t="s">
        <v>10</v>
      </c>
      <c r="E243" t="s">
        <v>11</v>
      </c>
      <c r="F243" t="s">
        <v>12</v>
      </c>
      <c r="G243" s="11">
        <v>0.01</v>
      </c>
      <c r="H243" t="b">
        <f>(COUNTIFS(OrderLines!$A:$A,A243,OrderLines!$F:$F,"Beverage")&gt;0)</f>
        <v>0</v>
      </c>
      <c r="I243">
        <f>SUMIFS(OrderLines!$I:$I,OrderLines!$A:$A,A243)</f>
        <v>1112.7204000000002</v>
      </c>
      <c r="J243" t="str">
        <f>IF(AND(COUNTIFS(OrderLines!$A$2:$A$925,A243,OrderLines!$F$2:$F$925,"Hot Meal")&gt;0,COUNTIFS(OrderLines!$A$2:$A$925,A243,OrderLines!$F$2:$F$925,"Beverage")&gt;0),"Combo","Single")</f>
        <v>Single</v>
      </c>
      <c r="K243" t="str">
        <f>IF(SUMPRODUCT((OrderLines!$A$2:$A$925=A243)*OrderLines!$C$2:$C$925*OrderLines!$D$2:$D$925)*G243&gt;40,"HighDisc","OK")</f>
        <v>OK</v>
      </c>
    </row>
    <row r="244" spans="1:11" x14ac:dyDescent="0.3">
      <c r="A244" t="s">
        <v>280</v>
      </c>
      <c r="B244" s="2">
        <v>45881.005648148152</v>
      </c>
      <c r="C244" t="s">
        <v>15</v>
      </c>
      <c r="D244" t="s">
        <v>28</v>
      </c>
      <c r="E244" t="s">
        <v>21</v>
      </c>
      <c r="F244" t="s">
        <v>12</v>
      </c>
      <c r="G244" s="11">
        <v>0.15</v>
      </c>
      <c r="H244" t="b">
        <f>(COUNTIFS(OrderLines!$A:$A,A244,OrderLines!$F:$F,"Beverage")&gt;0)</f>
        <v>0</v>
      </c>
      <c r="I244">
        <f>SUMIFS(OrderLines!$I:$I,OrderLines!$A:$A,A244)</f>
        <v>196.29899999999998</v>
      </c>
      <c r="J244" t="str">
        <f>IF(AND(COUNTIFS(OrderLines!$A$2:$A$925,A244,OrderLines!$F$2:$F$925,"Hot Meal")&gt;0,COUNTIFS(OrderLines!$A$2:$A$925,A244,OrderLines!$F$2:$F$925,"Beverage")&gt;0),"Combo","Single")</f>
        <v>Single</v>
      </c>
      <c r="K244" t="str">
        <f>IF(SUMPRODUCT((OrderLines!$A$2:$A$925=A244)*OrderLines!$C$2:$C$925*OrderLines!$D$2:$D$925)*G244&gt;40,"HighDisc","OK")</f>
        <v>OK</v>
      </c>
    </row>
    <row r="245" spans="1:11" x14ac:dyDescent="0.3">
      <c r="A245" t="s">
        <v>281</v>
      </c>
      <c r="B245" s="2">
        <v>45883.280370370368</v>
      </c>
      <c r="C245" t="s">
        <v>15</v>
      </c>
      <c r="D245" t="s">
        <v>16</v>
      </c>
      <c r="E245" t="s">
        <v>11</v>
      </c>
      <c r="F245" t="s">
        <v>12</v>
      </c>
      <c r="G245" s="11">
        <v>0</v>
      </c>
      <c r="H245" t="b">
        <f>(COUNTIFS(OrderLines!$A:$A,A245,OrderLines!$F:$F,"Beverage")&gt;0)</f>
        <v>1</v>
      </c>
      <c r="I245">
        <f>SUMIFS(OrderLines!$I:$I,OrderLines!$A:$A,A245)</f>
        <v>420.02000000000004</v>
      </c>
      <c r="J245" t="str">
        <f>IF(AND(COUNTIFS(OrderLines!$A$2:$A$925,A245,OrderLines!$F$2:$F$925,"Hot Meal")&gt;0,COUNTIFS(OrderLines!$A$2:$A$925,A245,OrderLines!$F$2:$F$925,"Beverage")&gt;0),"Combo","Single")</f>
        <v>Combo</v>
      </c>
      <c r="K245" t="str">
        <f>IF(SUMPRODUCT((OrderLines!$A$2:$A$925=A245)*OrderLines!$C$2:$C$925*OrderLines!$D$2:$D$925)*G245&gt;40,"HighDisc","OK")</f>
        <v>OK</v>
      </c>
    </row>
    <row r="246" spans="1:11" x14ac:dyDescent="0.3">
      <c r="A246" t="s">
        <v>282</v>
      </c>
      <c r="B246" s="2">
        <v>45869.59542824074</v>
      </c>
      <c r="C246" t="s">
        <v>15</v>
      </c>
      <c r="D246" t="s">
        <v>16</v>
      </c>
      <c r="E246" t="s">
        <v>11</v>
      </c>
      <c r="F246" t="s">
        <v>22</v>
      </c>
      <c r="G246" s="11">
        <v>0.05</v>
      </c>
      <c r="H246" t="b">
        <f>(COUNTIFS(OrderLines!$A:$A,A246,OrderLines!$F:$F,"Beverage")&gt;0)</f>
        <v>0</v>
      </c>
      <c r="I246">
        <f>SUMIFS(OrderLines!$I:$I,OrderLines!$A:$A,A246)</f>
        <v>591.89749999999992</v>
      </c>
      <c r="J246" t="str">
        <f>IF(AND(COUNTIFS(OrderLines!$A$2:$A$925,A246,OrderLines!$F$2:$F$925,"Hot Meal")&gt;0,COUNTIFS(OrderLines!$A$2:$A$925,A246,OrderLines!$F$2:$F$925,"Beverage")&gt;0),"Combo","Single")</f>
        <v>Single</v>
      </c>
      <c r="K246" t="str">
        <f>IF(SUMPRODUCT((OrderLines!$A$2:$A$925=A246)*OrderLines!$C$2:$C$925*OrderLines!$D$2:$D$925)*G246&gt;40,"HighDisc","OK")</f>
        <v>OK</v>
      </c>
    </row>
    <row r="247" spans="1:11" x14ac:dyDescent="0.3">
      <c r="A247" t="s">
        <v>283</v>
      </c>
      <c r="B247" s="2">
        <v>45875.59101851852</v>
      </c>
      <c r="C247" t="s">
        <v>27</v>
      </c>
      <c r="D247" t="s">
        <v>10</v>
      </c>
      <c r="E247" t="s">
        <v>21</v>
      </c>
      <c r="F247" t="s">
        <v>22</v>
      </c>
      <c r="G247" s="11">
        <v>0.08</v>
      </c>
      <c r="H247" t="b">
        <f>(COUNTIFS(OrderLines!$A:$A,A247,OrderLines!$F:$F,"Beverage")&gt;0)</f>
        <v>0</v>
      </c>
      <c r="I247">
        <f>SUMIFS(OrderLines!$I:$I,OrderLines!$A:$A,A247)</f>
        <v>194.69040000000001</v>
      </c>
      <c r="J247" t="str">
        <f>IF(AND(COUNTIFS(OrderLines!$A$2:$A$925,A247,OrderLines!$F$2:$F$925,"Hot Meal")&gt;0,COUNTIFS(OrderLines!$A$2:$A$925,A247,OrderLines!$F$2:$F$925,"Beverage")&gt;0),"Combo","Single")</f>
        <v>Single</v>
      </c>
      <c r="K247" t="str">
        <f>IF(SUMPRODUCT((OrderLines!$A$2:$A$925=A247)*OrderLines!$C$2:$C$925*OrderLines!$D$2:$D$925)*G247&gt;40,"HighDisc","OK")</f>
        <v>OK</v>
      </c>
    </row>
    <row r="248" spans="1:11" x14ac:dyDescent="0.3">
      <c r="A248" t="s">
        <v>284</v>
      </c>
      <c r="B248" s="2">
        <v>45848.107037037043</v>
      </c>
      <c r="C248" t="s">
        <v>27</v>
      </c>
      <c r="D248" t="s">
        <v>28</v>
      </c>
      <c r="E248" t="s">
        <v>21</v>
      </c>
      <c r="F248" t="s">
        <v>12</v>
      </c>
      <c r="G248" s="11">
        <v>7.0000000000000007E-2</v>
      </c>
      <c r="H248" t="b">
        <f>(COUNTIFS(OrderLines!$A:$A,A248,OrderLines!$F:$F,"Beverage")&gt;0)</f>
        <v>0</v>
      </c>
      <c r="I248">
        <f>SUMIFS(OrderLines!$I:$I,OrderLines!$A:$A,A248)</f>
        <v>775.47119999999995</v>
      </c>
      <c r="J248" t="str">
        <f>IF(AND(COUNTIFS(OrderLines!$A$2:$A$925,A248,OrderLines!$F$2:$F$925,"Hot Meal")&gt;0,COUNTIFS(OrderLines!$A$2:$A$925,A248,OrderLines!$F$2:$F$925,"Beverage")&gt;0),"Combo","Single")</f>
        <v>Single</v>
      </c>
      <c r="K248" t="str">
        <f>IF(SUMPRODUCT((OrderLines!$A$2:$A$925=A248)*OrderLines!$C$2:$C$925*OrderLines!$D$2:$D$925)*G248&gt;40,"HighDisc","OK")</f>
        <v>HighDisc</v>
      </c>
    </row>
    <row r="249" spans="1:11" x14ac:dyDescent="0.3">
      <c r="A249" t="s">
        <v>285</v>
      </c>
      <c r="B249" s="2">
        <v>45875.43041666667</v>
      </c>
      <c r="C249" t="s">
        <v>27</v>
      </c>
      <c r="D249" t="s">
        <v>10</v>
      </c>
      <c r="E249" t="s">
        <v>17</v>
      </c>
      <c r="F249" t="s">
        <v>12</v>
      </c>
      <c r="G249" s="11">
        <v>0.04</v>
      </c>
      <c r="H249" t="b">
        <f>(COUNTIFS(OrderLines!$A:$A,A249,OrderLines!$F:$F,"Beverage")&gt;0)</f>
        <v>0</v>
      </c>
      <c r="I249">
        <f>SUMIFS(OrderLines!$I:$I,OrderLines!$A:$A,A249)</f>
        <v>274.59839999999997</v>
      </c>
      <c r="J249" t="str">
        <f>IF(AND(COUNTIFS(OrderLines!$A$2:$A$925,A249,OrderLines!$F$2:$F$925,"Hot Meal")&gt;0,COUNTIFS(OrderLines!$A$2:$A$925,A249,OrderLines!$F$2:$F$925,"Beverage")&gt;0),"Combo","Single")</f>
        <v>Single</v>
      </c>
      <c r="K249" t="str">
        <f>IF(SUMPRODUCT((OrderLines!$A$2:$A$925=A249)*OrderLines!$C$2:$C$925*OrderLines!$D$2:$D$925)*G249&gt;40,"HighDisc","OK")</f>
        <v>OK</v>
      </c>
    </row>
    <row r="250" spans="1:11" x14ac:dyDescent="0.3">
      <c r="A250" t="s">
        <v>286</v>
      </c>
      <c r="B250" s="2">
        <v>45893.784039351849</v>
      </c>
      <c r="C250" t="s">
        <v>15</v>
      </c>
      <c r="D250" t="s">
        <v>10</v>
      </c>
      <c r="E250" t="s">
        <v>17</v>
      </c>
      <c r="F250" t="s">
        <v>18</v>
      </c>
      <c r="G250" s="11">
        <v>0.05</v>
      </c>
      <c r="H250" t="b">
        <f>(COUNTIFS(OrderLines!$A:$A,A250,OrderLines!$F:$F,"Beverage")&gt;0)</f>
        <v>0</v>
      </c>
      <c r="I250">
        <f>SUMIFS(OrderLines!$I:$I,OrderLines!$A:$A,A250)</f>
        <v>612.57899999999995</v>
      </c>
      <c r="J250" t="str">
        <f>IF(AND(COUNTIFS(OrderLines!$A$2:$A$925,A250,OrderLines!$F$2:$F$925,"Hot Meal")&gt;0,COUNTIFS(OrderLines!$A$2:$A$925,A250,OrderLines!$F$2:$F$925,"Beverage")&gt;0),"Combo","Single")</f>
        <v>Single</v>
      </c>
      <c r="K250" t="str">
        <f>IF(SUMPRODUCT((OrderLines!$A$2:$A$925=A250)*OrderLines!$C$2:$C$925*OrderLines!$D$2:$D$925)*G250&gt;40,"HighDisc","OK")</f>
        <v>OK</v>
      </c>
    </row>
    <row r="251" spans="1:11" x14ac:dyDescent="0.3">
      <c r="A251" t="s">
        <v>287</v>
      </c>
      <c r="B251" s="2">
        <v>45873.580960648149</v>
      </c>
      <c r="C251" t="s">
        <v>9</v>
      </c>
      <c r="D251" t="s">
        <v>16</v>
      </c>
      <c r="E251" t="s">
        <v>11</v>
      </c>
      <c r="F251" t="s">
        <v>22</v>
      </c>
      <c r="G251" s="11">
        <v>0.04</v>
      </c>
      <c r="H251" t="b">
        <f>(COUNTIFS(OrderLines!$A:$A,A251,OrderLines!$F:$F,"Beverage")&gt;0)</f>
        <v>1</v>
      </c>
      <c r="I251">
        <f>SUMIFS(OrderLines!$I:$I,OrderLines!$A:$A,A251)</f>
        <v>1076.9951999999998</v>
      </c>
      <c r="J251" t="str">
        <f>IF(AND(COUNTIFS(OrderLines!$A$2:$A$925,A251,OrderLines!$F$2:$F$925,"Hot Meal")&gt;0,COUNTIFS(OrderLines!$A$2:$A$925,A251,OrderLines!$F$2:$F$925,"Beverage")&gt;0),"Combo","Single")</f>
        <v>Combo</v>
      </c>
      <c r="K251" t="str">
        <f>IF(SUMPRODUCT((OrderLines!$A$2:$A$925=A251)*OrderLines!$C$2:$C$925*OrderLines!$D$2:$D$925)*G251&gt;40,"HighDisc","OK")</f>
        <v>HighDisc</v>
      </c>
    </row>
    <row r="252" spans="1:11" x14ac:dyDescent="0.3">
      <c r="A252" t="s">
        <v>288</v>
      </c>
      <c r="B252" s="2">
        <v>45867.176041666673</v>
      </c>
      <c r="C252" t="s">
        <v>9</v>
      </c>
      <c r="D252" t="s">
        <v>16</v>
      </c>
      <c r="E252" t="s">
        <v>21</v>
      </c>
      <c r="F252" t="s">
        <v>12</v>
      </c>
      <c r="G252" s="11">
        <v>0.04</v>
      </c>
      <c r="H252" t="b">
        <f>(COUNTIFS(OrderLines!$A:$A,A252,OrderLines!$F:$F,"Beverage")&gt;0)</f>
        <v>0</v>
      </c>
      <c r="I252">
        <f>SUMIFS(OrderLines!$I:$I,OrderLines!$A:$A,A252)</f>
        <v>1478.0544</v>
      </c>
      <c r="J252" t="str">
        <f>IF(AND(COUNTIFS(OrderLines!$A$2:$A$925,A252,OrderLines!$F$2:$F$925,"Hot Meal")&gt;0,COUNTIFS(OrderLines!$A$2:$A$925,A252,OrderLines!$F$2:$F$925,"Beverage")&gt;0),"Combo","Single")</f>
        <v>Single</v>
      </c>
      <c r="K252" t="str">
        <f>IF(SUMPRODUCT((OrderLines!$A$2:$A$925=A252)*OrderLines!$C$2:$C$925*OrderLines!$D$2:$D$925)*G252&gt;40,"HighDisc","OK")</f>
        <v>HighDisc</v>
      </c>
    </row>
    <row r="253" spans="1:11" x14ac:dyDescent="0.3">
      <c r="A253" t="s">
        <v>289</v>
      </c>
      <c r="B253" s="2">
        <v>45895.360312500001</v>
      </c>
      <c r="C253" t="s">
        <v>9</v>
      </c>
      <c r="D253" t="s">
        <v>28</v>
      </c>
      <c r="E253" t="s">
        <v>17</v>
      </c>
      <c r="F253" t="s">
        <v>12</v>
      </c>
      <c r="G253" s="11">
        <v>0.09</v>
      </c>
      <c r="H253" t="b">
        <f>(COUNTIFS(OrderLines!$A:$A,A253,OrderLines!$F:$F,"Beverage")&gt;0)</f>
        <v>0</v>
      </c>
      <c r="I253">
        <f>SUMIFS(OrderLines!$I:$I,OrderLines!$A:$A,A253)</f>
        <v>924.43260000000009</v>
      </c>
      <c r="J253" t="str">
        <f>IF(AND(COUNTIFS(OrderLines!$A$2:$A$925,A253,OrderLines!$F$2:$F$925,"Hot Meal")&gt;0,COUNTIFS(OrderLines!$A$2:$A$925,A253,OrderLines!$F$2:$F$925,"Beverage")&gt;0),"Combo","Single")</f>
        <v>Single</v>
      </c>
      <c r="K253" t="str">
        <f>IF(SUMPRODUCT((OrderLines!$A$2:$A$925=A253)*OrderLines!$C$2:$C$925*OrderLines!$D$2:$D$925)*G253&gt;40,"HighDisc","OK")</f>
        <v>HighDisc</v>
      </c>
    </row>
    <row r="254" spans="1:11" x14ac:dyDescent="0.3">
      <c r="A254" t="s">
        <v>290</v>
      </c>
      <c r="B254" s="2">
        <v>45861.022013888891</v>
      </c>
      <c r="C254" t="s">
        <v>27</v>
      </c>
      <c r="D254" t="s">
        <v>16</v>
      </c>
      <c r="E254" t="s">
        <v>11</v>
      </c>
      <c r="F254" t="s">
        <v>12</v>
      </c>
      <c r="G254" s="11">
        <v>7.0000000000000007E-2</v>
      </c>
      <c r="H254" t="b">
        <f>(COUNTIFS(OrderLines!$A:$A,A254,OrderLines!$F:$F,"Beverage")&gt;0)</f>
        <v>0</v>
      </c>
      <c r="I254">
        <f>SUMIFS(OrderLines!$I:$I,OrderLines!$A:$A,A254)</f>
        <v>260.45580000000001</v>
      </c>
      <c r="J254" t="str">
        <f>IF(AND(COUNTIFS(OrderLines!$A$2:$A$925,A254,OrderLines!$F$2:$F$925,"Hot Meal")&gt;0,COUNTIFS(OrderLines!$A$2:$A$925,A254,OrderLines!$F$2:$F$925,"Beverage")&gt;0),"Combo","Single")</f>
        <v>Single</v>
      </c>
      <c r="K254" t="str">
        <f>IF(SUMPRODUCT((OrderLines!$A$2:$A$925=A254)*OrderLines!$C$2:$C$925*OrderLines!$D$2:$D$925)*G254&gt;40,"HighDisc","OK")</f>
        <v>OK</v>
      </c>
    </row>
    <row r="255" spans="1:11" x14ac:dyDescent="0.3">
      <c r="A255" t="s">
        <v>291</v>
      </c>
      <c r="B255" s="2">
        <v>45850.404247685183</v>
      </c>
      <c r="C255" t="s">
        <v>15</v>
      </c>
      <c r="D255" t="s">
        <v>10</v>
      </c>
      <c r="E255" t="s">
        <v>17</v>
      </c>
      <c r="F255" t="s">
        <v>12</v>
      </c>
      <c r="G255" s="11">
        <v>0.03</v>
      </c>
      <c r="H255" t="b">
        <f>(COUNTIFS(OrderLines!$A:$A,A255,OrderLines!$F:$F,"Beverage")&gt;0)</f>
        <v>1</v>
      </c>
      <c r="I255">
        <f>SUMIFS(OrderLines!$I:$I,OrderLines!$A:$A,A255)</f>
        <v>474.53370000000001</v>
      </c>
      <c r="J255" t="str">
        <f>IF(AND(COUNTIFS(OrderLines!$A$2:$A$925,A255,OrderLines!$F$2:$F$925,"Hot Meal")&gt;0,COUNTIFS(OrderLines!$A$2:$A$925,A255,OrderLines!$F$2:$F$925,"Beverage")&gt;0),"Combo","Single")</f>
        <v>Combo</v>
      </c>
      <c r="K255" t="str">
        <f>IF(SUMPRODUCT((OrderLines!$A$2:$A$925=A255)*OrderLines!$C$2:$C$925*OrderLines!$D$2:$D$925)*G255&gt;40,"HighDisc","OK")</f>
        <v>OK</v>
      </c>
    </row>
    <row r="256" spans="1:11" x14ac:dyDescent="0.3">
      <c r="A256" t="s">
        <v>292</v>
      </c>
      <c r="B256" s="2">
        <v>45893.714363425926</v>
      </c>
      <c r="C256" t="s">
        <v>9</v>
      </c>
      <c r="D256" t="s">
        <v>10</v>
      </c>
      <c r="E256" t="s">
        <v>11</v>
      </c>
      <c r="F256" t="s">
        <v>18</v>
      </c>
      <c r="G256" s="11">
        <v>0.1</v>
      </c>
      <c r="H256" t="b">
        <f>(COUNTIFS(OrderLines!$A:$A,A256,OrderLines!$F:$F,"Beverage")&gt;0)</f>
        <v>0</v>
      </c>
      <c r="I256">
        <f>SUMIFS(OrderLines!$I:$I,OrderLines!$A:$A,A256)</f>
        <v>507.97800000000007</v>
      </c>
      <c r="J256" t="str">
        <f>IF(AND(COUNTIFS(OrderLines!$A$2:$A$925,A256,OrderLines!$F$2:$F$925,"Hot Meal")&gt;0,COUNTIFS(OrderLines!$A$2:$A$925,A256,OrderLines!$F$2:$F$925,"Beverage")&gt;0),"Combo","Single")</f>
        <v>Single</v>
      </c>
      <c r="K256" t="str">
        <f>IF(SUMPRODUCT((OrderLines!$A$2:$A$925=A256)*OrderLines!$C$2:$C$925*OrderLines!$D$2:$D$925)*G256&gt;40,"HighDisc","OK")</f>
        <v>HighDisc</v>
      </c>
    </row>
    <row r="257" spans="1:11" x14ac:dyDescent="0.3">
      <c r="A257" t="s">
        <v>293</v>
      </c>
      <c r="B257" s="2">
        <v>45841.798993055563</v>
      </c>
      <c r="C257" t="s">
        <v>9</v>
      </c>
      <c r="D257" t="s">
        <v>10</v>
      </c>
      <c r="E257" t="s">
        <v>11</v>
      </c>
      <c r="F257" t="s">
        <v>18</v>
      </c>
      <c r="G257" s="11">
        <v>7.0000000000000007E-2</v>
      </c>
      <c r="H257" t="b">
        <f>(COUNTIFS(OrderLines!$A:$A,A257,OrderLines!$F:$F,"Beverage")&gt;0)</f>
        <v>1</v>
      </c>
      <c r="I257">
        <f>SUMIFS(OrderLines!$I:$I,OrderLines!$A:$A,A257)</f>
        <v>341.72849999999994</v>
      </c>
      <c r="J257" t="str">
        <f>IF(AND(COUNTIFS(OrderLines!$A$2:$A$925,A257,OrderLines!$F$2:$F$925,"Hot Meal")&gt;0,COUNTIFS(OrderLines!$A$2:$A$925,A257,OrderLines!$F$2:$F$925,"Beverage")&gt;0),"Combo","Single")</f>
        <v>Combo</v>
      </c>
      <c r="K257" t="str">
        <f>IF(SUMPRODUCT((OrderLines!$A$2:$A$925=A257)*OrderLines!$C$2:$C$925*OrderLines!$D$2:$D$925)*G257&gt;40,"HighDisc","OK")</f>
        <v>OK</v>
      </c>
    </row>
    <row r="258" spans="1:11" x14ac:dyDescent="0.3">
      <c r="A258" t="s">
        <v>294</v>
      </c>
      <c r="B258" s="2">
        <v>45842.061064814807</v>
      </c>
      <c r="C258" t="s">
        <v>27</v>
      </c>
      <c r="D258" t="s">
        <v>16</v>
      </c>
      <c r="E258" t="s">
        <v>11</v>
      </c>
      <c r="F258" t="s">
        <v>12</v>
      </c>
      <c r="G258" s="11">
        <v>0.09</v>
      </c>
      <c r="H258" t="b">
        <f>(COUNTIFS(OrderLines!$A:$A,A258,OrderLines!$F:$F,"Beverage")&gt;0)</f>
        <v>1</v>
      </c>
      <c r="I258">
        <f>SUMIFS(OrderLines!$I:$I,OrderLines!$A:$A,A258)</f>
        <v>158.21260000000001</v>
      </c>
      <c r="J258" t="str">
        <f>IF(AND(COUNTIFS(OrderLines!$A$2:$A$925,A258,OrderLines!$F$2:$F$925,"Hot Meal")&gt;0,COUNTIFS(OrderLines!$A$2:$A$925,A258,OrderLines!$F$2:$F$925,"Beverage")&gt;0),"Combo","Single")</f>
        <v>Single</v>
      </c>
      <c r="K258" t="str">
        <f>IF(SUMPRODUCT((OrderLines!$A$2:$A$925=A258)*OrderLines!$C$2:$C$925*OrderLines!$D$2:$D$925)*G258&gt;40,"HighDisc","OK")</f>
        <v>OK</v>
      </c>
    </row>
    <row r="259" spans="1:11" x14ac:dyDescent="0.3">
      <c r="A259" t="s">
        <v>295</v>
      </c>
      <c r="B259" s="2">
        <v>45872.243692129632</v>
      </c>
      <c r="C259" t="s">
        <v>15</v>
      </c>
      <c r="D259" t="s">
        <v>28</v>
      </c>
      <c r="E259" t="s">
        <v>17</v>
      </c>
      <c r="F259" t="s">
        <v>12</v>
      </c>
      <c r="G259" s="11">
        <v>0.09</v>
      </c>
      <c r="H259" t="b">
        <f>(COUNTIFS(OrderLines!$A:$A,A259,OrderLines!$F:$F,"Beverage")&gt;0)</f>
        <v>1</v>
      </c>
      <c r="I259">
        <f>SUMIFS(OrderLines!$I:$I,OrderLines!$A:$A,A259)</f>
        <v>544.91710000000012</v>
      </c>
      <c r="J259" t="str">
        <f>IF(AND(COUNTIFS(OrderLines!$A$2:$A$925,A259,OrderLines!$F$2:$F$925,"Hot Meal")&gt;0,COUNTIFS(OrderLines!$A$2:$A$925,A259,OrderLines!$F$2:$F$925,"Beverage")&gt;0),"Combo","Single")</f>
        <v>Combo</v>
      </c>
      <c r="K259" t="str">
        <f>IF(SUMPRODUCT((OrderLines!$A$2:$A$925=A259)*OrderLines!$C$2:$C$925*OrderLines!$D$2:$D$925)*G259&gt;40,"HighDisc","OK")</f>
        <v>HighDisc</v>
      </c>
    </row>
    <row r="260" spans="1:11" x14ac:dyDescent="0.3">
      <c r="A260" t="s">
        <v>296</v>
      </c>
      <c r="B260" s="2">
        <v>45894.234317129631</v>
      </c>
      <c r="C260" t="s">
        <v>9</v>
      </c>
      <c r="D260" t="s">
        <v>16</v>
      </c>
      <c r="E260" t="s">
        <v>17</v>
      </c>
      <c r="F260" t="s">
        <v>12</v>
      </c>
      <c r="G260" s="11">
        <v>0.03</v>
      </c>
      <c r="H260" t="b">
        <f>(COUNTIFS(OrderLines!$A:$A,A260,OrderLines!$F:$F,"Beverage")&gt;0)</f>
        <v>0</v>
      </c>
      <c r="I260">
        <f>SUMIFS(OrderLines!$I:$I,OrderLines!$A:$A,A260)</f>
        <v>375.55489999999998</v>
      </c>
      <c r="J260" t="str">
        <f>IF(AND(COUNTIFS(OrderLines!$A$2:$A$925,A260,OrderLines!$F$2:$F$925,"Hot Meal")&gt;0,COUNTIFS(OrderLines!$A$2:$A$925,A260,OrderLines!$F$2:$F$925,"Beverage")&gt;0),"Combo","Single")</f>
        <v>Single</v>
      </c>
      <c r="K260" t="str">
        <f>IF(SUMPRODUCT((OrderLines!$A$2:$A$925=A260)*OrderLines!$C$2:$C$925*OrderLines!$D$2:$D$925)*G260&gt;40,"HighDisc","OK")</f>
        <v>OK</v>
      </c>
    </row>
    <row r="261" spans="1:11" x14ac:dyDescent="0.3">
      <c r="A261" t="s">
        <v>297</v>
      </c>
      <c r="B261" s="2">
        <v>45842.226504629631</v>
      </c>
      <c r="C261" t="s">
        <v>27</v>
      </c>
      <c r="D261" t="s">
        <v>10</v>
      </c>
      <c r="E261" t="s">
        <v>11</v>
      </c>
      <c r="F261" t="s">
        <v>12</v>
      </c>
      <c r="G261" s="11">
        <v>0.04</v>
      </c>
      <c r="H261" t="b">
        <f>(COUNTIFS(OrderLines!$A:$A,A261,OrderLines!$F:$F,"Beverage")&gt;0)</f>
        <v>0</v>
      </c>
      <c r="I261">
        <f>SUMIFS(OrderLines!$I:$I,OrderLines!$A:$A,A261)</f>
        <v>499.59360000000004</v>
      </c>
      <c r="J261" t="str">
        <f>IF(AND(COUNTIFS(OrderLines!$A$2:$A$925,A261,OrderLines!$F$2:$F$925,"Hot Meal")&gt;0,COUNTIFS(OrderLines!$A$2:$A$925,A261,OrderLines!$F$2:$F$925,"Beverage")&gt;0),"Combo","Single")</f>
        <v>Single</v>
      </c>
      <c r="K261" t="str">
        <f>IF(SUMPRODUCT((OrderLines!$A$2:$A$925=A261)*OrderLines!$C$2:$C$925*OrderLines!$D$2:$D$925)*G261&gt;40,"HighDisc","OK")</f>
        <v>OK</v>
      </c>
    </row>
    <row r="262" spans="1:11" x14ac:dyDescent="0.3">
      <c r="A262" t="s">
        <v>298</v>
      </c>
      <c r="B262" s="2">
        <v>45875.77484953704</v>
      </c>
      <c r="C262" t="s">
        <v>15</v>
      </c>
      <c r="D262" t="s">
        <v>16</v>
      </c>
      <c r="E262" t="s">
        <v>21</v>
      </c>
      <c r="F262" t="s">
        <v>18</v>
      </c>
      <c r="G262" s="11">
        <v>0.09</v>
      </c>
      <c r="H262" t="b">
        <f>(COUNTIFS(OrderLines!$A:$A,A262,OrderLines!$F:$F,"Beverage")&gt;0)</f>
        <v>1</v>
      </c>
      <c r="I262">
        <f>SUMIFS(OrderLines!$I:$I,OrderLines!$A:$A,A262)</f>
        <v>232.69610000000003</v>
      </c>
      <c r="J262" t="str">
        <f>IF(AND(COUNTIFS(OrderLines!$A$2:$A$925,A262,OrderLines!$F$2:$F$925,"Hot Meal")&gt;0,COUNTIFS(OrderLines!$A$2:$A$925,A262,OrderLines!$F$2:$F$925,"Beverage")&gt;0),"Combo","Single")</f>
        <v>Combo</v>
      </c>
      <c r="K262" t="str">
        <f>IF(SUMPRODUCT((OrderLines!$A$2:$A$925=A262)*OrderLines!$C$2:$C$925*OrderLines!$D$2:$D$925)*G262&gt;40,"HighDisc","OK")</f>
        <v>OK</v>
      </c>
    </row>
    <row r="263" spans="1:11" x14ac:dyDescent="0.3">
      <c r="A263" t="s">
        <v>299</v>
      </c>
      <c r="B263" s="2">
        <v>45875.178587962961</v>
      </c>
      <c r="C263" t="s">
        <v>15</v>
      </c>
      <c r="D263" t="s">
        <v>10</v>
      </c>
      <c r="E263" t="s">
        <v>21</v>
      </c>
      <c r="F263" t="s">
        <v>12</v>
      </c>
      <c r="G263" s="11">
        <v>0.08</v>
      </c>
      <c r="H263" t="b">
        <f>(COUNTIFS(OrderLines!$A:$A,A263,OrderLines!$F:$F,"Beverage")&gt;0)</f>
        <v>0</v>
      </c>
      <c r="I263">
        <f>SUMIFS(OrderLines!$I:$I,OrderLines!$A:$A,A263)</f>
        <v>663.43040000000008</v>
      </c>
      <c r="J263" t="str">
        <f>IF(AND(COUNTIFS(OrderLines!$A$2:$A$925,A263,OrderLines!$F$2:$F$925,"Hot Meal")&gt;0,COUNTIFS(OrderLines!$A$2:$A$925,A263,OrderLines!$F$2:$F$925,"Beverage")&gt;0),"Combo","Single")</f>
        <v>Single</v>
      </c>
      <c r="K263" t="str">
        <f>IF(SUMPRODUCT((OrderLines!$A$2:$A$925=A263)*OrderLines!$C$2:$C$925*OrderLines!$D$2:$D$925)*G263&gt;40,"HighDisc","OK")</f>
        <v>HighDisc</v>
      </c>
    </row>
    <row r="264" spans="1:11" x14ac:dyDescent="0.3">
      <c r="A264" t="s">
        <v>300</v>
      </c>
      <c r="B264" s="2">
        <v>45844.357800925929</v>
      </c>
      <c r="C264" t="s">
        <v>27</v>
      </c>
      <c r="D264" t="s">
        <v>28</v>
      </c>
      <c r="E264" t="s">
        <v>11</v>
      </c>
      <c r="F264" t="s">
        <v>12</v>
      </c>
      <c r="G264" s="11">
        <v>0.06</v>
      </c>
      <c r="H264" t="b">
        <f>(COUNTIFS(OrderLines!$A:$A,A264,OrderLines!$F:$F,"Beverage")&gt;0)</f>
        <v>0</v>
      </c>
      <c r="I264">
        <f>SUMIFS(OrderLines!$I:$I,OrderLines!$A:$A,A264)</f>
        <v>385.40940000000001</v>
      </c>
      <c r="J264" t="str">
        <f>IF(AND(COUNTIFS(OrderLines!$A$2:$A$925,A264,OrderLines!$F$2:$F$925,"Hot Meal")&gt;0,COUNTIFS(OrderLines!$A$2:$A$925,A264,OrderLines!$F$2:$F$925,"Beverage")&gt;0),"Combo","Single")</f>
        <v>Single</v>
      </c>
      <c r="K264" t="str">
        <f>IF(SUMPRODUCT((OrderLines!$A$2:$A$925=A264)*OrderLines!$C$2:$C$925*OrderLines!$D$2:$D$925)*G264&gt;40,"HighDisc","OK")</f>
        <v>OK</v>
      </c>
    </row>
    <row r="265" spans="1:11" x14ac:dyDescent="0.3">
      <c r="A265" t="s">
        <v>301</v>
      </c>
      <c r="B265" s="2">
        <v>45847.170775462961</v>
      </c>
      <c r="C265" t="s">
        <v>15</v>
      </c>
      <c r="D265" t="s">
        <v>16</v>
      </c>
      <c r="E265" t="s">
        <v>11</v>
      </c>
      <c r="F265" t="s">
        <v>12</v>
      </c>
      <c r="G265" s="11">
        <v>0.06</v>
      </c>
      <c r="H265" t="b">
        <f>(COUNTIFS(OrderLines!$A:$A,A265,OrderLines!$F:$F,"Beverage")&gt;0)</f>
        <v>1</v>
      </c>
      <c r="I265">
        <f>SUMIFS(OrderLines!$I:$I,OrderLines!$A:$A,A265)</f>
        <v>500.01419999999996</v>
      </c>
      <c r="J265" t="str">
        <f>IF(AND(COUNTIFS(OrderLines!$A$2:$A$925,A265,OrderLines!$F$2:$F$925,"Hot Meal")&gt;0,COUNTIFS(OrderLines!$A$2:$A$925,A265,OrderLines!$F$2:$F$925,"Beverage")&gt;0),"Combo","Single")</f>
        <v>Single</v>
      </c>
      <c r="K265" t="str">
        <f>IF(SUMPRODUCT((OrderLines!$A$2:$A$925=A265)*OrderLines!$C$2:$C$925*OrderLines!$D$2:$D$925)*G265&gt;40,"HighDisc","OK")</f>
        <v>OK</v>
      </c>
    </row>
    <row r="266" spans="1:11" x14ac:dyDescent="0.3">
      <c r="A266" t="s">
        <v>302</v>
      </c>
      <c r="B266" s="2">
        <v>45886.403067129628</v>
      </c>
      <c r="C266" t="s">
        <v>9</v>
      </c>
      <c r="D266" t="s">
        <v>16</v>
      </c>
      <c r="E266" t="s">
        <v>21</v>
      </c>
      <c r="F266" t="s">
        <v>12</v>
      </c>
      <c r="G266" s="11">
        <v>0.11</v>
      </c>
      <c r="H266" t="b">
        <f>(COUNTIFS(OrderLines!$A:$A,A266,OrderLines!$F:$F,"Beverage")&gt;0)</f>
        <v>1</v>
      </c>
      <c r="I266">
        <f>SUMIFS(OrderLines!$I:$I,OrderLines!$A:$A,A266)</f>
        <v>527.84120000000007</v>
      </c>
      <c r="J266" t="str">
        <f>IF(AND(COUNTIFS(OrderLines!$A$2:$A$925,A266,OrderLines!$F$2:$F$925,"Hot Meal")&gt;0,COUNTIFS(OrderLines!$A$2:$A$925,A266,OrderLines!$F$2:$F$925,"Beverage")&gt;0),"Combo","Single")</f>
        <v>Combo</v>
      </c>
      <c r="K266" t="str">
        <f>IF(SUMPRODUCT((OrderLines!$A$2:$A$925=A266)*OrderLines!$C$2:$C$925*OrderLines!$D$2:$D$925)*G266&gt;40,"HighDisc","OK")</f>
        <v>HighDisc</v>
      </c>
    </row>
    <row r="267" spans="1:11" x14ac:dyDescent="0.3">
      <c r="A267" t="s">
        <v>303</v>
      </c>
      <c r="B267" s="2">
        <v>45860.179664351846</v>
      </c>
      <c r="C267" t="s">
        <v>9</v>
      </c>
      <c r="D267" t="s">
        <v>28</v>
      </c>
      <c r="E267" t="s">
        <v>21</v>
      </c>
      <c r="F267" t="s">
        <v>12</v>
      </c>
      <c r="G267" s="11">
        <v>0.04</v>
      </c>
      <c r="H267" t="b">
        <f>(COUNTIFS(OrderLines!$A:$A,A267,OrderLines!$F:$F,"Beverage")&gt;0)</f>
        <v>0</v>
      </c>
      <c r="I267">
        <f>SUMIFS(OrderLines!$I:$I,OrderLines!$A:$A,A267)</f>
        <v>442.76160000000004</v>
      </c>
      <c r="J267" t="str">
        <f>IF(AND(COUNTIFS(OrderLines!$A$2:$A$925,A267,OrderLines!$F$2:$F$925,"Hot Meal")&gt;0,COUNTIFS(OrderLines!$A$2:$A$925,A267,OrderLines!$F$2:$F$925,"Beverage")&gt;0),"Combo","Single")</f>
        <v>Single</v>
      </c>
      <c r="K267" t="str">
        <f>IF(SUMPRODUCT((OrderLines!$A$2:$A$925=A267)*OrderLines!$C$2:$C$925*OrderLines!$D$2:$D$925)*G267&gt;40,"HighDisc","OK")</f>
        <v>OK</v>
      </c>
    </row>
    <row r="268" spans="1:11" x14ac:dyDescent="0.3">
      <c r="A268" t="s">
        <v>304</v>
      </c>
      <c r="B268" s="2">
        <v>45850.016319444447</v>
      </c>
      <c r="C268" t="s">
        <v>15</v>
      </c>
      <c r="D268" t="s">
        <v>10</v>
      </c>
      <c r="E268" t="s">
        <v>11</v>
      </c>
      <c r="F268" t="s">
        <v>12</v>
      </c>
      <c r="G268" s="11">
        <v>0.08</v>
      </c>
      <c r="H268" t="b">
        <f>(COUNTIFS(OrderLines!$A:$A,A268,OrderLines!$F:$F,"Beverage")&gt;0)</f>
        <v>1</v>
      </c>
      <c r="I268">
        <f>SUMIFS(OrderLines!$I:$I,OrderLines!$A:$A,A268)</f>
        <v>532.77200000000005</v>
      </c>
      <c r="J268" t="str">
        <f>IF(AND(COUNTIFS(OrderLines!$A$2:$A$925,A268,OrderLines!$F$2:$F$925,"Hot Meal")&gt;0,COUNTIFS(OrderLines!$A$2:$A$925,A268,OrderLines!$F$2:$F$925,"Beverage")&gt;0),"Combo","Single")</f>
        <v>Combo</v>
      </c>
      <c r="K268" t="str">
        <f>IF(SUMPRODUCT((OrderLines!$A$2:$A$925=A268)*OrderLines!$C$2:$C$925*OrderLines!$D$2:$D$925)*G268&gt;40,"HighDisc","OK")</f>
        <v>HighDisc</v>
      </c>
    </row>
    <row r="269" spans="1:11" x14ac:dyDescent="0.3">
      <c r="A269" t="s">
        <v>305</v>
      </c>
      <c r="B269" s="2">
        <v>45890.410219907397</v>
      </c>
      <c r="C269" t="s">
        <v>9</v>
      </c>
      <c r="D269" t="s">
        <v>16</v>
      </c>
      <c r="E269" t="s">
        <v>17</v>
      </c>
      <c r="F269" t="s">
        <v>12</v>
      </c>
      <c r="G269" s="11">
        <v>0.05</v>
      </c>
      <c r="H269" t="b">
        <f>(COUNTIFS(OrderLines!$A:$A,A269,OrderLines!$F:$F,"Beverage")&gt;0)</f>
        <v>0</v>
      </c>
      <c r="I269">
        <f>SUMIFS(OrderLines!$I:$I,OrderLines!$A:$A,A269)</f>
        <v>942.52350000000001</v>
      </c>
      <c r="J269" t="str">
        <f>IF(AND(COUNTIFS(OrderLines!$A$2:$A$925,A269,OrderLines!$F$2:$F$925,"Hot Meal")&gt;0,COUNTIFS(OrderLines!$A$2:$A$925,A269,OrderLines!$F$2:$F$925,"Beverage")&gt;0),"Combo","Single")</f>
        <v>Single</v>
      </c>
      <c r="K269" t="str">
        <f>IF(SUMPRODUCT((OrderLines!$A$2:$A$925=A269)*OrderLines!$C$2:$C$925*OrderLines!$D$2:$D$925)*G269&gt;40,"HighDisc","OK")</f>
        <v>HighDisc</v>
      </c>
    </row>
    <row r="270" spans="1:11" x14ac:dyDescent="0.3">
      <c r="A270" t="s">
        <v>306</v>
      </c>
      <c r="B270" s="2">
        <v>45877.626261574071</v>
      </c>
      <c r="C270" t="s">
        <v>9</v>
      </c>
      <c r="D270" t="s">
        <v>28</v>
      </c>
      <c r="E270" t="s">
        <v>17</v>
      </c>
      <c r="F270" t="s">
        <v>22</v>
      </c>
      <c r="G270" s="11">
        <v>0.05</v>
      </c>
      <c r="H270" t="b">
        <f>(COUNTIFS(OrderLines!$A:$A,A270,OrderLines!$F:$F,"Beverage")&gt;0)</f>
        <v>1</v>
      </c>
      <c r="I270">
        <f>SUMIFS(OrderLines!$I:$I,OrderLines!$A:$A,A270)</f>
        <v>1109.4575</v>
      </c>
      <c r="J270" t="str">
        <f>IF(AND(COUNTIFS(OrderLines!$A$2:$A$925,A270,OrderLines!$F$2:$F$925,"Hot Meal")&gt;0,COUNTIFS(OrderLines!$A$2:$A$925,A270,OrderLines!$F$2:$F$925,"Beverage")&gt;0),"Combo","Single")</f>
        <v>Combo</v>
      </c>
      <c r="K270" t="str">
        <f>IF(SUMPRODUCT((OrderLines!$A$2:$A$925=A270)*OrderLines!$C$2:$C$925*OrderLines!$D$2:$D$925)*G270&gt;40,"HighDisc","OK")</f>
        <v>HighDisc</v>
      </c>
    </row>
    <row r="271" spans="1:11" x14ac:dyDescent="0.3">
      <c r="A271" t="s">
        <v>307</v>
      </c>
      <c r="B271" s="2">
        <v>45868.514907407407</v>
      </c>
      <c r="C271" t="s">
        <v>27</v>
      </c>
      <c r="D271" t="s">
        <v>28</v>
      </c>
      <c r="E271" t="s">
        <v>21</v>
      </c>
      <c r="F271" t="s">
        <v>22</v>
      </c>
      <c r="G271" s="11">
        <v>0.1</v>
      </c>
      <c r="H271" t="b">
        <f>(COUNTIFS(OrderLines!$A:$A,A271,OrderLines!$F:$F,"Beverage")&gt;0)</f>
        <v>0</v>
      </c>
      <c r="I271">
        <f>SUMIFS(OrderLines!$I:$I,OrderLines!$A:$A,A271)</f>
        <v>1485.0719999999999</v>
      </c>
      <c r="J271" t="str">
        <f>IF(AND(COUNTIFS(OrderLines!$A$2:$A$925,A271,OrderLines!$F$2:$F$925,"Hot Meal")&gt;0,COUNTIFS(OrderLines!$A$2:$A$925,A271,OrderLines!$F$2:$F$925,"Beverage")&gt;0),"Combo","Single")</f>
        <v>Single</v>
      </c>
      <c r="K271" t="str">
        <f>IF(SUMPRODUCT((OrderLines!$A$2:$A$925=A271)*OrderLines!$C$2:$C$925*OrderLines!$D$2:$D$925)*G271&gt;40,"HighDisc","OK")</f>
        <v>HighDisc</v>
      </c>
    </row>
    <row r="272" spans="1:11" x14ac:dyDescent="0.3">
      <c r="A272" t="s">
        <v>308</v>
      </c>
      <c r="B272" s="2">
        <v>45871.107511574082</v>
      </c>
      <c r="C272" t="s">
        <v>27</v>
      </c>
      <c r="D272" t="s">
        <v>28</v>
      </c>
      <c r="E272" t="s">
        <v>21</v>
      </c>
      <c r="F272" t="s">
        <v>12</v>
      </c>
      <c r="G272" s="11">
        <v>0.09</v>
      </c>
      <c r="H272" t="b">
        <f>(COUNTIFS(OrderLines!$A:$A,A272,OrderLines!$F:$F,"Beverage")&gt;0)</f>
        <v>1</v>
      </c>
      <c r="I272">
        <f>SUMIFS(OrderLines!$I:$I,OrderLines!$A:$A,A272)</f>
        <v>139.18450000000001</v>
      </c>
      <c r="J272" t="str">
        <f>IF(AND(COUNTIFS(OrderLines!$A$2:$A$925,A272,OrderLines!$F$2:$F$925,"Hot Meal")&gt;0,COUNTIFS(OrderLines!$A$2:$A$925,A272,OrderLines!$F$2:$F$925,"Beverage")&gt;0),"Combo","Single")</f>
        <v>Single</v>
      </c>
      <c r="K272" t="str">
        <f>IF(SUMPRODUCT((OrderLines!$A$2:$A$925=A272)*OrderLines!$C$2:$C$925*OrderLines!$D$2:$D$925)*G272&gt;40,"HighDisc","OK")</f>
        <v>OK</v>
      </c>
    </row>
    <row r="273" spans="1:11" x14ac:dyDescent="0.3">
      <c r="A273" t="s">
        <v>309</v>
      </c>
      <c r="B273" s="2">
        <v>45856.308263888888</v>
      </c>
      <c r="C273" t="s">
        <v>27</v>
      </c>
      <c r="D273" t="s">
        <v>16</v>
      </c>
      <c r="E273" t="s">
        <v>11</v>
      </c>
      <c r="F273" t="s">
        <v>12</v>
      </c>
      <c r="G273" s="11">
        <v>0.09</v>
      </c>
      <c r="H273" t="b">
        <f>(COUNTIFS(OrderLines!$A:$A,A273,OrderLines!$F:$F,"Beverage")&gt;0)</f>
        <v>1</v>
      </c>
      <c r="I273">
        <f>SUMIFS(OrderLines!$I:$I,OrderLines!$A:$A,A273)</f>
        <v>228.46460000000002</v>
      </c>
      <c r="J273" t="str">
        <f>IF(AND(COUNTIFS(OrderLines!$A$2:$A$925,A273,OrderLines!$F$2:$F$925,"Hot Meal")&gt;0,COUNTIFS(OrderLines!$A$2:$A$925,A273,OrderLines!$F$2:$F$925,"Beverage")&gt;0),"Combo","Single")</f>
        <v>Combo</v>
      </c>
      <c r="K273" t="str">
        <f>IF(SUMPRODUCT((OrderLines!$A$2:$A$925=A273)*OrderLines!$C$2:$C$925*OrderLines!$D$2:$D$925)*G273&gt;40,"HighDisc","OK")</f>
        <v>OK</v>
      </c>
    </row>
    <row r="274" spans="1:11" x14ac:dyDescent="0.3">
      <c r="A274" t="s">
        <v>310</v>
      </c>
      <c r="B274" s="2">
        <v>45887.820648148147</v>
      </c>
      <c r="C274" t="s">
        <v>9</v>
      </c>
      <c r="D274" t="s">
        <v>10</v>
      </c>
      <c r="E274" t="s">
        <v>21</v>
      </c>
      <c r="F274" t="s">
        <v>18</v>
      </c>
      <c r="G274" s="11">
        <v>0.11</v>
      </c>
      <c r="H274" t="b">
        <f>(COUNTIFS(OrderLines!$A:$A,A274,OrderLines!$F:$F,"Beverage")&gt;0)</f>
        <v>0</v>
      </c>
      <c r="I274">
        <f>SUMIFS(OrderLines!$I:$I,OrderLines!$A:$A,A274)</f>
        <v>311.85599999999999</v>
      </c>
      <c r="J274" t="str">
        <f>IF(AND(COUNTIFS(OrderLines!$A$2:$A$925,A274,OrderLines!$F$2:$F$925,"Hot Meal")&gt;0,COUNTIFS(OrderLines!$A$2:$A$925,A274,OrderLines!$F$2:$F$925,"Beverage")&gt;0),"Combo","Single")</f>
        <v>Single</v>
      </c>
      <c r="K274" t="str">
        <f>IF(SUMPRODUCT((OrderLines!$A$2:$A$925=A274)*OrderLines!$C$2:$C$925*OrderLines!$D$2:$D$925)*G274&gt;40,"HighDisc","OK")</f>
        <v>OK</v>
      </c>
    </row>
    <row r="275" spans="1:11" x14ac:dyDescent="0.3">
      <c r="A275" t="s">
        <v>311</v>
      </c>
      <c r="B275" s="2">
        <v>45877.801782407398</v>
      </c>
      <c r="C275" t="s">
        <v>9</v>
      </c>
      <c r="D275" t="s">
        <v>28</v>
      </c>
      <c r="E275" t="s">
        <v>21</v>
      </c>
      <c r="F275" t="s">
        <v>18</v>
      </c>
      <c r="G275" s="11">
        <v>0.06</v>
      </c>
      <c r="H275" t="b">
        <f>(COUNTIFS(OrderLines!$A:$A,A275,OrderLines!$F:$F,"Beverage")&gt;0)</f>
        <v>1</v>
      </c>
      <c r="I275">
        <f>SUMIFS(OrderLines!$I:$I,OrderLines!$A:$A,A275)</f>
        <v>633.99240000000009</v>
      </c>
      <c r="J275" t="str">
        <f>IF(AND(COUNTIFS(OrderLines!$A$2:$A$925,A275,OrderLines!$F$2:$F$925,"Hot Meal")&gt;0,COUNTIFS(OrderLines!$A$2:$A$925,A275,OrderLines!$F$2:$F$925,"Beverage")&gt;0),"Combo","Single")</f>
        <v>Combo</v>
      </c>
      <c r="K275" t="str">
        <f>IF(SUMPRODUCT((OrderLines!$A$2:$A$925=A275)*OrderLines!$C$2:$C$925*OrderLines!$D$2:$D$925)*G275&gt;40,"HighDisc","OK")</f>
        <v>HighDisc</v>
      </c>
    </row>
    <row r="276" spans="1:11" x14ac:dyDescent="0.3">
      <c r="A276" t="s">
        <v>312</v>
      </c>
      <c r="B276" s="2">
        <v>45883.887708333343</v>
      </c>
      <c r="C276" t="s">
        <v>27</v>
      </c>
      <c r="D276" t="s">
        <v>16</v>
      </c>
      <c r="E276" t="s">
        <v>11</v>
      </c>
      <c r="F276" t="s">
        <v>18</v>
      </c>
      <c r="G276" s="11">
        <v>0.09</v>
      </c>
      <c r="H276" t="b">
        <f>(COUNTIFS(OrderLines!$A:$A,A276,OrderLines!$F:$F,"Beverage")&gt;0)</f>
        <v>1</v>
      </c>
      <c r="I276">
        <f>SUMIFS(OrderLines!$I:$I,OrderLines!$A:$A,A276)</f>
        <v>822.01210000000003</v>
      </c>
      <c r="J276" t="str">
        <f>IF(AND(COUNTIFS(OrderLines!$A$2:$A$925,A276,OrderLines!$F$2:$F$925,"Hot Meal")&gt;0,COUNTIFS(OrderLines!$A$2:$A$925,A276,OrderLines!$F$2:$F$925,"Beverage")&gt;0),"Combo","Single")</f>
        <v>Combo</v>
      </c>
      <c r="K276" t="str">
        <f>IF(SUMPRODUCT((OrderLines!$A$2:$A$925=A276)*OrderLines!$C$2:$C$925*OrderLines!$D$2:$D$925)*G276&gt;40,"HighDisc","OK")</f>
        <v>HighDisc</v>
      </c>
    </row>
    <row r="277" spans="1:11" x14ac:dyDescent="0.3">
      <c r="A277" t="s">
        <v>313</v>
      </c>
      <c r="B277" s="2">
        <v>45894.921585648153</v>
      </c>
      <c r="C277" t="s">
        <v>15</v>
      </c>
      <c r="D277" t="s">
        <v>10</v>
      </c>
      <c r="E277" t="s">
        <v>11</v>
      </c>
      <c r="F277" t="s">
        <v>18</v>
      </c>
      <c r="G277" s="11">
        <v>0.05</v>
      </c>
      <c r="H277" t="b">
        <f>(COUNTIFS(OrderLines!$A:$A,A277,OrderLines!$F:$F,"Beverage")&gt;0)</f>
        <v>1</v>
      </c>
      <c r="I277">
        <f>SUMIFS(OrderLines!$I:$I,OrderLines!$A:$A,A277)</f>
        <v>407.24599999999992</v>
      </c>
      <c r="J277" t="str">
        <f>IF(AND(COUNTIFS(OrderLines!$A$2:$A$925,A277,OrderLines!$F$2:$F$925,"Hot Meal")&gt;0,COUNTIFS(OrderLines!$A$2:$A$925,A277,OrderLines!$F$2:$F$925,"Beverage")&gt;0),"Combo","Single")</f>
        <v>Single</v>
      </c>
      <c r="K277" t="str">
        <f>IF(SUMPRODUCT((OrderLines!$A$2:$A$925=A277)*OrderLines!$C$2:$C$925*OrderLines!$D$2:$D$925)*G277&gt;40,"HighDisc","OK")</f>
        <v>OK</v>
      </c>
    </row>
    <row r="278" spans="1:11" x14ac:dyDescent="0.3">
      <c r="A278" t="s">
        <v>314</v>
      </c>
      <c r="B278" s="2">
        <v>45867.359131944453</v>
      </c>
      <c r="C278" t="s">
        <v>27</v>
      </c>
      <c r="D278" t="s">
        <v>16</v>
      </c>
      <c r="E278" t="s">
        <v>17</v>
      </c>
      <c r="F278" t="s">
        <v>12</v>
      </c>
      <c r="G278" s="11">
        <v>7.0000000000000007E-2</v>
      </c>
      <c r="H278" t="b">
        <f>(COUNTIFS(OrderLines!$A:$A,A278,OrderLines!$F:$F,"Beverage")&gt;0)</f>
        <v>0</v>
      </c>
      <c r="I278">
        <f>SUMIFS(OrderLines!$I:$I,OrderLines!$A:$A,A278)</f>
        <v>72.549300000000002</v>
      </c>
      <c r="J278" t="str">
        <f>IF(AND(COUNTIFS(OrderLines!$A$2:$A$925,A278,OrderLines!$F$2:$F$925,"Hot Meal")&gt;0,COUNTIFS(OrderLines!$A$2:$A$925,A278,OrderLines!$F$2:$F$925,"Beverage")&gt;0),"Combo","Single")</f>
        <v>Single</v>
      </c>
      <c r="K278" t="str">
        <f>IF(SUMPRODUCT((OrderLines!$A$2:$A$925=A278)*OrderLines!$C$2:$C$925*OrderLines!$D$2:$D$925)*G278&gt;40,"HighDisc","OK")</f>
        <v>OK</v>
      </c>
    </row>
    <row r="279" spans="1:11" x14ac:dyDescent="0.3">
      <c r="A279" t="s">
        <v>315</v>
      </c>
      <c r="B279" s="2">
        <v>45855.937222222223</v>
      </c>
      <c r="C279" t="s">
        <v>9</v>
      </c>
      <c r="D279" t="s">
        <v>16</v>
      </c>
      <c r="E279" t="s">
        <v>11</v>
      </c>
      <c r="F279" t="s">
        <v>18</v>
      </c>
      <c r="G279" s="11">
        <v>0.05</v>
      </c>
      <c r="H279" t="b">
        <f>(COUNTIFS(OrderLines!$A:$A,A279,OrderLines!$F:$F,"Beverage")&gt;0)</f>
        <v>1</v>
      </c>
      <c r="I279">
        <f>SUMIFS(OrderLines!$I:$I,OrderLines!$A:$A,A279)</f>
        <v>413.03149999999999</v>
      </c>
      <c r="J279" t="str">
        <f>IF(AND(COUNTIFS(OrderLines!$A$2:$A$925,A279,OrderLines!$F$2:$F$925,"Hot Meal")&gt;0,COUNTIFS(OrderLines!$A$2:$A$925,A279,OrderLines!$F$2:$F$925,"Beverage")&gt;0),"Combo","Single")</f>
        <v>Combo</v>
      </c>
      <c r="K279" t="str">
        <f>IF(SUMPRODUCT((OrderLines!$A$2:$A$925=A279)*OrderLines!$C$2:$C$925*OrderLines!$D$2:$D$925)*G279&gt;40,"HighDisc","OK")</f>
        <v>OK</v>
      </c>
    </row>
    <row r="280" spans="1:11" x14ac:dyDescent="0.3">
      <c r="A280" t="s">
        <v>316</v>
      </c>
      <c r="B280" s="2">
        <v>45847.806562500002</v>
      </c>
      <c r="C280" t="s">
        <v>15</v>
      </c>
      <c r="D280" t="s">
        <v>28</v>
      </c>
      <c r="E280" t="s">
        <v>17</v>
      </c>
      <c r="F280" t="s">
        <v>18</v>
      </c>
      <c r="G280" s="11">
        <v>0.06</v>
      </c>
      <c r="H280" t="b">
        <f>(COUNTIFS(OrderLines!$A:$A,A280,OrderLines!$F:$F,"Beverage")&gt;0)</f>
        <v>1</v>
      </c>
      <c r="I280">
        <f>SUMIFS(OrderLines!$I:$I,OrderLines!$A:$A,A280)</f>
        <v>28.519599999999997</v>
      </c>
      <c r="J280" t="str">
        <f>IF(AND(COUNTIFS(OrderLines!$A$2:$A$925,A280,OrderLines!$F$2:$F$925,"Hot Meal")&gt;0,COUNTIFS(OrderLines!$A$2:$A$925,A280,OrderLines!$F$2:$F$925,"Beverage")&gt;0),"Combo","Single")</f>
        <v>Single</v>
      </c>
      <c r="K280" t="str">
        <f>IF(SUMPRODUCT((OrderLines!$A$2:$A$925=A280)*OrderLines!$C$2:$C$925*OrderLines!$D$2:$D$925)*G280&gt;40,"HighDisc","OK")</f>
        <v>OK</v>
      </c>
    </row>
    <row r="281" spans="1:11" x14ac:dyDescent="0.3">
      <c r="A281" t="s">
        <v>317</v>
      </c>
      <c r="B281" s="2">
        <v>45896.423726851863</v>
      </c>
      <c r="C281" t="s">
        <v>15</v>
      </c>
      <c r="D281" t="s">
        <v>10</v>
      </c>
      <c r="E281" t="s">
        <v>17</v>
      </c>
      <c r="F281" t="s">
        <v>12</v>
      </c>
      <c r="G281" s="11">
        <v>0.08</v>
      </c>
      <c r="H281" t="b">
        <f>(COUNTIFS(OrderLines!$A:$A,A281,OrderLines!$F:$F,"Beverage")&gt;0)</f>
        <v>1</v>
      </c>
      <c r="I281">
        <f>SUMIFS(OrderLines!$I:$I,OrderLines!$A:$A,A281)</f>
        <v>267.05760000000004</v>
      </c>
      <c r="J281" t="str">
        <f>IF(AND(COUNTIFS(OrderLines!$A$2:$A$925,A281,OrderLines!$F$2:$F$925,"Hot Meal")&gt;0,COUNTIFS(OrderLines!$A$2:$A$925,A281,OrderLines!$F$2:$F$925,"Beverage")&gt;0),"Combo","Single")</f>
        <v>Combo</v>
      </c>
      <c r="K281" t="str">
        <f>IF(SUMPRODUCT((OrderLines!$A$2:$A$925=A281)*OrderLines!$C$2:$C$925*OrderLines!$D$2:$D$925)*G281&gt;40,"HighDisc","OK")</f>
        <v>OK</v>
      </c>
    </row>
    <row r="282" spans="1:11" x14ac:dyDescent="0.3">
      <c r="A282" t="s">
        <v>318</v>
      </c>
      <c r="B282" s="2">
        <v>45869.374664351853</v>
      </c>
      <c r="C282" t="s">
        <v>9</v>
      </c>
      <c r="D282" t="s">
        <v>16</v>
      </c>
      <c r="E282" t="s">
        <v>17</v>
      </c>
      <c r="F282" t="s">
        <v>12</v>
      </c>
      <c r="G282" s="11">
        <v>0.03</v>
      </c>
      <c r="H282" t="b">
        <f>(COUNTIFS(OrderLines!$A:$A,A282,OrderLines!$F:$F,"Beverage")&gt;0)</f>
        <v>1</v>
      </c>
      <c r="I282">
        <f>SUMIFS(OrderLines!$I:$I,OrderLines!$A:$A,A282)</f>
        <v>29.4298</v>
      </c>
      <c r="J282" t="str">
        <f>IF(AND(COUNTIFS(OrderLines!$A$2:$A$925,A282,OrderLines!$F$2:$F$925,"Hot Meal")&gt;0,COUNTIFS(OrderLines!$A$2:$A$925,A282,OrderLines!$F$2:$F$925,"Beverage")&gt;0),"Combo","Single")</f>
        <v>Single</v>
      </c>
      <c r="K282" t="str">
        <f>IF(SUMPRODUCT((OrderLines!$A$2:$A$925=A282)*OrderLines!$C$2:$C$925*OrderLines!$D$2:$D$925)*G282&gt;40,"HighDisc","OK")</f>
        <v>OK</v>
      </c>
    </row>
    <row r="283" spans="1:11" x14ac:dyDescent="0.3">
      <c r="A283" t="s">
        <v>319</v>
      </c>
      <c r="B283" s="2">
        <v>45855.574062500003</v>
      </c>
      <c r="C283" t="s">
        <v>27</v>
      </c>
      <c r="D283" t="s">
        <v>10</v>
      </c>
      <c r="E283" t="s">
        <v>11</v>
      </c>
      <c r="F283" t="s">
        <v>22</v>
      </c>
      <c r="G283" s="11">
        <v>0.14000000000000001</v>
      </c>
      <c r="H283" t="b">
        <f>(COUNTIFS(OrderLines!$A:$A,A283,OrderLines!$F:$F,"Beverage")&gt;0)</f>
        <v>1</v>
      </c>
      <c r="I283">
        <f>SUMIFS(OrderLines!$I:$I,OrderLines!$A:$A,A283)</f>
        <v>276.7996</v>
      </c>
      <c r="J283" t="str">
        <f>IF(AND(COUNTIFS(OrderLines!$A$2:$A$925,A283,OrderLines!$F$2:$F$925,"Hot Meal")&gt;0,COUNTIFS(OrderLines!$A$2:$A$925,A283,OrderLines!$F$2:$F$925,"Beverage")&gt;0),"Combo","Single")</f>
        <v>Single</v>
      </c>
      <c r="K283" t="str">
        <f>IF(SUMPRODUCT((OrderLines!$A$2:$A$925=A283)*OrderLines!$C$2:$C$925*OrderLines!$D$2:$D$925)*G283&gt;40,"HighDisc","OK")</f>
        <v>HighDisc</v>
      </c>
    </row>
    <row r="284" spans="1:11" x14ac:dyDescent="0.3">
      <c r="A284" t="s">
        <v>320</v>
      </c>
      <c r="B284" s="2">
        <v>45890.766608796293</v>
      </c>
      <c r="C284" t="s">
        <v>9</v>
      </c>
      <c r="D284" t="s">
        <v>28</v>
      </c>
      <c r="E284" t="s">
        <v>21</v>
      </c>
      <c r="F284" t="s">
        <v>18</v>
      </c>
      <c r="G284" s="11">
        <v>0.02</v>
      </c>
      <c r="H284" t="b">
        <f>(COUNTIFS(OrderLines!$A:$A,A284,OrderLines!$F:$F,"Beverage")&gt;0)</f>
        <v>1</v>
      </c>
      <c r="I284">
        <f>SUMIFS(OrderLines!$I:$I,OrderLines!$A:$A,A284)</f>
        <v>1112.0354</v>
      </c>
      <c r="J284" t="str">
        <f>IF(AND(COUNTIFS(OrderLines!$A$2:$A$925,A284,OrderLines!$F$2:$F$925,"Hot Meal")&gt;0,COUNTIFS(OrderLines!$A$2:$A$925,A284,OrderLines!$F$2:$F$925,"Beverage")&gt;0),"Combo","Single")</f>
        <v>Combo</v>
      </c>
      <c r="K284" t="str">
        <f>IF(SUMPRODUCT((OrderLines!$A$2:$A$925=A284)*OrderLines!$C$2:$C$925*OrderLines!$D$2:$D$925)*G284&gt;40,"HighDisc","OK")</f>
        <v>OK</v>
      </c>
    </row>
    <row r="285" spans="1:11" x14ac:dyDescent="0.3">
      <c r="A285" t="s">
        <v>321</v>
      </c>
      <c r="B285" s="2">
        <v>45853.589259259257</v>
      </c>
      <c r="C285" t="s">
        <v>27</v>
      </c>
      <c r="D285" t="s">
        <v>28</v>
      </c>
      <c r="E285" t="s">
        <v>17</v>
      </c>
      <c r="F285" t="s">
        <v>22</v>
      </c>
      <c r="G285" s="11">
        <v>0.01</v>
      </c>
      <c r="H285" t="b">
        <f>(COUNTIFS(OrderLines!$A:$A,A285,OrderLines!$F:$F,"Beverage")&gt;0)</f>
        <v>0</v>
      </c>
      <c r="I285">
        <f>SUMIFS(OrderLines!$I:$I,OrderLines!$A:$A,A285)</f>
        <v>328.69979999999998</v>
      </c>
      <c r="J285" t="str">
        <f>IF(AND(COUNTIFS(OrderLines!$A$2:$A$925,A285,OrderLines!$F$2:$F$925,"Hot Meal")&gt;0,COUNTIFS(OrderLines!$A$2:$A$925,A285,OrderLines!$F$2:$F$925,"Beverage")&gt;0),"Combo","Single")</f>
        <v>Single</v>
      </c>
      <c r="K285" t="str">
        <f>IF(SUMPRODUCT((OrderLines!$A$2:$A$925=A285)*OrderLines!$C$2:$C$925*OrderLines!$D$2:$D$925)*G285&gt;40,"HighDisc","OK")</f>
        <v>OK</v>
      </c>
    </row>
    <row r="286" spans="1:11" x14ac:dyDescent="0.3">
      <c r="A286" t="s">
        <v>322</v>
      </c>
      <c r="B286" s="2">
        <v>45858.403182870366</v>
      </c>
      <c r="C286" t="s">
        <v>27</v>
      </c>
      <c r="D286" t="s">
        <v>10</v>
      </c>
      <c r="E286" t="s">
        <v>17</v>
      </c>
      <c r="F286" t="s">
        <v>12</v>
      </c>
      <c r="G286" s="11">
        <v>0.11</v>
      </c>
      <c r="H286" t="b">
        <f>(COUNTIFS(OrderLines!$A:$A,A286,OrderLines!$F:$F,"Beverage")&gt;0)</f>
        <v>0</v>
      </c>
      <c r="I286">
        <f>SUMIFS(OrderLines!$I:$I,OrderLines!$A:$A,A286)</f>
        <v>380.96449999999999</v>
      </c>
      <c r="J286" t="str">
        <f>IF(AND(COUNTIFS(OrderLines!$A$2:$A$925,A286,OrderLines!$F$2:$F$925,"Hot Meal")&gt;0,COUNTIFS(OrderLines!$A$2:$A$925,A286,OrderLines!$F$2:$F$925,"Beverage")&gt;0),"Combo","Single")</f>
        <v>Single</v>
      </c>
      <c r="K286" t="str">
        <f>IF(SUMPRODUCT((OrderLines!$A$2:$A$925=A286)*OrderLines!$C$2:$C$925*OrderLines!$D$2:$D$925)*G286&gt;40,"HighDisc","OK")</f>
        <v>HighDisc</v>
      </c>
    </row>
    <row r="287" spans="1:11" x14ac:dyDescent="0.3">
      <c r="A287" t="s">
        <v>323</v>
      </c>
      <c r="B287" s="2">
        <v>45856.449178240742</v>
      </c>
      <c r="C287" t="s">
        <v>9</v>
      </c>
      <c r="D287" t="s">
        <v>16</v>
      </c>
      <c r="E287" t="s">
        <v>21</v>
      </c>
      <c r="F287" t="s">
        <v>12</v>
      </c>
      <c r="G287" s="11">
        <v>0.09</v>
      </c>
      <c r="H287" t="b">
        <f>(COUNTIFS(OrderLines!$A:$A,A287,OrderLines!$F:$F,"Beverage")&gt;0)</f>
        <v>0</v>
      </c>
      <c r="I287">
        <f>SUMIFS(OrderLines!$I:$I,OrderLines!$A:$A,A287)</f>
        <v>294.77629999999999</v>
      </c>
      <c r="J287" t="str">
        <f>IF(AND(COUNTIFS(OrderLines!$A$2:$A$925,A287,OrderLines!$F$2:$F$925,"Hot Meal")&gt;0,COUNTIFS(OrderLines!$A$2:$A$925,A287,OrderLines!$F$2:$F$925,"Beverage")&gt;0),"Combo","Single")</f>
        <v>Single</v>
      </c>
      <c r="K287" t="str">
        <f>IF(SUMPRODUCT((OrderLines!$A$2:$A$925=A287)*OrderLines!$C$2:$C$925*OrderLines!$D$2:$D$925)*G287&gt;40,"HighDisc","OK")</f>
        <v>OK</v>
      </c>
    </row>
    <row r="288" spans="1:11" x14ac:dyDescent="0.3">
      <c r="A288" t="s">
        <v>324</v>
      </c>
      <c r="B288" s="2">
        <v>45894.056712962964</v>
      </c>
      <c r="C288" t="s">
        <v>9</v>
      </c>
      <c r="D288" t="s">
        <v>10</v>
      </c>
      <c r="E288" t="s">
        <v>11</v>
      </c>
      <c r="F288" t="s">
        <v>12</v>
      </c>
      <c r="G288" s="11">
        <v>0.08</v>
      </c>
      <c r="H288" t="b">
        <f>(COUNTIFS(OrderLines!$A:$A,A288,OrderLines!$F:$F,"Beverage")&gt;0)</f>
        <v>0</v>
      </c>
      <c r="I288">
        <f>SUMIFS(OrderLines!$I:$I,OrderLines!$A:$A,A288)</f>
        <v>371.04520000000002</v>
      </c>
      <c r="J288" t="str">
        <f>IF(AND(COUNTIFS(OrderLines!$A$2:$A$925,A288,OrderLines!$F$2:$F$925,"Hot Meal")&gt;0,COUNTIFS(OrderLines!$A$2:$A$925,A288,OrderLines!$F$2:$F$925,"Beverage")&gt;0),"Combo","Single")</f>
        <v>Single</v>
      </c>
      <c r="K288" t="str">
        <f>IF(SUMPRODUCT((OrderLines!$A$2:$A$925=A288)*OrderLines!$C$2:$C$925*OrderLines!$D$2:$D$925)*G288&gt;40,"HighDisc","OK")</f>
        <v>OK</v>
      </c>
    </row>
    <row r="289" spans="1:11" x14ac:dyDescent="0.3">
      <c r="A289" t="s">
        <v>325</v>
      </c>
      <c r="B289" s="2">
        <v>45869.944039351853</v>
      </c>
      <c r="C289" t="s">
        <v>27</v>
      </c>
      <c r="D289" t="s">
        <v>16</v>
      </c>
      <c r="E289" t="s">
        <v>17</v>
      </c>
      <c r="F289" t="s">
        <v>18</v>
      </c>
      <c r="G289" s="11">
        <v>0.09</v>
      </c>
      <c r="H289" t="b">
        <f>(COUNTIFS(OrderLines!$A:$A,A289,OrderLines!$F:$F,"Beverage")&gt;0)</f>
        <v>1</v>
      </c>
      <c r="I289">
        <f>SUMIFS(OrderLines!$I:$I,OrderLines!$A:$A,A289)</f>
        <v>291.31830000000002</v>
      </c>
      <c r="J289" t="str">
        <f>IF(AND(COUNTIFS(OrderLines!$A$2:$A$925,A289,OrderLines!$F$2:$F$925,"Hot Meal")&gt;0,COUNTIFS(OrderLines!$A$2:$A$925,A289,OrderLines!$F$2:$F$925,"Beverage")&gt;0),"Combo","Single")</f>
        <v>Combo</v>
      </c>
      <c r="K289" t="str">
        <f>IF(SUMPRODUCT((OrderLines!$A$2:$A$925=A289)*OrderLines!$C$2:$C$925*OrderLines!$D$2:$D$925)*G289&gt;40,"HighDisc","OK")</f>
        <v>OK</v>
      </c>
    </row>
    <row r="290" spans="1:11" x14ac:dyDescent="0.3">
      <c r="A290" t="s">
        <v>326</v>
      </c>
      <c r="B290" s="2">
        <v>45882.18414351852</v>
      </c>
      <c r="C290" t="s">
        <v>9</v>
      </c>
      <c r="D290" t="s">
        <v>16</v>
      </c>
      <c r="E290" t="s">
        <v>21</v>
      </c>
      <c r="F290" t="s">
        <v>12</v>
      </c>
      <c r="G290" s="11">
        <v>0.06</v>
      </c>
      <c r="H290" t="b">
        <f>(COUNTIFS(OrderLines!$A:$A,A290,OrderLines!$F:$F,"Beverage")&gt;0)</f>
        <v>1</v>
      </c>
      <c r="I290">
        <f>SUMIFS(OrderLines!$I:$I,OrderLines!$A:$A,A290)</f>
        <v>289.78319999999997</v>
      </c>
      <c r="J290" t="str">
        <f>IF(AND(COUNTIFS(OrderLines!$A$2:$A$925,A290,OrderLines!$F$2:$F$925,"Hot Meal")&gt;0,COUNTIFS(OrderLines!$A$2:$A$925,A290,OrderLines!$F$2:$F$925,"Beverage")&gt;0),"Combo","Single")</f>
        <v>Single</v>
      </c>
      <c r="K290" t="str">
        <f>IF(SUMPRODUCT((OrderLines!$A$2:$A$925=A290)*OrderLines!$C$2:$C$925*OrderLines!$D$2:$D$925)*G290&gt;40,"HighDisc","OK")</f>
        <v>OK</v>
      </c>
    </row>
    <row r="291" spans="1:11" x14ac:dyDescent="0.3">
      <c r="A291" t="s">
        <v>327</v>
      </c>
      <c r="B291" s="2">
        <v>45873.42019675926</v>
      </c>
      <c r="C291" t="s">
        <v>9</v>
      </c>
      <c r="D291" t="s">
        <v>28</v>
      </c>
      <c r="E291" t="s">
        <v>21</v>
      </c>
      <c r="F291" t="s">
        <v>12</v>
      </c>
      <c r="G291" s="11">
        <v>0.02</v>
      </c>
      <c r="H291" t="b">
        <f>(COUNTIFS(OrderLines!$A:$A,A291,OrderLines!$F:$F,"Beverage")&gt;0)</f>
        <v>1</v>
      </c>
      <c r="I291">
        <f>SUMIFS(OrderLines!$I:$I,OrderLines!$A:$A,A291)</f>
        <v>52.028199999999998</v>
      </c>
      <c r="J291" t="str">
        <f>IF(AND(COUNTIFS(OrderLines!$A$2:$A$925,A291,OrderLines!$F$2:$F$925,"Hot Meal")&gt;0,COUNTIFS(OrderLines!$A$2:$A$925,A291,OrderLines!$F$2:$F$925,"Beverage")&gt;0),"Combo","Single")</f>
        <v>Single</v>
      </c>
      <c r="K291" t="str">
        <f>IF(SUMPRODUCT((OrderLines!$A$2:$A$925=A291)*OrderLines!$C$2:$C$925*OrderLines!$D$2:$D$925)*G291&gt;40,"HighDisc","OK")</f>
        <v>OK</v>
      </c>
    </row>
    <row r="292" spans="1:11" x14ac:dyDescent="0.3">
      <c r="A292" t="s">
        <v>328</v>
      </c>
      <c r="B292" s="2">
        <v>45883.126481481479</v>
      </c>
      <c r="C292" t="s">
        <v>27</v>
      </c>
      <c r="D292" t="s">
        <v>28</v>
      </c>
      <c r="E292" t="s">
        <v>21</v>
      </c>
      <c r="F292" t="s">
        <v>12</v>
      </c>
      <c r="G292" s="11">
        <v>0.06</v>
      </c>
      <c r="H292" t="b">
        <f>(COUNTIFS(OrderLines!$A:$A,A292,OrderLines!$F:$F,"Beverage")&gt;0)</f>
        <v>0</v>
      </c>
      <c r="I292">
        <f>SUMIFS(OrderLines!$I:$I,OrderLines!$A:$A,A292)</f>
        <v>482.99080000000004</v>
      </c>
      <c r="J292" t="str">
        <f>IF(AND(COUNTIFS(OrderLines!$A$2:$A$925,A292,OrderLines!$F$2:$F$925,"Hot Meal")&gt;0,COUNTIFS(OrderLines!$A$2:$A$925,A292,OrderLines!$F$2:$F$925,"Beverage")&gt;0),"Combo","Single")</f>
        <v>Single</v>
      </c>
      <c r="K292" t="str">
        <f>IF(SUMPRODUCT((OrderLines!$A$2:$A$925=A292)*OrderLines!$C$2:$C$925*OrderLines!$D$2:$D$925)*G292&gt;40,"HighDisc","OK")</f>
        <v>OK</v>
      </c>
    </row>
    <row r="293" spans="1:11" x14ac:dyDescent="0.3">
      <c r="A293" t="s">
        <v>329</v>
      </c>
      <c r="B293" s="2">
        <v>45846.699837962973</v>
      </c>
      <c r="C293" t="s">
        <v>9</v>
      </c>
      <c r="D293" t="s">
        <v>28</v>
      </c>
      <c r="E293" t="s">
        <v>11</v>
      </c>
      <c r="F293" t="s">
        <v>18</v>
      </c>
      <c r="G293" s="11">
        <v>0.03</v>
      </c>
      <c r="H293" t="b">
        <f>(COUNTIFS(OrderLines!$A:$A,A293,OrderLines!$F:$F,"Beverage")&gt;0)</f>
        <v>1</v>
      </c>
      <c r="I293">
        <f>SUMIFS(OrderLines!$I:$I,OrderLines!$A:$A,A293)</f>
        <v>78.366299999999995</v>
      </c>
      <c r="J293" t="str">
        <f>IF(AND(COUNTIFS(OrderLines!$A$2:$A$925,A293,OrderLines!$F$2:$F$925,"Hot Meal")&gt;0,COUNTIFS(OrderLines!$A$2:$A$925,A293,OrderLines!$F$2:$F$925,"Beverage")&gt;0),"Combo","Single")</f>
        <v>Single</v>
      </c>
      <c r="K293" t="str">
        <f>IF(SUMPRODUCT((OrderLines!$A$2:$A$925=A293)*OrderLines!$C$2:$C$925*OrderLines!$D$2:$D$925)*G293&gt;40,"HighDisc","OK")</f>
        <v>OK</v>
      </c>
    </row>
    <row r="294" spans="1:11" x14ac:dyDescent="0.3">
      <c r="A294" t="s">
        <v>330</v>
      </c>
      <c r="B294" s="2">
        <v>45876.57953703704</v>
      </c>
      <c r="C294" t="s">
        <v>15</v>
      </c>
      <c r="D294" t="s">
        <v>10</v>
      </c>
      <c r="E294" t="s">
        <v>11</v>
      </c>
      <c r="F294" t="s">
        <v>22</v>
      </c>
      <c r="G294" s="11">
        <v>0.1</v>
      </c>
      <c r="H294" t="b">
        <f>(COUNTIFS(OrderLines!$A:$A,A294,OrderLines!$F:$F,"Beverage")&gt;0)</f>
        <v>1</v>
      </c>
      <c r="I294">
        <f>SUMIFS(OrderLines!$I:$I,OrderLines!$A:$A,A294)</f>
        <v>464.31000000000006</v>
      </c>
      <c r="J294" t="str">
        <f>IF(AND(COUNTIFS(OrderLines!$A$2:$A$925,A294,OrderLines!$F$2:$F$925,"Hot Meal")&gt;0,COUNTIFS(OrderLines!$A$2:$A$925,A294,OrderLines!$F$2:$F$925,"Beverage")&gt;0),"Combo","Single")</f>
        <v>Combo</v>
      </c>
      <c r="K294" t="str">
        <f>IF(SUMPRODUCT((OrderLines!$A$2:$A$925=A294)*OrderLines!$C$2:$C$925*OrderLines!$D$2:$D$925)*G294&gt;40,"HighDisc","OK")</f>
        <v>HighDisc</v>
      </c>
    </row>
    <row r="295" spans="1:11" x14ac:dyDescent="0.3">
      <c r="A295" t="s">
        <v>331</v>
      </c>
      <c r="B295" s="2">
        <v>45882.914803240739</v>
      </c>
      <c r="C295" t="s">
        <v>9</v>
      </c>
      <c r="D295" t="s">
        <v>10</v>
      </c>
      <c r="E295" t="s">
        <v>17</v>
      </c>
      <c r="F295" t="s">
        <v>18</v>
      </c>
      <c r="G295" s="11">
        <v>0.05</v>
      </c>
      <c r="H295" t="b">
        <f>(COUNTIFS(OrderLines!$A:$A,A295,OrderLines!$F:$F,"Beverage")&gt;0)</f>
        <v>1</v>
      </c>
      <c r="I295">
        <f>SUMIFS(OrderLines!$I:$I,OrderLines!$A:$A,A295)</f>
        <v>54.016999999999996</v>
      </c>
      <c r="J295" t="str">
        <f>IF(AND(COUNTIFS(OrderLines!$A$2:$A$925,A295,OrderLines!$F$2:$F$925,"Hot Meal")&gt;0,COUNTIFS(OrderLines!$A$2:$A$925,A295,OrderLines!$F$2:$F$925,"Beverage")&gt;0),"Combo","Single")</f>
        <v>Single</v>
      </c>
      <c r="K295" t="str">
        <f>IF(SUMPRODUCT((OrderLines!$A$2:$A$925=A295)*OrderLines!$C$2:$C$925*OrderLines!$D$2:$D$925)*G295&gt;40,"HighDisc","OK")</f>
        <v>OK</v>
      </c>
    </row>
    <row r="296" spans="1:11" x14ac:dyDescent="0.3">
      <c r="A296" t="s">
        <v>332</v>
      </c>
      <c r="B296" s="2">
        <v>45897.990231481483</v>
      </c>
      <c r="C296" t="s">
        <v>15</v>
      </c>
      <c r="D296" t="s">
        <v>10</v>
      </c>
      <c r="E296" t="s">
        <v>17</v>
      </c>
      <c r="F296" t="s">
        <v>18</v>
      </c>
      <c r="G296" s="11">
        <v>0.03</v>
      </c>
      <c r="H296" t="b">
        <f>(COUNTIFS(OrderLines!$A:$A,A296,OrderLines!$F:$F,"Beverage")&gt;0)</f>
        <v>1</v>
      </c>
      <c r="I296">
        <f>SUMIFS(OrderLines!$I:$I,OrderLines!$A:$A,A296)</f>
        <v>76.891899999999993</v>
      </c>
      <c r="J296" t="str">
        <f>IF(AND(COUNTIFS(OrderLines!$A$2:$A$925,A296,OrderLines!$F$2:$F$925,"Hot Meal")&gt;0,COUNTIFS(OrderLines!$A$2:$A$925,A296,OrderLines!$F$2:$F$925,"Beverage")&gt;0),"Combo","Single")</f>
        <v>Single</v>
      </c>
      <c r="K296" t="str">
        <f>IF(SUMPRODUCT((OrderLines!$A$2:$A$925=A296)*OrderLines!$C$2:$C$925*OrderLines!$D$2:$D$925)*G296&gt;40,"HighDisc","OK")</f>
        <v>OK</v>
      </c>
    </row>
    <row r="297" spans="1:11" x14ac:dyDescent="0.3">
      <c r="A297" t="s">
        <v>333</v>
      </c>
      <c r="B297" s="2">
        <v>45882.991446759261</v>
      </c>
      <c r="C297" t="s">
        <v>27</v>
      </c>
      <c r="D297" t="s">
        <v>16</v>
      </c>
      <c r="E297" t="s">
        <v>11</v>
      </c>
      <c r="F297" t="s">
        <v>18</v>
      </c>
      <c r="G297" s="11">
        <v>0.05</v>
      </c>
      <c r="H297" t="b">
        <f>(COUNTIFS(OrderLines!$A:$A,A297,OrderLines!$F:$F,"Beverage")&gt;0)</f>
        <v>0</v>
      </c>
      <c r="I297">
        <f>SUMIFS(OrderLines!$I:$I,OrderLines!$A:$A,A297)</f>
        <v>161.53800000000001</v>
      </c>
      <c r="J297" t="str">
        <f>IF(AND(COUNTIFS(OrderLines!$A$2:$A$925,A297,OrderLines!$F$2:$F$925,"Hot Meal")&gt;0,COUNTIFS(OrderLines!$A$2:$A$925,A297,OrderLines!$F$2:$F$925,"Beverage")&gt;0),"Combo","Single")</f>
        <v>Single</v>
      </c>
      <c r="K297" t="str">
        <f>IF(SUMPRODUCT((OrderLines!$A$2:$A$925=A297)*OrderLines!$C$2:$C$925*OrderLines!$D$2:$D$925)*G297&gt;40,"HighDisc","OK")</f>
        <v>OK</v>
      </c>
    </row>
    <row r="298" spans="1:11" x14ac:dyDescent="0.3">
      <c r="A298" t="s">
        <v>334</v>
      </c>
      <c r="B298" s="2">
        <v>45888.236840277779</v>
      </c>
      <c r="C298" t="s">
        <v>9</v>
      </c>
      <c r="D298" t="s">
        <v>28</v>
      </c>
      <c r="E298" t="s">
        <v>17</v>
      </c>
      <c r="F298" t="s">
        <v>12</v>
      </c>
      <c r="G298" s="11">
        <v>0.08</v>
      </c>
      <c r="H298" t="b">
        <f>(COUNTIFS(OrderLines!$A:$A,A298,OrderLines!$F:$F,"Beverage")&gt;0)</f>
        <v>0</v>
      </c>
      <c r="I298">
        <f>SUMIFS(OrderLines!$I:$I,OrderLines!$A:$A,A298)</f>
        <v>194.69040000000001</v>
      </c>
      <c r="J298" t="str">
        <f>IF(AND(COUNTIFS(OrderLines!$A$2:$A$925,A298,OrderLines!$F$2:$F$925,"Hot Meal")&gt;0,COUNTIFS(OrderLines!$A$2:$A$925,A298,OrderLines!$F$2:$F$925,"Beverage")&gt;0),"Combo","Single")</f>
        <v>Single</v>
      </c>
      <c r="K298" t="str">
        <f>IF(SUMPRODUCT((OrderLines!$A$2:$A$925=A298)*OrderLines!$C$2:$C$925*OrderLines!$D$2:$D$925)*G298&gt;40,"HighDisc","OK")</f>
        <v>OK</v>
      </c>
    </row>
    <row r="299" spans="1:11" x14ac:dyDescent="0.3">
      <c r="A299" t="s">
        <v>335</v>
      </c>
      <c r="B299" s="2">
        <v>45881.752106481479</v>
      </c>
      <c r="C299" t="s">
        <v>15</v>
      </c>
      <c r="D299" t="s">
        <v>10</v>
      </c>
      <c r="E299" t="s">
        <v>11</v>
      </c>
      <c r="F299" t="s">
        <v>18</v>
      </c>
      <c r="G299" s="11">
        <v>0.04</v>
      </c>
      <c r="H299" t="b">
        <f>(COUNTIFS(OrderLines!$A:$A,A299,OrderLines!$F:$F,"Beverage")&gt;0)</f>
        <v>0</v>
      </c>
      <c r="I299">
        <f>SUMIFS(OrderLines!$I:$I,OrderLines!$A:$A,A299)</f>
        <v>246.6336</v>
      </c>
      <c r="J299" t="str">
        <f>IF(AND(COUNTIFS(OrderLines!$A$2:$A$925,A299,OrderLines!$F$2:$F$925,"Hot Meal")&gt;0,COUNTIFS(OrderLines!$A$2:$A$925,A299,OrderLines!$F$2:$F$925,"Beverage")&gt;0),"Combo","Single")</f>
        <v>Single</v>
      </c>
      <c r="K299" t="str">
        <f>IF(SUMPRODUCT((OrderLines!$A$2:$A$925=A299)*OrderLines!$C$2:$C$925*OrderLines!$D$2:$D$925)*G299&gt;40,"HighDisc","OK")</f>
        <v>OK</v>
      </c>
    </row>
    <row r="300" spans="1:11" x14ac:dyDescent="0.3">
      <c r="A300" t="s">
        <v>336</v>
      </c>
      <c r="B300" s="2">
        <v>45874.580983796302</v>
      </c>
      <c r="C300" t="s">
        <v>15</v>
      </c>
      <c r="D300" t="s">
        <v>16</v>
      </c>
      <c r="E300" t="s">
        <v>21</v>
      </c>
      <c r="F300" t="s">
        <v>22</v>
      </c>
      <c r="G300" s="11">
        <v>0.03</v>
      </c>
      <c r="H300" t="b">
        <f>(COUNTIFS(OrderLines!$A:$A,A300,OrderLines!$F:$F,"Beverage")&gt;0)</f>
        <v>1</v>
      </c>
      <c r="I300">
        <f>SUMIFS(OrderLines!$I:$I,OrderLines!$A:$A,A300)</f>
        <v>453.73690000000005</v>
      </c>
      <c r="J300" t="str">
        <f>IF(AND(COUNTIFS(OrderLines!$A$2:$A$925,A300,OrderLines!$F$2:$F$925,"Hot Meal")&gt;0,COUNTIFS(OrderLines!$A$2:$A$925,A300,OrderLines!$F$2:$F$925,"Beverage")&gt;0),"Combo","Single")</f>
        <v>Combo</v>
      </c>
      <c r="K300" t="str">
        <f>IF(SUMPRODUCT((OrderLines!$A$2:$A$925=A300)*OrderLines!$C$2:$C$925*OrderLines!$D$2:$D$925)*G300&gt;40,"HighDisc","OK")</f>
        <v>OK</v>
      </c>
    </row>
    <row r="301" spans="1:11" x14ac:dyDescent="0.3">
      <c r="A301" t="s">
        <v>337</v>
      </c>
      <c r="B301" s="2">
        <v>45872.102187500001</v>
      </c>
      <c r="C301" t="s">
        <v>9</v>
      </c>
      <c r="D301" t="s">
        <v>10</v>
      </c>
      <c r="E301" t="s">
        <v>17</v>
      </c>
      <c r="F301" t="s">
        <v>12</v>
      </c>
      <c r="G301" s="11">
        <v>7.0000000000000007E-2</v>
      </c>
      <c r="H301" t="b">
        <f>(COUNTIFS(OrderLines!$A:$A,A301,OrderLines!$F:$F,"Beverage")&gt;0)</f>
        <v>0</v>
      </c>
      <c r="I301">
        <f>SUMIFS(OrderLines!$I:$I,OrderLines!$A:$A,A301)</f>
        <v>376.82670000000002</v>
      </c>
      <c r="J301" t="str">
        <f>IF(AND(COUNTIFS(OrderLines!$A$2:$A$925,A301,OrderLines!$F$2:$F$925,"Hot Meal")&gt;0,COUNTIFS(OrderLines!$A$2:$A$925,A301,OrderLines!$F$2:$F$925,"Beverage")&gt;0),"Combo","Single")</f>
        <v>Single</v>
      </c>
      <c r="K301" t="str">
        <f>IF(SUMPRODUCT((OrderLines!$A$2:$A$925=A301)*OrderLines!$C$2:$C$925*OrderLines!$D$2:$D$925)*G301&gt;40,"HighDisc","OK")</f>
        <v>OK</v>
      </c>
    </row>
    <row r="302" spans="1:11" x14ac:dyDescent="0.3">
      <c r="A302" t="s">
        <v>338</v>
      </c>
      <c r="B302" s="2">
        <v>45845.649398148147</v>
      </c>
      <c r="C302" t="s">
        <v>15</v>
      </c>
      <c r="D302" t="s">
        <v>28</v>
      </c>
      <c r="E302" t="s">
        <v>11</v>
      </c>
      <c r="F302" t="s">
        <v>22</v>
      </c>
      <c r="G302" s="11">
        <v>7.0000000000000007E-2</v>
      </c>
      <c r="H302" t="b">
        <f>(COUNTIFS(OrderLines!$A:$A,A302,OrderLines!$F:$F,"Beverage")&gt;0)</f>
        <v>0</v>
      </c>
      <c r="I302">
        <f>SUMIFS(OrderLines!$I:$I,OrderLines!$A:$A,A302)</f>
        <v>349.06619999999998</v>
      </c>
      <c r="J302" t="str">
        <f>IF(AND(COUNTIFS(OrderLines!$A$2:$A$925,A302,OrderLines!$F$2:$F$925,"Hot Meal")&gt;0,COUNTIFS(OrderLines!$A$2:$A$925,A302,OrderLines!$F$2:$F$925,"Beverage")&gt;0),"Combo","Single")</f>
        <v>Single</v>
      </c>
      <c r="K302" t="str">
        <f>IF(SUMPRODUCT((OrderLines!$A$2:$A$925=A302)*OrderLines!$C$2:$C$925*OrderLines!$D$2:$D$925)*G302&gt;40,"HighDisc","OK")</f>
        <v>OK</v>
      </c>
    </row>
    <row r="303" spans="1:11" x14ac:dyDescent="0.3">
      <c r="A303" t="s">
        <v>339</v>
      </c>
      <c r="B303" s="2">
        <v>45866.83792824074</v>
      </c>
      <c r="C303" t="s">
        <v>15</v>
      </c>
      <c r="D303" t="s">
        <v>10</v>
      </c>
      <c r="E303" t="s">
        <v>11</v>
      </c>
      <c r="F303" t="s">
        <v>18</v>
      </c>
      <c r="G303" s="11">
        <v>0.04</v>
      </c>
      <c r="H303" t="b">
        <f>(COUNTIFS(OrderLines!$A:$A,A303,OrderLines!$F:$F,"Beverage")&gt;0)</f>
        <v>1</v>
      </c>
      <c r="I303">
        <f>SUMIFS(OrderLines!$I:$I,OrderLines!$A:$A,A303)</f>
        <v>63.935999999999993</v>
      </c>
      <c r="J303" t="str">
        <f>IF(AND(COUNTIFS(OrderLines!$A$2:$A$925,A303,OrderLines!$F$2:$F$925,"Hot Meal")&gt;0,COUNTIFS(OrderLines!$A$2:$A$925,A303,OrderLines!$F$2:$F$925,"Beverage")&gt;0),"Combo","Single")</f>
        <v>Single</v>
      </c>
      <c r="K303" t="str">
        <f>IF(SUMPRODUCT((OrderLines!$A$2:$A$925=A303)*OrderLines!$C$2:$C$925*OrderLines!$D$2:$D$925)*G303&gt;40,"HighDisc","OK")</f>
        <v>OK</v>
      </c>
    </row>
    <row r="304" spans="1:11" x14ac:dyDescent="0.3">
      <c r="A304" t="s">
        <v>340</v>
      </c>
      <c r="B304" s="2">
        <v>45871.616238425922</v>
      </c>
      <c r="C304" t="s">
        <v>27</v>
      </c>
      <c r="D304" t="s">
        <v>10</v>
      </c>
      <c r="E304" t="s">
        <v>11</v>
      </c>
      <c r="F304" t="s">
        <v>22</v>
      </c>
      <c r="G304" s="11">
        <v>0.04</v>
      </c>
      <c r="H304" t="b">
        <f>(COUNTIFS(OrderLines!$A:$A,A304,OrderLines!$F:$F,"Beverage")&gt;0)</f>
        <v>0</v>
      </c>
      <c r="I304">
        <f>SUMIFS(OrderLines!$I:$I,OrderLines!$A:$A,A304)</f>
        <v>149.7792</v>
      </c>
      <c r="J304" t="str">
        <f>IF(AND(COUNTIFS(OrderLines!$A$2:$A$925,A304,OrderLines!$F$2:$F$925,"Hot Meal")&gt;0,COUNTIFS(OrderLines!$A$2:$A$925,A304,OrderLines!$F$2:$F$925,"Beverage")&gt;0),"Combo","Single")</f>
        <v>Single</v>
      </c>
      <c r="K304" t="str">
        <f>IF(SUMPRODUCT((OrderLines!$A$2:$A$925=A304)*OrderLines!$C$2:$C$925*OrderLines!$D$2:$D$925)*G304&gt;40,"HighDisc","OK")</f>
        <v>OK</v>
      </c>
    </row>
    <row r="305" spans="1:11" x14ac:dyDescent="0.3">
      <c r="A305" t="s">
        <v>341</v>
      </c>
      <c r="B305" s="2">
        <v>45873.214224537027</v>
      </c>
      <c r="C305" t="s">
        <v>15</v>
      </c>
      <c r="D305" t="s">
        <v>10</v>
      </c>
      <c r="E305" t="s">
        <v>11</v>
      </c>
      <c r="F305" t="s">
        <v>12</v>
      </c>
      <c r="G305" s="11">
        <v>7.0000000000000007E-2</v>
      </c>
      <c r="H305" t="b">
        <f>(COUNTIFS(OrderLines!$A:$A,A305,OrderLines!$F:$F,"Beverage")&gt;0)</f>
        <v>1</v>
      </c>
      <c r="I305">
        <f>SUMIFS(OrderLines!$I:$I,OrderLines!$A:$A,A305)</f>
        <v>30.671399999999995</v>
      </c>
      <c r="J305" t="str">
        <f>IF(AND(COUNTIFS(OrderLines!$A$2:$A$925,A305,OrderLines!$F$2:$F$925,"Hot Meal")&gt;0,COUNTIFS(OrderLines!$A$2:$A$925,A305,OrderLines!$F$2:$F$925,"Beverage")&gt;0),"Combo","Single")</f>
        <v>Single</v>
      </c>
      <c r="K305" t="str">
        <f>IF(SUMPRODUCT((OrderLines!$A$2:$A$925=A305)*OrderLines!$C$2:$C$925*OrderLines!$D$2:$D$925)*G305&gt;40,"HighDisc","OK")</f>
        <v>OK</v>
      </c>
    </row>
    <row r="306" spans="1:11" x14ac:dyDescent="0.3">
      <c r="A306" t="s">
        <v>342</v>
      </c>
      <c r="B306" s="2">
        <v>45851.769953703697</v>
      </c>
      <c r="C306" t="s">
        <v>9</v>
      </c>
      <c r="D306" t="s">
        <v>10</v>
      </c>
      <c r="E306" t="s">
        <v>17</v>
      </c>
      <c r="F306" t="s">
        <v>18</v>
      </c>
      <c r="G306" s="11">
        <v>0</v>
      </c>
      <c r="H306" t="b">
        <f>(COUNTIFS(OrderLines!$A:$A,A306,OrderLines!$F:$F,"Beverage")&gt;0)</f>
        <v>0</v>
      </c>
      <c r="I306">
        <f>SUMIFS(OrderLines!$I:$I,OrderLines!$A:$A,A306)</f>
        <v>572.08000000000004</v>
      </c>
      <c r="J306" t="str">
        <f>IF(AND(COUNTIFS(OrderLines!$A$2:$A$925,A306,OrderLines!$F$2:$F$925,"Hot Meal")&gt;0,COUNTIFS(OrderLines!$A$2:$A$925,A306,OrderLines!$F$2:$F$925,"Beverage")&gt;0),"Combo","Single")</f>
        <v>Single</v>
      </c>
      <c r="K306" t="str">
        <f>IF(SUMPRODUCT((OrderLines!$A$2:$A$925=A306)*OrderLines!$C$2:$C$925*OrderLines!$D$2:$D$925)*G306&gt;40,"HighDisc","OK")</f>
        <v>OK</v>
      </c>
    </row>
    <row r="307" spans="1:11" x14ac:dyDescent="0.3">
      <c r="A307" t="s">
        <v>343</v>
      </c>
      <c r="B307" s="2">
        <v>45893.515949074077</v>
      </c>
      <c r="C307" t="s">
        <v>15</v>
      </c>
      <c r="D307" t="s">
        <v>10</v>
      </c>
      <c r="E307" t="s">
        <v>21</v>
      </c>
      <c r="F307" t="s">
        <v>22</v>
      </c>
      <c r="G307" s="11">
        <v>0</v>
      </c>
      <c r="H307" t="b">
        <f>(COUNTIFS(OrderLines!$A:$A,A307,OrderLines!$F:$F,"Beverage")&gt;0)</f>
        <v>1</v>
      </c>
      <c r="I307">
        <f>SUMIFS(OrderLines!$I:$I,OrderLines!$A:$A,A307)</f>
        <v>680.33</v>
      </c>
      <c r="J307" t="str">
        <f>IF(AND(COUNTIFS(OrderLines!$A$2:$A$925,A307,OrderLines!$F$2:$F$925,"Hot Meal")&gt;0,COUNTIFS(OrderLines!$A$2:$A$925,A307,OrderLines!$F$2:$F$925,"Beverage")&gt;0),"Combo","Single")</f>
        <v>Combo</v>
      </c>
      <c r="K307" t="str">
        <f>IF(SUMPRODUCT((OrderLines!$A$2:$A$925=A307)*OrderLines!$C$2:$C$925*OrderLines!$D$2:$D$925)*G307&gt;40,"HighDisc","OK")</f>
        <v>OK</v>
      </c>
    </row>
    <row r="308" spans="1:11" x14ac:dyDescent="0.3">
      <c r="A308" t="s">
        <v>344</v>
      </c>
      <c r="B308" s="2">
        <v>45890.357719907413</v>
      </c>
      <c r="C308" t="s">
        <v>27</v>
      </c>
      <c r="D308" t="s">
        <v>10</v>
      </c>
      <c r="E308" t="s">
        <v>11</v>
      </c>
      <c r="F308" t="s">
        <v>12</v>
      </c>
      <c r="G308" s="11">
        <v>0.03</v>
      </c>
      <c r="H308" t="b">
        <f>(COUNTIFS(OrderLines!$A:$A,A308,OrderLines!$F:$F,"Beverage")&gt;0)</f>
        <v>1</v>
      </c>
      <c r="I308">
        <f>SUMIFS(OrderLines!$I:$I,OrderLines!$A:$A,A308)</f>
        <v>414.88839999999999</v>
      </c>
      <c r="J308" t="str">
        <f>IF(AND(COUNTIFS(OrderLines!$A$2:$A$925,A308,OrderLines!$F$2:$F$925,"Hot Meal")&gt;0,COUNTIFS(OrderLines!$A$2:$A$925,A308,OrderLines!$F$2:$F$925,"Beverage")&gt;0),"Combo","Single")</f>
        <v>Combo</v>
      </c>
      <c r="K308" t="str">
        <f>IF(SUMPRODUCT((OrderLines!$A$2:$A$925=A308)*OrderLines!$C$2:$C$925*OrderLines!$D$2:$D$925)*G308&gt;40,"HighDisc","OK")</f>
        <v>OK</v>
      </c>
    </row>
    <row r="309" spans="1:11" x14ac:dyDescent="0.3">
      <c r="A309" t="s">
        <v>345</v>
      </c>
      <c r="B309" s="2">
        <v>45888.619328703702</v>
      </c>
      <c r="C309" t="s">
        <v>15</v>
      </c>
      <c r="D309" t="s">
        <v>28</v>
      </c>
      <c r="E309" t="s">
        <v>21</v>
      </c>
      <c r="F309" t="s">
        <v>22</v>
      </c>
      <c r="G309" s="11">
        <v>0.05</v>
      </c>
      <c r="H309" t="b">
        <f>(COUNTIFS(OrderLines!$A:$A,A309,OrderLines!$F:$F,"Beverage")&gt;0)</f>
        <v>0</v>
      </c>
      <c r="I309">
        <f>SUMIFS(OrderLines!$I:$I,OrderLines!$A:$A,A309)</f>
        <v>977.06549999999993</v>
      </c>
      <c r="J309" t="str">
        <f>IF(AND(COUNTIFS(OrderLines!$A$2:$A$925,A309,OrderLines!$F$2:$F$925,"Hot Meal")&gt;0,COUNTIFS(OrderLines!$A$2:$A$925,A309,OrderLines!$F$2:$F$925,"Beverage")&gt;0),"Combo","Single")</f>
        <v>Single</v>
      </c>
      <c r="K309" t="str">
        <f>IF(SUMPRODUCT((OrderLines!$A$2:$A$925=A309)*OrderLines!$C$2:$C$925*OrderLines!$D$2:$D$925)*G309&gt;40,"HighDisc","OK")</f>
        <v>HighDisc</v>
      </c>
    </row>
    <row r="310" spans="1:11" x14ac:dyDescent="0.3">
      <c r="A310" t="s">
        <v>346</v>
      </c>
      <c r="B310" s="2">
        <v>45856.751782407409</v>
      </c>
      <c r="C310" t="s">
        <v>27</v>
      </c>
      <c r="D310" t="s">
        <v>16</v>
      </c>
      <c r="E310" t="s">
        <v>21</v>
      </c>
      <c r="F310" t="s">
        <v>18</v>
      </c>
      <c r="G310" s="11">
        <v>7.0000000000000007E-2</v>
      </c>
      <c r="H310" t="b">
        <f>(COUNTIFS(OrderLines!$A:$A,A310,OrderLines!$F:$F,"Beverage")&gt;0)</f>
        <v>1</v>
      </c>
      <c r="I310">
        <f>SUMIFS(OrderLines!$I:$I,OrderLines!$A:$A,A310)</f>
        <v>101.46299999999999</v>
      </c>
      <c r="J310" t="str">
        <f>IF(AND(COUNTIFS(OrderLines!$A$2:$A$925,A310,OrderLines!$F$2:$F$925,"Hot Meal")&gt;0,COUNTIFS(OrderLines!$A$2:$A$925,A310,OrderLines!$F$2:$F$925,"Beverage")&gt;0),"Combo","Single")</f>
        <v>Single</v>
      </c>
      <c r="K310" t="str">
        <f>IF(SUMPRODUCT((OrderLines!$A$2:$A$925=A310)*OrderLines!$C$2:$C$925*OrderLines!$D$2:$D$925)*G310&gt;40,"HighDisc","OK")</f>
        <v>OK</v>
      </c>
    </row>
    <row r="311" spans="1:11" x14ac:dyDescent="0.3">
      <c r="A311" t="s">
        <v>347</v>
      </c>
      <c r="B311" s="2">
        <v>45861.245138888888</v>
      </c>
      <c r="C311" t="s">
        <v>27</v>
      </c>
      <c r="D311" t="s">
        <v>28</v>
      </c>
      <c r="E311" t="s">
        <v>17</v>
      </c>
      <c r="F311" t="s">
        <v>12</v>
      </c>
      <c r="G311" s="11">
        <v>0.12</v>
      </c>
      <c r="H311" t="b">
        <f>(COUNTIFS(OrderLines!$A:$A,A311,OrderLines!$F:$F,"Beverage")&gt;0)</f>
        <v>1</v>
      </c>
      <c r="I311">
        <f>SUMIFS(OrderLines!$I:$I,OrderLines!$A:$A,A311)</f>
        <v>162.30719999999999</v>
      </c>
      <c r="J311" t="str">
        <f>IF(AND(COUNTIFS(OrderLines!$A$2:$A$925,A311,OrderLines!$F$2:$F$925,"Hot Meal")&gt;0,COUNTIFS(OrderLines!$A$2:$A$925,A311,OrderLines!$F$2:$F$925,"Beverage")&gt;0),"Combo","Single")</f>
        <v>Single</v>
      </c>
      <c r="K311" t="str">
        <f>IF(SUMPRODUCT((OrderLines!$A$2:$A$925=A311)*OrderLines!$C$2:$C$925*OrderLines!$D$2:$D$925)*G311&gt;40,"HighDisc","OK")</f>
        <v>OK</v>
      </c>
    </row>
    <row r="312" spans="1:11" x14ac:dyDescent="0.3">
      <c r="A312" t="s">
        <v>348</v>
      </c>
      <c r="B312" s="2">
        <v>45849.069791666669</v>
      </c>
      <c r="C312" t="s">
        <v>9</v>
      </c>
      <c r="D312" t="s">
        <v>10</v>
      </c>
      <c r="E312" t="s">
        <v>11</v>
      </c>
      <c r="F312" t="s">
        <v>12</v>
      </c>
      <c r="G312" s="11">
        <v>0.09</v>
      </c>
      <c r="H312" t="b">
        <f>(COUNTIFS(OrderLines!$A:$A,A312,OrderLines!$F:$F,"Beverage")&gt;0)</f>
        <v>0</v>
      </c>
      <c r="I312">
        <f>SUMIFS(OrderLines!$I:$I,OrderLines!$A:$A,A312)</f>
        <v>314.87819999999999</v>
      </c>
      <c r="J312" t="str">
        <f>IF(AND(COUNTIFS(OrderLines!$A$2:$A$925,A312,OrderLines!$F$2:$F$925,"Hot Meal")&gt;0,COUNTIFS(OrderLines!$A$2:$A$925,A312,OrderLines!$F$2:$F$925,"Beverage")&gt;0),"Combo","Single")</f>
        <v>Single</v>
      </c>
      <c r="K312" t="str">
        <f>IF(SUMPRODUCT((OrderLines!$A$2:$A$925=A312)*OrderLines!$C$2:$C$925*OrderLines!$D$2:$D$925)*G312&gt;40,"HighDisc","OK")</f>
        <v>OK</v>
      </c>
    </row>
    <row r="313" spans="1:11" x14ac:dyDescent="0.3">
      <c r="A313" t="s">
        <v>349</v>
      </c>
      <c r="B313" s="2">
        <v>45842.914907407408</v>
      </c>
      <c r="C313" t="s">
        <v>9</v>
      </c>
      <c r="D313" t="s">
        <v>16</v>
      </c>
      <c r="E313" t="s">
        <v>11</v>
      </c>
      <c r="F313" t="s">
        <v>18</v>
      </c>
      <c r="G313" s="11">
        <v>0.05</v>
      </c>
      <c r="H313" t="b">
        <f>(COUNTIFS(OrderLines!$A:$A,A313,OrderLines!$F:$F,"Beverage")&gt;0)</f>
        <v>0</v>
      </c>
      <c r="I313">
        <f>SUMIFS(OrderLines!$I:$I,OrderLines!$A:$A,A313)</f>
        <v>260.96500000000003</v>
      </c>
      <c r="J313" t="str">
        <f>IF(AND(COUNTIFS(OrderLines!$A$2:$A$925,A313,OrderLines!$F$2:$F$925,"Hot Meal")&gt;0,COUNTIFS(OrderLines!$A$2:$A$925,A313,OrderLines!$F$2:$F$925,"Beverage")&gt;0),"Combo","Single")</f>
        <v>Single</v>
      </c>
      <c r="K313" t="str">
        <f>IF(SUMPRODUCT((OrderLines!$A$2:$A$925=A313)*OrderLines!$C$2:$C$925*OrderLines!$D$2:$D$925)*G313&gt;40,"HighDisc","OK")</f>
        <v>OK</v>
      </c>
    </row>
    <row r="314" spans="1:11" x14ac:dyDescent="0.3">
      <c r="A314" t="s">
        <v>350</v>
      </c>
      <c r="B314" s="2">
        <v>45897.236875000002</v>
      </c>
      <c r="C314" t="s">
        <v>15</v>
      </c>
      <c r="D314" t="s">
        <v>28</v>
      </c>
      <c r="E314" t="s">
        <v>17</v>
      </c>
      <c r="F314" t="s">
        <v>12</v>
      </c>
      <c r="G314" s="11">
        <v>0.06</v>
      </c>
      <c r="H314" t="b">
        <f>(COUNTIFS(OrderLines!$A:$A,A314,OrderLines!$F:$F,"Beverage")&gt;0)</f>
        <v>0</v>
      </c>
      <c r="I314">
        <f>SUMIFS(OrderLines!$I:$I,OrderLines!$A:$A,A314)</f>
        <v>50.948</v>
      </c>
      <c r="J314" t="str">
        <f>IF(AND(COUNTIFS(OrderLines!$A$2:$A$925,A314,OrderLines!$F$2:$F$925,"Hot Meal")&gt;0,COUNTIFS(OrderLines!$A$2:$A$925,A314,OrderLines!$F$2:$F$925,"Beverage")&gt;0),"Combo","Single")</f>
        <v>Single</v>
      </c>
      <c r="K314" t="str">
        <f>IF(SUMPRODUCT((OrderLines!$A$2:$A$925=A314)*OrderLines!$C$2:$C$925*OrderLines!$D$2:$D$925)*G314&gt;40,"HighDisc","OK")</f>
        <v>OK</v>
      </c>
    </row>
    <row r="315" spans="1:11" x14ac:dyDescent="0.3">
      <c r="A315" t="s">
        <v>351</v>
      </c>
      <c r="B315" s="2">
        <v>45855.322256944448</v>
      </c>
      <c r="C315" t="s">
        <v>9</v>
      </c>
      <c r="D315" t="s">
        <v>16</v>
      </c>
      <c r="E315" t="s">
        <v>17</v>
      </c>
      <c r="F315" t="s">
        <v>12</v>
      </c>
      <c r="G315" s="11">
        <v>0.02</v>
      </c>
      <c r="H315" t="b">
        <f>(COUNTIFS(OrderLines!$A:$A,A315,OrderLines!$F:$F,"Beverage")&gt;0)</f>
        <v>1</v>
      </c>
      <c r="I315">
        <f>SUMIFS(OrderLines!$I:$I,OrderLines!$A:$A,A315)</f>
        <v>32.320399999999999</v>
      </c>
      <c r="J315" t="str">
        <f>IF(AND(COUNTIFS(OrderLines!$A$2:$A$925,A315,OrderLines!$F$2:$F$925,"Hot Meal")&gt;0,COUNTIFS(OrderLines!$A$2:$A$925,A315,OrderLines!$F$2:$F$925,"Beverage")&gt;0),"Combo","Single")</f>
        <v>Single</v>
      </c>
      <c r="K315" t="str">
        <f>IF(SUMPRODUCT((OrderLines!$A$2:$A$925=A315)*OrderLines!$C$2:$C$925*OrderLines!$D$2:$D$925)*G315&gt;40,"HighDisc","OK")</f>
        <v>OK</v>
      </c>
    </row>
    <row r="316" spans="1:11" x14ac:dyDescent="0.3">
      <c r="A316" t="s">
        <v>352</v>
      </c>
      <c r="B316" s="2">
        <v>45874.619953703703</v>
      </c>
      <c r="C316" t="s">
        <v>9</v>
      </c>
      <c r="D316" t="s">
        <v>10</v>
      </c>
      <c r="E316" t="s">
        <v>17</v>
      </c>
      <c r="F316" t="s">
        <v>22</v>
      </c>
      <c r="G316" s="11">
        <v>0.06</v>
      </c>
      <c r="H316" t="b">
        <f>(COUNTIFS(OrderLines!$A:$A,A316,OrderLines!$F:$F,"Beverage")&gt;0)</f>
        <v>0</v>
      </c>
      <c r="I316">
        <f>SUMIFS(OrderLines!$I:$I,OrderLines!$A:$A,A316)</f>
        <v>325.66299999999995</v>
      </c>
      <c r="J316" t="str">
        <f>IF(AND(COUNTIFS(OrderLines!$A$2:$A$925,A316,OrderLines!$F$2:$F$925,"Hot Meal")&gt;0,COUNTIFS(OrderLines!$A$2:$A$925,A316,OrderLines!$F$2:$F$925,"Beverage")&gt;0),"Combo","Single")</f>
        <v>Single</v>
      </c>
      <c r="K316" t="str">
        <f>IF(SUMPRODUCT((OrderLines!$A$2:$A$925=A316)*OrderLines!$C$2:$C$925*OrderLines!$D$2:$D$925)*G316&gt;40,"HighDisc","OK")</f>
        <v>OK</v>
      </c>
    </row>
    <row r="317" spans="1:11" x14ac:dyDescent="0.3">
      <c r="A317" t="s">
        <v>353</v>
      </c>
      <c r="B317" s="2">
        <v>45898.53292824074</v>
      </c>
      <c r="C317" t="s">
        <v>15</v>
      </c>
      <c r="D317" t="s">
        <v>10</v>
      </c>
      <c r="E317" t="s">
        <v>21</v>
      </c>
      <c r="F317" t="s">
        <v>22</v>
      </c>
      <c r="G317" s="11">
        <v>0.05</v>
      </c>
      <c r="H317" t="b">
        <f>(COUNTIFS(OrderLines!$A:$A,A317,OrderLines!$F:$F,"Beverage")&gt;0)</f>
        <v>1</v>
      </c>
      <c r="I317">
        <f>SUMIFS(OrderLines!$I:$I,OrderLines!$A:$A,A317)</f>
        <v>63.269999999999989</v>
      </c>
      <c r="J317" t="str">
        <f>IF(AND(COUNTIFS(OrderLines!$A$2:$A$925,A317,OrderLines!$F$2:$F$925,"Hot Meal")&gt;0,COUNTIFS(OrderLines!$A$2:$A$925,A317,OrderLines!$F$2:$F$925,"Beverage")&gt;0),"Combo","Single")</f>
        <v>Single</v>
      </c>
      <c r="K317" t="str">
        <f>IF(SUMPRODUCT((OrderLines!$A$2:$A$925=A317)*OrderLines!$C$2:$C$925*OrderLines!$D$2:$D$925)*G317&gt;40,"HighDisc","OK")</f>
        <v>OK</v>
      </c>
    </row>
    <row r="318" spans="1:11" x14ac:dyDescent="0.3">
      <c r="A318" t="s">
        <v>354</v>
      </c>
      <c r="B318" s="2">
        <v>45891.097337962958</v>
      </c>
      <c r="C318" t="s">
        <v>27</v>
      </c>
      <c r="D318" t="s">
        <v>16</v>
      </c>
      <c r="E318" t="s">
        <v>21</v>
      </c>
      <c r="F318" t="s">
        <v>12</v>
      </c>
      <c r="G318" s="11">
        <v>7.0000000000000007E-2</v>
      </c>
      <c r="H318" t="b">
        <f>(COUNTIFS(OrderLines!$A:$A,A318,OrderLines!$F:$F,"Beverage")&gt;0)</f>
        <v>0</v>
      </c>
      <c r="I318">
        <f>SUMIFS(OrderLines!$I:$I,OrderLines!$A:$A,A318)</f>
        <v>233.709</v>
      </c>
      <c r="J318" t="str">
        <f>IF(AND(COUNTIFS(OrderLines!$A$2:$A$925,A318,OrderLines!$F$2:$F$925,"Hot Meal")&gt;0,COUNTIFS(OrderLines!$A$2:$A$925,A318,OrderLines!$F$2:$F$925,"Beverage")&gt;0),"Combo","Single")</f>
        <v>Single</v>
      </c>
      <c r="K318" t="str">
        <f>IF(SUMPRODUCT((OrderLines!$A$2:$A$925=A318)*OrderLines!$C$2:$C$925*OrderLines!$D$2:$D$925)*G318&gt;40,"HighDisc","OK")</f>
        <v>OK</v>
      </c>
    </row>
    <row r="319" spans="1:11" x14ac:dyDescent="0.3">
      <c r="A319" t="s">
        <v>355</v>
      </c>
      <c r="B319" s="2">
        <v>45874.963807870372</v>
      </c>
      <c r="C319" t="s">
        <v>9</v>
      </c>
      <c r="D319" t="s">
        <v>10</v>
      </c>
      <c r="E319" t="s">
        <v>21</v>
      </c>
      <c r="F319" t="s">
        <v>18</v>
      </c>
      <c r="G319" s="11">
        <v>0.03</v>
      </c>
      <c r="H319" t="b">
        <f>(COUNTIFS(OrderLines!$A:$A,A319,OrderLines!$F:$F,"Beverage")&gt;0)</f>
        <v>1</v>
      </c>
      <c r="I319">
        <f>SUMIFS(OrderLines!$I:$I,OrderLines!$A:$A,A319)</f>
        <v>386.19579999999996</v>
      </c>
      <c r="J319" t="str">
        <f>IF(AND(COUNTIFS(OrderLines!$A$2:$A$925,A319,OrderLines!$F$2:$F$925,"Hot Meal")&gt;0,COUNTIFS(OrderLines!$A$2:$A$925,A319,OrderLines!$F$2:$F$925,"Beverage")&gt;0),"Combo","Single")</f>
        <v>Combo</v>
      </c>
      <c r="K319" t="str">
        <f>IF(SUMPRODUCT((OrderLines!$A$2:$A$925=A319)*OrderLines!$C$2:$C$925*OrderLines!$D$2:$D$925)*G319&gt;40,"HighDisc","OK")</f>
        <v>OK</v>
      </c>
    </row>
    <row r="320" spans="1:11" x14ac:dyDescent="0.3">
      <c r="A320" t="s">
        <v>356</v>
      </c>
      <c r="B320" s="2">
        <v>45866.607314814813</v>
      </c>
      <c r="C320" t="s">
        <v>15</v>
      </c>
      <c r="D320" t="s">
        <v>10</v>
      </c>
      <c r="E320" t="s">
        <v>11</v>
      </c>
      <c r="F320" t="s">
        <v>22</v>
      </c>
      <c r="G320" s="11">
        <v>0.08</v>
      </c>
      <c r="H320" t="b">
        <f>(COUNTIFS(OrderLines!$A:$A,A320,OrderLines!$F:$F,"Beverage")&gt;0)</f>
        <v>1</v>
      </c>
      <c r="I320">
        <f>SUMIFS(OrderLines!$I:$I,OrderLines!$A:$A,A320)</f>
        <v>89.506799999999998</v>
      </c>
      <c r="J320" t="str">
        <f>IF(AND(COUNTIFS(OrderLines!$A$2:$A$925,A320,OrderLines!$F$2:$F$925,"Hot Meal")&gt;0,COUNTIFS(OrderLines!$A$2:$A$925,A320,OrderLines!$F$2:$F$925,"Beverage")&gt;0),"Combo","Single")</f>
        <v>Single</v>
      </c>
      <c r="K320" t="str">
        <f>IF(SUMPRODUCT((OrderLines!$A$2:$A$925=A320)*OrderLines!$C$2:$C$925*OrderLines!$D$2:$D$925)*G320&gt;40,"HighDisc","OK")</f>
        <v>OK</v>
      </c>
    </row>
    <row r="321" spans="1:11" x14ac:dyDescent="0.3">
      <c r="A321" t="s">
        <v>357</v>
      </c>
      <c r="B321" s="2">
        <v>45854.984282407408</v>
      </c>
      <c r="C321" t="s">
        <v>27</v>
      </c>
      <c r="D321" t="s">
        <v>10</v>
      </c>
      <c r="E321" t="s">
        <v>17</v>
      </c>
      <c r="F321" t="s">
        <v>18</v>
      </c>
      <c r="G321" s="11">
        <v>0.12</v>
      </c>
      <c r="H321" t="b">
        <f>(COUNTIFS(OrderLines!$A:$A,A321,OrderLines!$F:$F,"Beverage")&gt;0)</f>
        <v>0</v>
      </c>
      <c r="I321">
        <f>SUMIFS(OrderLines!$I:$I,OrderLines!$A:$A,A321)</f>
        <v>300.66080000000005</v>
      </c>
      <c r="J321" t="str">
        <f>IF(AND(COUNTIFS(OrderLines!$A$2:$A$925,A321,OrderLines!$F$2:$F$925,"Hot Meal")&gt;0,COUNTIFS(OrderLines!$A$2:$A$925,A321,OrderLines!$F$2:$F$925,"Beverage")&gt;0),"Combo","Single")</f>
        <v>Single</v>
      </c>
      <c r="K321" t="str">
        <f>IF(SUMPRODUCT((OrderLines!$A$2:$A$925=A321)*OrderLines!$C$2:$C$925*OrderLines!$D$2:$D$925)*G321&gt;40,"HighDisc","OK")</f>
        <v>HighDisc</v>
      </c>
    </row>
    <row r="322" spans="1:11" x14ac:dyDescent="0.3">
      <c r="A322" t="s">
        <v>358</v>
      </c>
      <c r="B322" s="2">
        <v>45844.316145833327</v>
      </c>
      <c r="C322" t="s">
        <v>9</v>
      </c>
      <c r="D322" t="s">
        <v>16</v>
      </c>
      <c r="E322" t="s">
        <v>21</v>
      </c>
      <c r="F322" t="s">
        <v>12</v>
      </c>
      <c r="G322" s="11">
        <v>0.06</v>
      </c>
      <c r="H322" t="b">
        <f>(COUNTIFS(OrderLines!$A:$A,A322,OrderLines!$F:$F,"Beverage")&gt;0)</f>
        <v>1</v>
      </c>
      <c r="I322">
        <f>SUMIFS(OrderLines!$I:$I,OrderLines!$A:$A,A322)</f>
        <v>592.32219999999995</v>
      </c>
      <c r="J322" t="str">
        <f>IF(AND(COUNTIFS(OrderLines!$A$2:$A$925,A322,OrderLines!$F$2:$F$925,"Hot Meal")&gt;0,COUNTIFS(OrderLines!$A$2:$A$925,A322,OrderLines!$F$2:$F$925,"Beverage")&gt;0),"Combo","Single")</f>
        <v>Combo</v>
      </c>
      <c r="K322" t="str">
        <f>IF(SUMPRODUCT((OrderLines!$A$2:$A$925=A322)*OrderLines!$C$2:$C$925*OrderLines!$D$2:$D$925)*G322&gt;40,"HighDisc","OK")</f>
        <v>OK</v>
      </c>
    </row>
    <row r="323" spans="1:11" x14ac:dyDescent="0.3">
      <c r="A323" t="s">
        <v>359</v>
      </c>
      <c r="B323" s="2">
        <v>45849.210474537038</v>
      </c>
      <c r="C323" t="s">
        <v>9</v>
      </c>
      <c r="D323" t="s">
        <v>10</v>
      </c>
      <c r="E323" t="s">
        <v>17</v>
      </c>
      <c r="F323" t="s">
        <v>12</v>
      </c>
      <c r="G323" s="11">
        <v>0.08</v>
      </c>
      <c r="H323" t="b">
        <f>(COUNTIFS(OrderLines!$A:$A,A323,OrderLines!$F:$F,"Beverage")&gt;0)</f>
        <v>1</v>
      </c>
      <c r="I323">
        <f>SUMIFS(OrderLines!$I:$I,OrderLines!$A:$A,A323)</f>
        <v>668.0856</v>
      </c>
      <c r="J323" t="str">
        <f>IF(AND(COUNTIFS(OrderLines!$A$2:$A$925,A323,OrderLines!$F$2:$F$925,"Hot Meal")&gt;0,COUNTIFS(OrderLines!$A$2:$A$925,A323,OrderLines!$F$2:$F$925,"Beverage")&gt;0),"Combo","Single")</f>
        <v>Combo</v>
      </c>
      <c r="K323" t="str">
        <f>IF(SUMPRODUCT((OrderLines!$A$2:$A$925=A323)*OrderLines!$C$2:$C$925*OrderLines!$D$2:$D$925)*G323&gt;40,"HighDisc","OK")</f>
        <v>HighDisc</v>
      </c>
    </row>
    <row r="324" spans="1:11" x14ac:dyDescent="0.3">
      <c r="A324" t="s">
        <v>360</v>
      </c>
      <c r="B324" s="2">
        <v>45847.393460648149</v>
      </c>
      <c r="C324" t="s">
        <v>27</v>
      </c>
      <c r="D324" t="s">
        <v>16</v>
      </c>
      <c r="E324" t="s">
        <v>21</v>
      </c>
      <c r="F324" t="s">
        <v>12</v>
      </c>
      <c r="G324" s="11">
        <v>0.09</v>
      </c>
      <c r="H324" t="b">
        <f>(COUNTIFS(OrderLines!$A:$A,A324,OrderLines!$F:$F,"Beverage")&gt;0)</f>
        <v>1</v>
      </c>
      <c r="I324">
        <f>SUMIFS(OrderLines!$I:$I,OrderLines!$A:$A,A324)</f>
        <v>158.03059999999999</v>
      </c>
      <c r="J324" t="str">
        <f>IF(AND(COUNTIFS(OrderLines!$A$2:$A$925,A324,OrderLines!$F$2:$F$925,"Hot Meal")&gt;0,COUNTIFS(OrderLines!$A$2:$A$925,A324,OrderLines!$F$2:$F$925,"Beverage")&gt;0),"Combo","Single")</f>
        <v>Single</v>
      </c>
      <c r="K324" t="str">
        <f>IF(SUMPRODUCT((OrderLines!$A$2:$A$925=A324)*OrderLines!$C$2:$C$925*OrderLines!$D$2:$D$925)*G324&gt;40,"HighDisc","OK")</f>
        <v>OK</v>
      </c>
    </row>
    <row r="325" spans="1:11" x14ac:dyDescent="0.3">
      <c r="A325" t="s">
        <v>361</v>
      </c>
      <c r="B325" s="2">
        <v>45853.556134259263</v>
      </c>
      <c r="C325" t="s">
        <v>15</v>
      </c>
      <c r="D325" t="s">
        <v>28</v>
      </c>
      <c r="E325" t="s">
        <v>17</v>
      </c>
      <c r="F325" t="s">
        <v>22</v>
      </c>
      <c r="G325" s="11">
        <v>0.04</v>
      </c>
      <c r="H325" t="b">
        <f>(COUNTIFS(OrderLines!$A:$A,A325,OrderLines!$F:$F,"Beverage")&gt;0)</f>
        <v>0</v>
      </c>
      <c r="I325">
        <f>SUMIFS(OrderLines!$I:$I,OrderLines!$A:$A,A325)</f>
        <v>498.4896</v>
      </c>
      <c r="J325" t="str">
        <f>IF(AND(COUNTIFS(OrderLines!$A$2:$A$925,A325,OrderLines!$F$2:$F$925,"Hot Meal")&gt;0,COUNTIFS(OrderLines!$A$2:$A$925,A325,OrderLines!$F$2:$F$925,"Beverage")&gt;0),"Combo","Single")</f>
        <v>Single</v>
      </c>
      <c r="K325" t="str">
        <f>IF(SUMPRODUCT((OrderLines!$A$2:$A$925=A325)*OrderLines!$C$2:$C$925*OrderLines!$D$2:$D$925)*G325&gt;40,"HighDisc","OK")</f>
        <v>OK</v>
      </c>
    </row>
    <row r="326" spans="1:11" x14ac:dyDescent="0.3">
      <c r="A326" t="s">
        <v>362</v>
      </c>
      <c r="B326" s="2">
        <v>45873.191342592603</v>
      </c>
      <c r="C326" t="s">
        <v>27</v>
      </c>
      <c r="D326" t="s">
        <v>16</v>
      </c>
      <c r="E326" t="s">
        <v>17</v>
      </c>
      <c r="F326" t="s">
        <v>12</v>
      </c>
      <c r="G326" s="11">
        <v>7.0000000000000007E-2</v>
      </c>
      <c r="H326" t="b">
        <f>(COUNTIFS(OrderLines!$A:$A,A326,OrderLines!$F:$F,"Beverage")&gt;0)</f>
        <v>0</v>
      </c>
      <c r="I326">
        <f>SUMIFS(OrderLines!$I:$I,OrderLines!$A:$A,A326)</f>
        <v>46.676699999999997</v>
      </c>
      <c r="J326" t="str">
        <f>IF(AND(COUNTIFS(OrderLines!$A$2:$A$925,A326,OrderLines!$F$2:$F$925,"Hot Meal")&gt;0,COUNTIFS(OrderLines!$A$2:$A$925,A326,OrderLines!$F$2:$F$925,"Beverage")&gt;0),"Combo","Single")</f>
        <v>Single</v>
      </c>
      <c r="K326" t="str">
        <f>IF(SUMPRODUCT((OrderLines!$A$2:$A$925=A326)*OrderLines!$C$2:$C$925*OrderLines!$D$2:$D$925)*G326&gt;40,"HighDisc","OK")</f>
        <v>OK</v>
      </c>
    </row>
    <row r="327" spans="1:11" x14ac:dyDescent="0.3">
      <c r="A327" t="s">
        <v>363</v>
      </c>
      <c r="B327" s="2">
        <v>45887.990046296298</v>
      </c>
      <c r="C327" t="s">
        <v>15</v>
      </c>
      <c r="D327" t="s">
        <v>28</v>
      </c>
      <c r="E327" t="s">
        <v>21</v>
      </c>
      <c r="F327" t="s">
        <v>18</v>
      </c>
      <c r="G327" s="11">
        <v>0.06</v>
      </c>
      <c r="H327" t="b">
        <f>(COUNTIFS(OrderLines!$A:$A,A327,OrderLines!$F:$F,"Beverage")&gt;0)</f>
        <v>1</v>
      </c>
      <c r="I327">
        <f>SUMIFS(OrderLines!$I:$I,OrderLines!$A:$A,A327)</f>
        <v>18.903399999999998</v>
      </c>
      <c r="J327" t="str">
        <f>IF(AND(COUNTIFS(OrderLines!$A$2:$A$925,A327,OrderLines!$F$2:$F$925,"Hot Meal")&gt;0,COUNTIFS(OrderLines!$A$2:$A$925,A327,OrderLines!$F$2:$F$925,"Beverage")&gt;0),"Combo","Single")</f>
        <v>Single</v>
      </c>
      <c r="K327" t="str">
        <f>IF(SUMPRODUCT((OrderLines!$A$2:$A$925=A327)*OrderLines!$C$2:$C$925*OrderLines!$D$2:$D$925)*G327&gt;40,"HighDisc","OK")</f>
        <v>OK</v>
      </c>
    </row>
    <row r="328" spans="1:11" x14ac:dyDescent="0.3">
      <c r="A328" t="s">
        <v>364</v>
      </c>
      <c r="B328" s="2">
        <v>45875.650405092587</v>
      </c>
      <c r="C328" t="s">
        <v>27</v>
      </c>
      <c r="D328" t="s">
        <v>28</v>
      </c>
      <c r="E328" t="s">
        <v>21</v>
      </c>
      <c r="F328" t="s">
        <v>22</v>
      </c>
      <c r="G328" s="11">
        <v>0.06</v>
      </c>
      <c r="H328" t="b">
        <f>(COUNTIFS(OrderLines!$A:$A,A328,OrderLines!$F:$F,"Beverage")&gt;0)</f>
        <v>1</v>
      </c>
      <c r="I328">
        <f>SUMIFS(OrderLines!$I:$I,OrderLines!$A:$A,A328)</f>
        <v>109.67920000000001</v>
      </c>
      <c r="J328" t="str">
        <f>IF(AND(COUNTIFS(OrderLines!$A$2:$A$925,A328,OrderLines!$F$2:$F$925,"Hot Meal")&gt;0,COUNTIFS(OrderLines!$A$2:$A$925,A328,OrderLines!$F$2:$F$925,"Beverage")&gt;0),"Combo","Single")</f>
        <v>Single</v>
      </c>
      <c r="K328" t="str">
        <f>IF(SUMPRODUCT((OrderLines!$A$2:$A$925=A328)*OrderLines!$C$2:$C$925*OrderLines!$D$2:$D$925)*G328&gt;40,"HighDisc","OK")</f>
        <v>OK</v>
      </c>
    </row>
    <row r="329" spans="1:11" x14ac:dyDescent="0.3">
      <c r="A329" t="s">
        <v>365</v>
      </c>
      <c r="B329" s="2">
        <v>45871.803460648152</v>
      </c>
      <c r="C329" t="s">
        <v>27</v>
      </c>
      <c r="D329" t="s">
        <v>28</v>
      </c>
      <c r="E329" t="s">
        <v>17</v>
      </c>
      <c r="F329" t="s">
        <v>18</v>
      </c>
      <c r="G329" s="11">
        <v>0.03</v>
      </c>
      <c r="H329" t="b">
        <f>(COUNTIFS(OrderLines!$A:$A,A329,OrderLines!$F:$F,"Beverage")&gt;0)</f>
        <v>0</v>
      </c>
      <c r="I329">
        <f>SUMIFS(OrderLines!$I:$I,OrderLines!$A:$A,A329)</f>
        <v>284.01600000000002</v>
      </c>
      <c r="J329" t="str">
        <f>IF(AND(COUNTIFS(OrderLines!$A$2:$A$925,A329,OrderLines!$F$2:$F$925,"Hot Meal")&gt;0,COUNTIFS(OrderLines!$A$2:$A$925,A329,OrderLines!$F$2:$F$925,"Beverage")&gt;0),"Combo","Single")</f>
        <v>Single</v>
      </c>
      <c r="K329" t="str">
        <f>IF(SUMPRODUCT((OrderLines!$A$2:$A$925=A329)*OrderLines!$C$2:$C$925*OrderLines!$D$2:$D$925)*G329&gt;40,"HighDisc","OK")</f>
        <v>OK</v>
      </c>
    </row>
    <row r="330" spans="1:11" x14ac:dyDescent="0.3">
      <c r="A330" t="s">
        <v>366</v>
      </c>
      <c r="B330" s="2">
        <v>45885.120821759258</v>
      </c>
      <c r="C330" t="s">
        <v>9</v>
      </c>
      <c r="D330" t="s">
        <v>28</v>
      </c>
      <c r="E330" t="s">
        <v>11</v>
      </c>
      <c r="F330" t="s">
        <v>12</v>
      </c>
      <c r="G330" s="11">
        <v>0.06</v>
      </c>
      <c r="H330" t="b">
        <f>(COUNTIFS(OrderLines!$A:$A,A330,OrderLines!$F:$F,"Beverage")&gt;0)</f>
        <v>0</v>
      </c>
      <c r="I330">
        <f>SUMIFS(OrderLines!$I:$I,OrderLines!$A:$A,A330)</f>
        <v>513.09899999999993</v>
      </c>
      <c r="J330" t="str">
        <f>IF(AND(COUNTIFS(OrderLines!$A$2:$A$925,A330,OrderLines!$F$2:$F$925,"Hot Meal")&gt;0,COUNTIFS(OrderLines!$A$2:$A$925,A330,OrderLines!$F$2:$F$925,"Beverage")&gt;0),"Combo","Single")</f>
        <v>Single</v>
      </c>
      <c r="K330" t="str">
        <f>IF(SUMPRODUCT((OrderLines!$A$2:$A$925=A330)*OrderLines!$C$2:$C$925*OrderLines!$D$2:$D$925)*G330&gt;40,"HighDisc","OK")</f>
        <v>OK</v>
      </c>
    </row>
    <row r="331" spans="1:11" x14ac:dyDescent="0.3">
      <c r="A331" t="s">
        <v>367</v>
      </c>
      <c r="B331" s="2">
        <v>45882.804872685178</v>
      </c>
      <c r="C331" t="s">
        <v>9</v>
      </c>
      <c r="D331" t="s">
        <v>28</v>
      </c>
      <c r="E331" t="s">
        <v>17</v>
      </c>
      <c r="F331" t="s">
        <v>18</v>
      </c>
      <c r="G331" s="11">
        <v>0.08</v>
      </c>
      <c r="H331" t="b">
        <f>(COUNTIFS(OrderLines!$A:$A,A331,OrderLines!$F:$F,"Beverage")&gt;0)</f>
        <v>1</v>
      </c>
      <c r="I331">
        <f>SUMIFS(OrderLines!$I:$I,OrderLines!$A:$A,A331)</f>
        <v>666.88040000000012</v>
      </c>
      <c r="J331" t="str">
        <f>IF(AND(COUNTIFS(OrderLines!$A$2:$A$925,A331,OrderLines!$F$2:$F$925,"Hot Meal")&gt;0,COUNTIFS(OrderLines!$A$2:$A$925,A331,OrderLines!$F$2:$F$925,"Beverage")&gt;0),"Combo","Single")</f>
        <v>Combo</v>
      </c>
      <c r="K331" t="str">
        <f>IF(SUMPRODUCT((OrderLines!$A$2:$A$925=A331)*OrderLines!$C$2:$C$925*OrderLines!$D$2:$D$925)*G331&gt;40,"HighDisc","OK")</f>
        <v>HighDisc</v>
      </c>
    </row>
    <row r="332" spans="1:11" x14ac:dyDescent="0.3">
      <c r="A332" t="s">
        <v>368</v>
      </c>
      <c r="B332" s="2">
        <v>45864.097743055558</v>
      </c>
      <c r="C332" t="s">
        <v>27</v>
      </c>
      <c r="D332" t="s">
        <v>28</v>
      </c>
      <c r="E332" t="s">
        <v>11</v>
      </c>
      <c r="F332" t="s">
        <v>12</v>
      </c>
      <c r="G332" s="11">
        <v>0.12</v>
      </c>
      <c r="H332" t="b">
        <f>(COUNTIFS(OrderLines!$A:$A,A332,OrderLines!$F:$F,"Beverage")&gt;0)</f>
        <v>0</v>
      </c>
      <c r="I332">
        <f>SUMIFS(OrderLines!$I:$I,OrderLines!$A:$A,A332)</f>
        <v>404.07840000000004</v>
      </c>
      <c r="J332" t="str">
        <f>IF(AND(COUNTIFS(OrderLines!$A$2:$A$925,A332,OrderLines!$F$2:$F$925,"Hot Meal")&gt;0,COUNTIFS(OrderLines!$A$2:$A$925,A332,OrderLines!$F$2:$F$925,"Beverage")&gt;0),"Combo","Single")</f>
        <v>Single</v>
      </c>
      <c r="K332" t="str">
        <f>IF(SUMPRODUCT((OrderLines!$A$2:$A$925=A332)*OrderLines!$C$2:$C$925*OrderLines!$D$2:$D$925)*G332&gt;40,"HighDisc","OK")</f>
        <v>HighDisc</v>
      </c>
    </row>
    <row r="333" spans="1:11" x14ac:dyDescent="0.3">
      <c r="A333" t="s">
        <v>369</v>
      </c>
      <c r="B333" s="2">
        <v>45880.343958333331</v>
      </c>
      <c r="C333" t="s">
        <v>27</v>
      </c>
      <c r="D333" t="s">
        <v>16</v>
      </c>
      <c r="E333" t="s">
        <v>17</v>
      </c>
      <c r="F333" t="s">
        <v>12</v>
      </c>
      <c r="G333" s="11">
        <v>0.1</v>
      </c>
      <c r="H333" t="b">
        <f>(COUNTIFS(OrderLines!$A:$A,A333,OrderLines!$F:$F,"Beverage")&gt;0)</f>
        <v>1</v>
      </c>
      <c r="I333">
        <f>SUMIFS(OrderLines!$I:$I,OrderLines!$A:$A,A333)</f>
        <v>197.39699999999999</v>
      </c>
      <c r="J333" t="str">
        <f>IF(AND(COUNTIFS(OrderLines!$A$2:$A$925,A333,OrderLines!$F$2:$F$925,"Hot Meal")&gt;0,COUNTIFS(OrderLines!$A$2:$A$925,A333,OrderLines!$F$2:$F$925,"Beverage")&gt;0),"Combo","Single")</f>
        <v>Single</v>
      </c>
      <c r="K333" t="str">
        <f>IF(SUMPRODUCT((OrderLines!$A$2:$A$925=A333)*OrderLines!$C$2:$C$925*OrderLines!$D$2:$D$925)*G333&gt;40,"HighDisc","OK")</f>
        <v>OK</v>
      </c>
    </row>
    <row r="334" spans="1:11" x14ac:dyDescent="0.3">
      <c r="A334" t="s">
        <v>370</v>
      </c>
      <c r="B334" s="2">
        <v>45851.080300925933</v>
      </c>
      <c r="C334" t="s">
        <v>27</v>
      </c>
      <c r="D334" t="s">
        <v>28</v>
      </c>
      <c r="E334" t="s">
        <v>21</v>
      </c>
      <c r="F334" t="s">
        <v>12</v>
      </c>
      <c r="G334" s="11">
        <v>0.15</v>
      </c>
      <c r="H334" t="b">
        <f>(COUNTIFS(OrderLines!$A:$A,A334,OrderLines!$F:$F,"Beverage")&gt;0)</f>
        <v>1</v>
      </c>
      <c r="I334">
        <f>SUMIFS(OrderLines!$I:$I,OrderLines!$A:$A,A334)</f>
        <v>147.2285</v>
      </c>
      <c r="J334" t="str">
        <f>IF(AND(COUNTIFS(OrderLines!$A$2:$A$925,A334,OrderLines!$F$2:$F$925,"Hot Meal")&gt;0,COUNTIFS(OrderLines!$A$2:$A$925,A334,OrderLines!$F$2:$F$925,"Beverage")&gt;0),"Combo","Single")</f>
        <v>Single</v>
      </c>
      <c r="K334" t="str">
        <f>IF(SUMPRODUCT((OrderLines!$A$2:$A$925=A334)*OrderLines!$C$2:$C$925*OrderLines!$D$2:$D$925)*G334&gt;40,"HighDisc","OK")</f>
        <v>OK</v>
      </c>
    </row>
    <row r="335" spans="1:11" x14ac:dyDescent="0.3">
      <c r="A335" t="s">
        <v>371</v>
      </c>
      <c r="B335" s="2">
        <v>45845.347962962973</v>
      </c>
      <c r="C335" t="s">
        <v>27</v>
      </c>
      <c r="D335" t="s">
        <v>16</v>
      </c>
      <c r="E335" t="s">
        <v>11</v>
      </c>
      <c r="F335" t="s">
        <v>12</v>
      </c>
      <c r="G335" s="11">
        <v>0.03</v>
      </c>
      <c r="H335" t="b">
        <f>(COUNTIFS(OrderLines!$A:$A,A335,OrderLines!$F:$F,"Beverage")&gt;0)</f>
        <v>1</v>
      </c>
      <c r="I335">
        <f>SUMIFS(OrderLines!$I:$I,OrderLines!$A:$A,A335)</f>
        <v>655.48719999999992</v>
      </c>
      <c r="J335" t="str">
        <f>IF(AND(COUNTIFS(OrderLines!$A$2:$A$925,A335,OrderLines!$F$2:$F$925,"Hot Meal")&gt;0,COUNTIFS(OrderLines!$A$2:$A$925,A335,OrderLines!$F$2:$F$925,"Beverage")&gt;0),"Combo","Single")</f>
        <v>Combo</v>
      </c>
      <c r="K335" t="str">
        <f>IF(SUMPRODUCT((OrderLines!$A$2:$A$925=A335)*OrderLines!$C$2:$C$925*OrderLines!$D$2:$D$925)*G335&gt;40,"HighDisc","OK")</f>
        <v>OK</v>
      </c>
    </row>
    <row r="336" spans="1:11" x14ac:dyDescent="0.3">
      <c r="A336" t="s">
        <v>372</v>
      </c>
      <c r="B336" s="2">
        <v>45840.845706018517</v>
      </c>
      <c r="C336" t="s">
        <v>9</v>
      </c>
      <c r="D336" t="s">
        <v>10</v>
      </c>
      <c r="E336" t="s">
        <v>11</v>
      </c>
      <c r="F336" t="s">
        <v>18</v>
      </c>
      <c r="G336" s="11">
        <v>0.09</v>
      </c>
      <c r="H336" t="b">
        <f>(COUNTIFS(OrderLines!$A:$A,A336,OrderLines!$F:$F,"Beverage")&gt;0)</f>
        <v>0</v>
      </c>
      <c r="I336">
        <f>SUMIFS(OrderLines!$I:$I,OrderLines!$A:$A,A336)</f>
        <v>656.71060000000011</v>
      </c>
      <c r="J336" t="str">
        <f>IF(AND(COUNTIFS(OrderLines!$A$2:$A$925,A336,OrderLines!$F$2:$F$925,"Hot Meal")&gt;0,COUNTIFS(OrderLines!$A$2:$A$925,A336,OrderLines!$F$2:$F$925,"Beverage")&gt;0),"Combo","Single")</f>
        <v>Single</v>
      </c>
      <c r="K336" t="str">
        <f>IF(SUMPRODUCT((OrderLines!$A$2:$A$925=A336)*OrderLines!$C$2:$C$925*OrderLines!$D$2:$D$925)*G336&gt;40,"HighDisc","OK")</f>
        <v>HighDisc</v>
      </c>
    </row>
    <row r="337" spans="1:11" x14ac:dyDescent="0.3">
      <c r="A337" t="s">
        <v>373</v>
      </c>
      <c r="B337" s="2">
        <v>45853.189918981479</v>
      </c>
      <c r="C337" t="s">
        <v>15</v>
      </c>
      <c r="D337" t="s">
        <v>16</v>
      </c>
      <c r="E337" t="s">
        <v>17</v>
      </c>
      <c r="F337" t="s">
        <v>12</v>
      </c>
      <c r="G337" s="11">
        <v>7.0000000000000007E-2</v>
      </c>
      <c r="H337" t="b">
        <f>(COUNTIFS(OrderLines!$A:$A,A337,OrderLines!$F:$F,"Beverage")&gt;0)</f>
        <v>0</v>
      </c>
      <c r="I337">
        <f>SUMIFS(OrderLines!$I:$I,OrderLines!$A:$A,A337)</f>
        <v>199.50360000000001</v>
      </c>
      <c r="J337" t="str">
        <f>IF(AND(COUNTIFS(OrderLines!$A$2:$A$925,A337,OrderLines!$F$2:$F$925,"Hot Meal")&gt;0,COUNTIFS(OrderLines!$A$2:$A$925,A337,OrderLines!$F$2:$F$925,"Beverage")&gt;0),"Combo","Single")</f>
        <v>Single</v>
      </c>
      <c r="K337" t="str">
        <f>IF(SUMPRODUCT((OrderLines!$A$2:$A$925=A337)*OrderLines!$C$2:$C$925*OrderLines!$D$2:$D$925)*G337&gt;40,"HighDisc","OK")</f>
        <v>OK</v>
      </c>
    </row>
    <row r="338" spans="1:11" x14ac:dyDescent="0.3">
      <c r="A338" t="s">
        <v>374</v>
      </c>
      <c r="B338" s="2">
        <v>45862.606469907398</v>
      </c>
      <c r="C338" t="s">
        <v>9</v>
      </c>
      <c r="D338" t="s">
        <v>16</v>
      </c>
      <c r="E338" t="s">
        <v>17</v>
      </c>
      <c r="F338" t="s">
        <v>22</v>
      </c>
      <c r="G338" s="11">
        <v>0.15</v>
      </c>
      <c r="H338" t="b">
        <f>(COUNTIFS(OrderLines!$A:$A,A338,OrderLines!$F:$F,"Beverage")&gt;0)</f>
        <v>0</v>
      </c>
      <c r="I338">
        <f>SUMIFS(OrderLines!$I:$I,OrderLines!$A:$A,A338)</f>
        <v>124.44</v>
      </c>
      <c r="J338" t="str">
        <f>IF(AND(COUNTIFS(OrderLines!$A$2:$A$925,A338,OrderLines!$F$2:$F$925,"Hot Meal")&gt;0,COUNTIFS(OrderLines!$A$2:$A$925,A338,OrderLines!$F$2:$F$925,"Beverage")&gt;0),"Combo","Single")</f>
        <v>Single</v>
      </c>
      <c r="K338" t="str">
        <f>IF(SUMPRODUCT((OrderLines!$A$2:$A$925=A338)*OrderLines!$C$2:$C$925*OrderLines!$D$2:$D$925)*G338&gt;40,"HighDisc","OK")</f>
        <v>OK</v>
      </c>
    </row>
    <row r="339" spans="1:11" x14ac:dyDescent="0.3">
      <c r="A339" t="s">
        <v>375</v>
      </c>
      <c r="B339" s="2">
        <v>45890.075300925928</v>
      </c>
      <c r="C339" t="s">
        <v>15</v>
      </c>
      <c r="D339" t="s">
        <v>28</v>
      </c>
      <c r="E339" t="s">
        <v>11</v>
      </c>
      <c r="F339" t="s">
        <v>12</v>
      </c>
      <c r="G339" s="11">
        <v>0.03</v>
      </c>
      <c r="H339" t="b">
        <f>(COUNTIFS(OrderLines!$A:$A,A339,OrderLines!$F:$F,"Beverage")&gt;0)</f>
        <v>1</v>
      </c>
      <c r="I339">
        <f>SUMIFS(OrderLines!$I:$I,OrderLines!$A:$A,A339)</f>
        <v>152.9787</v>
      </c>
      <c r="J339" t="str">
        <f>IF(AND(COUNTIFS(OrderLines!$A$2:$A$925,A339,OrderLines!$F$2:$F$925,"Hot Meal")&gt;0,COUNTIFS(OrderLines!$A$2:$A$925,A339,OrderLines!$F$2:$F$925,"Beverage")&gt;0),"Combo","Single")</f>
        <v>Single</v>
      </c>
      <c r="K339" t="str">
        <f>IF(SUMPRODUCT((OrderLines!$A$2:$A$925=A339)*OrderLines!$C$2:$C$925*OrderLines!$D$2:$D$925)*G339&gt;40,"HighDisc","OK")</f>
        <v>OK</v>
      </c>
    </row>
    <row r="340" spans="1:11" x14ac:dyDescent="0.3">
      <c r="A340" t="s">
        <v>376</v>
      </c>
      <c r="B340" s="2">
        <v>45888.506631944438</v>
      </c>
      <c r="C340" t="s">
        <v>9</v>
      </c>
      <c r="D340" t="s">
        <v>10</v>
      </c>
      <c r="E340" t="s">
        <v>17</v>
      </c>
      <c r="F340" t="s">
        <v>22</v>
      </c>
      <c r="G340" s="11">
        <v>0.03</v>
      </c>
      <c r="H340" t="b">
        <f>(COUNTIFS(OrderLines!$A:$A,A340,OrderLines!$F:$F,"Beverage")&gt;0)</f>
        <v>0</v>
      </c>
      <c r="I340">
        <f>SUMIFS(OrderLines!$I:$I,OrderLines!$A:$A,A340)</f>
        <v>392.66570000000002</v>
      </c>
      <c r="J340" t="str">
        <f>IF(AND(COUNTIFS(OrderLines!$A$2:$A$925,A340,OrderLines!$F$2:$F$925,"Hot Meal")&gt;0,COUNTIFS(OrderLines!$A$2:$A$925,A340,OrderLines!$F$2:$F$925,"Beverage")&gt;0),"Combo","Single")</f>
        <v>Single</v>
      </c>
      <c r="K340" t="str">
        <f>IF(SUMPRODUCT((OrderLines!$A$2:$A$925=A340)*OrderLines!$C$2:$C$925*OrderLines!$D$2:$D$925)*G340&gt;40,"HighDisc","OK")</f>
        <v>OK</v>
      </c>
    </row>
    <row r="341" spans="1:11" x14ac:dyDescent="0.3">
      <c r="A341" t="s">
        <v>377</v>
      </c>
      <c r="B341" s="2">
        <v>45884.895578703698</v>
      </c>
      <c r="C341" t="s">
        <v>27</v>
      </c>
      <c r="D341" t="s">
        <v>10</v>
      </c>
      <c r="E341" t="s">
        <v>21</v>
      </c>
      <c r="F341" t="s">
        <v>18</v>
      </c>
      <c r="G341" s="11">
        <v>0.04</v>
      </c>
      <c r="H341" t="b">
        <f>(COUNTIFS(OrderLines!$A:$A,A341,OrderLines!$F:$F,"Beverage")&gt;0)</f>
        <v>1</v>
      </c>
      <c r="I341">
        <f>SUMIFS(OrderLines!$I:$I,OrderLines!$A:$A,A341)</f>
        <v>263.87520000000001</v>
      </c>
      <c r="J341" t="str">
        <f>IF(AND(COUNTIFS(OrderLines!$A$2:$A$925,A341,OrderLines!$F$2:$F$925,"Hot Meal")&gt;0,COUNTIFS(OrderLines!$A$2:$A$925,A341,OrderLines!$F$2:$F$925,"Beverage")&gt;0),"Combo","Single")</f>
        <v>Single</v>
      </c>
      <c r="K341" t="str">
        <f>IF(SUMPRODUCT((OrderLines!$A$2:$A$925=A341)*OrderLines!$C$2:$C$925*OrderLines!$D$2:$D$925)*G341&gt;40,"HighDisc","OK")</f>
        <v>OK</v>
      </c>
    </row>
    <row r="342" spans="1:11" x14ac:dyDescent="0.3">
      <c r="A342" t="s">
        <v>378</v>
      </c>
      <c r="B342" s="2">
        <v>45863.87699074074</v>
      </c>
      <c r="C342" t="s">
        <v>9</v>
      </c>
      <c r="D342" t="s">
        <v>28</v>
      </c>
      <c r="E342" t="s">
        <v>21</v>
      </c>
      <c r="F342" t="s">
        <v>18</v>
      </c>
      <c r="G342" s="11">
        <v>0</v>
      </c>
      <c r="H342" t="b">
        <f>(COUNTIFS(OrderLines!$A:$A,A342,OrderLines!$F:$F,"Beverage")&gt;0)</f>
        <v>0</v>
      </c>
      <c r="I342">
        <f>SUMIFS(OrderLines!$I:$I,OrderLines!$A:$A,A342)</f>
        <v>416</v>
      </c>
      <c r="J342" t="str">
        <f>IF(AND(COUNTIFS(OrderLines!$A$2:$A$925,A342,OrderLines!$F$2:$F$925,"Hot Meal")&gt;0,COUNTIFS(OrderLines!$A$2:$A$925,A342,OrderLines!$F$2:$F$925,"Beverage")&gt;0),"Combo","Single")</f>
        <v>Single</v>
      </c>
      <c r="K342" t="str">
        <f>IF(SUMPRODUCT((OrderLines!$A$2:$A$925=A342)*OrderLines!$C$2:$C$925*OrderLines!$D$2:$D$925)*G342&gt;40,"HighDisc","OK")</f>
        <v>OK</v>
      </c>
    </row>
    <row r="343" spans="1:11" x14ac:dyDescent="0.3">
      <c r="A343" t="s">
        <v>379</v>
      </c>
      <c r="B343" s="2">
        <v>45872.726990740739</v>
      </c>
      <c r="C343" t="s">
        <v>27</v>
      </c>
      <c r="D343" t="s">
        <v>10</v>
      </c>
      <c r="E343" t="s">
        <v>11</v>
      </c>
      <c r="F343" t="s">
        <v>18</v>
      </c>
      <c r="G343" s="11">
        <v>0.04</v>
      </c>
      <c r="H343" t="b">
        <f>(COUNTIFS(OrderLines!$A:$A,A343,OrderLines!$F:$F,"Beverage")&gt;0)</f>
        <v>1</v>
      </c>
      <c r="I343">
        <f>SUMIFS(OrderLines!$I:$I,OrderLines!$A:$A,A343)</f>
        <v>104.9376</v>
      </c>
      <c r="J343" t="str">
        <f>IF(AND(COUNTIFS(OrderLines!$A$2:$A$925,A343,OrderLines!$F$2:$F$925,"Hot Meal")&gt;0,COUNTIFS(OrderLines!$A$2:$A$925,A343,OrderLines!$F$2:$F$925,"Beverage")&gt;0),"Combo","Single")</f>
        <v>Single</v>
      </c>
      <c r="K343" t="str">
        <f>IF(SUMPRODUCT((OrderLines!$A$2:$A$925=A343)*OrderLines!$C$2:$C$925*OrderLines!$D$2:$D$925)*G343&gt;40,"HighDisc","OK")</f>
        <v>OK</v>
      </c>
    </row>
    <row r="344" spans="1:11" x14ac:dyDescent="0.3">
      <c r="A344" t="s">
        <v>380</v>
      </c>
      <c r="B344" s="2">
        <v>45895.747199074067</v>
      </c>
      <c r="C344" t="s">
        <v>9</v>
      </c>
      <c r="D344" t="s">
        <v>16</v>
      </c>
      <c r="E344" t="s">
        <v>17</v>
      </c>
      <c r="F344" t="s">
        <v>18</v>
      </c>
      <c r="G344" s="11">
        <v>0.03</v>
      </c>
      <c r="H344" t="b">
        <f>(COUNTIFS(OrderLines!$A:$A,A344,OrderLines!$F:$F,"Beverage")&gt;0)</f>
        <v>0</v>
      </c>
      <c r="I344">
        <f>SUMIFS(OrderLines!$I:$I,OrderLines!$A:$A,A344)</f>
        <v>105.148</v>
      </c>
      <c r="J344" t="str">
        <f>IF(AND(COUNTIFS(OrderLines!$A$2:$A$925,A344,OrderLines!$F$2:$F$925,"Hot Meal")&gt;0,COUNTIFS(OrderLines!$A$2:$A$925,A344,OrderLines!$F$2:$F$925,"Beverage")&gt;0),"Combo","Single")</f>
        <v>Single</v>
      </c>
      <c r="K344" t="str">
        <f>IF(SUMPRODUCT((OrderLines!$A$2:$A$925=A344)*OrderLines!$C$2:$C$925*OrderLines!$D$2:$D$925)*G344&gt;40,"HighDisc","OK")</f>
        <v>OK</v>
      </c>
    </row>
    <row r="345" spans="1:11" x14ac:dyDescent="0.3">
      <c r="A345" t="s">
        <v>381</v>
      </c>
      <c r="B345" s="2">
        <v>45873.454837962963</v>
      </c>
      <c r="C345" t="s">
        <v>9</v>
      </c>
      <c r="D345" t="s">
        <v>16</v>
      </c>
      <c r="E345" t="s">
        <v>11</v>
      </c>
      <c r="F345" t="s">
        <v>12</v>
      </c>
      <c r="G345" s="11">
        <v>7.0000000000000007E-2</v>
      </c>
      <c r="H345" t="b">
        <f>(COUNTIFS(OrderLines!$A:$A,A345,OrderLines!$F:$F,"Beverage")&gt;0)</f>
        <v>0</v>
      </c>
      <c r="I345">
        <f>SUMIFS(OrderLines!$I:$I,OrderLines!$A:$A,A345)</f>
        <v>214.55099999999999</v>
      </c>
      <c r="J345" t="str">
        <f>IF(AND(COUNTIFS(OrderLines!$A$2:$A$925,A345,OrderLines!$F$2:$F$925,"Hot Meal")&gt;0,COUNTIFS(OrderLines!$A$2:$A$925,A345,OrderLines!$F$2:$F$925,"Beverage")&gt;0),"Combo","Single")</f>
        <v>Single</v>
      </c>
      <c r="K345" t="str">
        <f>IF(SUMPRODUCT((OrderLines!$A$2:$A$925=A345)*OrderLines!$C$2:$C$925*OrderLines!$D$2:$D$925)*G345&gt;40,"HighDisc","OK")</f>
        <v>OK</v>
      </c>
    </row>
    <row r="346" spans="1:11" x14ac:dyDescent="0.3">
      <c r="A346" t="s">
        <v>382</v>
      </c>
      <c r="B346" s="2">
        <v>45884.360405092593</v>
      </c>
      <c r="C346" t="s">
        <v>9</v>
      </c>
      <c r="D346" t="s">
        <v>16</v>
      </c>
      <c r="E346" t="s">
        <v>11</v>
      </c>
      <c r="F346" t="s">
        <v>12</v>
      </c>
      <c r="G346" s="11">
        <v>7.0000000000000007E-2</v>
      </c>
      <c r="H346" t="b">
        <f>(COUNTIFS(OrderLines!$A:$A,A346,OrderLines!$F:$F,"Beverage")&gt;0)</f>
        <v>1</v>
      </c>
      <c r="I346">
        <f>SUMIFS(OrderLines!$I:$I,OrderLines!$A:$A,A346)</f>
        <v>595.21860000000004</v>
      </c>
      <c r="J346" t="str">
        <f>IF(AND(COUNTIFS(OrderLines!$A$2:$A$925,A346,OrderLines!$F$2:$F$925,"Hot Meal")&gt;0,COUNTIFS(OrderLines!$A$2:$A$925,A346,OrderLines!$F$2:$F$925,"Beverage")&gt;0),"Combo","Single")</f>
        <v>Combo</v>
      </c>
      <c r="K346" t="str">
        <f>IF(SUMPRODUCT((OrderLines!$A$2:$A$925=A346)*OrderLines!$C$2:$C$925*OrderLines!$D$2:$D$925)*G346&gt;40,"HighDisc","OK")</f>
        <v>HighDisc</v>
      </c>
    </row>
    <row r="347" spans="1:11" x14ac:dyDescent="0.3">
      <c r="A347" t="s">
        <v>383</v>
      </c>
      <c r="B347" s="2">
        <v>45852.342881944453</v>
      </c>
      <c r="C347" t="s">
        <v>27</v>
      </c>
      <c r="D347" t="s">
        <v>10</v>
      </c>
      <c r="E347" t="s">
        <v>21</v>
      </c>
      <c r="F347" t="s">
        <v>12</v>
      </c>
      <c r="G347" s="11">
        <v>0.14000000000000001</v>
      </c>
      <c r="H347" t="b">
        <f>(COUNTIFS(OrderLines!$A:$A,A347,OrderLines!$F:$F,"Beverage")&gt;0)</f>
        <v>1</v>
      </c>
      <c r="I347">
        <f>SUMIFS(OrderLines!$I:$I,OrderLines!$A:$A,A347)</f>
        <v>66.194199999999995</v>
      </c>
      <c r="J347" t="str">
        <f>IF(AND(COUNTIFS(OrderLines!$A$2:$A$925,A347,OrderLines!$F$2:$F$925,"Hot Meal")&gt;0,COUNTIFS(OrderLines!$A$2:$A$925,A347,OrderLines!$F$2:$F$925,"Beverage")&gt;0),"Combo","Single")</f>
        <v>Single</v>
      </c>
      <c r="K347" t="str">
        <f>IF(SUMPRODUCT((OrderLines!$A$2:$A$925=A347)*OrderLines!$C$2:$C$925*OrderLines!$D$2:$D$925)*G347&gt;40,"HighDisc","OK")</f>
        <v>OK</v>
      </c>
    </row>
    <row r="348" spans="1:11" x14ac:dyDescent="0.3">
      <c r="A348" t="s">
        <v>384</v>
      </c>
      <c r="B348" s="2">
        <v>45867.740439814806</v>
      </c>
      <c r="C348" t="s">
        <v>27</v>
      </c>
      <c r="D348" t="s">
        <v>28</v>
      </c>
      <c r="E348" t="s">
        <v>17</v>
      </c>
      <c r="F348" t="s">
        <v>18</v>
      </c>
      <c r="G348" s="11">
        <v>0.1</v>
      </c>
      <c r="H348" t="b">
        <f>(COUNTIFS(OrderLines!$A:$A,A348,OrderLines!$F:$F,"Beverage")&gt;0)</f>
        <v>0</v>
      </c>
      <c r="I348">
        <f>SUMIFS(OrderLines!$I:$I,OrderLines!$A:$A,A348)</f>
        <v>494.73900000000003</v>
      </c>
      <c r="J348" t="str">
        <f>IF(AND(COUNTIFS(OrderLines!$A$2:$A$925,A348,OrderLines!$F$2:$F$925,"Hot Meal")&gt;0,COUNTIFS(OrderLines!$A$2:$A$925,A348,OrderLines!$F$2:$F$925,"Beverage")&gt;0),"Combo","Single")</f>
        <v>Single</v>
      </c>
      <c r="K348" t="str">
        <f>IF(SUMPRODUCT((OrderLines!$A$2:$A$925=A348)*OrderLines!$C$2:$C$925*OrderLines!$D$2:$D$925)*G348&gt;40,"HighDisc","OK")</f>
        <v>HighDisc</v>
      </c>
    </row>
    <row r="349" spans="1:11" x14ac:dyDescent="0.3">
      <c r="A349" t="s">
        <v>385</v>
      </c>
      <c r="B349" s="2">
        <v>45869.89130787037</v>
      </c>
      <c r="C349" t="s">
        <v>15</v>
      </c>
      <c r="D349" t="s">
        <v>10</v>
      </c>
      <c r="E349" t="s">
        <v>21</v>
      </c>
      <c r="F349" t="s">
        <v>18</v>
      </c>
      <c r="G349" s="11">
        <v>0.04</v>
      </c>
      <c r="H349" t="b">
        <f>(COUNTIFS(OrderLines!$A:$A,A349,OrderLines!$F:$F,"Beverage")&gt;0)</f>
        <v>0</v>
      </c>
      <c r="I349">
        <f>SUMIFS(OrderLines!$I:$I,OrderLines!$A:$A,A349)</f>
        <v>1245.1872000000001</v>
      </c>
      <c r="J349" t="str">
        <f>IF(AND(COUNTIFS(OrderLines!$A$2:$A$925,A349,OrderLines!$F$2:$F$925,"Hot Meal")&gt;0,COUNTIFS(OrderLines!$A$2:$A$925,A349,OrderLines!$F$2:$F$925,"Beverage")&gt;0),"Combo","Single")</f>
        <v>Single</v>
      </c>
      <c r="K349" t="str">
        <f>IF(SUMPRODUCT((OrderLines!$A$2:$A$925=A349)*OrderLines!$C$2:$C$925*OrderLines!$D$2:$D$925)*G349&gt;40,"HighDisc","OK")</f>
        <v>HighDisc</v>
      </c>
    </row>
    <row r="350" spans="1:11" x14ac:dyDescent="0.3">
      <c r="A350" t="s">
        <v>386</v>
      </c>
      <c r="B350" s="2">
        <v>45885.212557870371</v>
      </c>
      <c r="C350" t="s">
        <v>15</v>
      </c>
      <c r="D350" t="s">
        <v>28</v>
      </c>
      <c r="E350" t="s">
        <v>11</v>
      </c>
      <c r="F350" t="s">
        <v>12</v>
      </c>
      <c r="G350" s="11">
        <v>0.02</v>
      </c>
      <c r="H350" t="b">
        <f>(COUNTIFS(OrderLines!$A:$A,A350,OrderLines!$F:$F,"Beverage")&gt;0)</f>
        <v>0</v>
      </c>
      <c r="I350">
        <f>SUMIFS(OrderLines!$I:$I,OrderLines!$A:$A,A350)</f>
        <v>915.51600000000008</v>
      </c>
      <c r="J350" t="str">
        <f>IF(AND(COUNTIFS(OrderLines!$A$2:$A$925,A350,OrderLines!$F$2:$F$925,"Hot Meal")&gt;0,COUNTIFS(OrderLines!$A$2:$A$925,A350,OrderLines!$F$2:$F$925,"Beverage")&gt;0),"Combo","Single")</f>
        <v>Single</v>
      </c>
      <c r="K350" t="str">
        <f>IF(SUMPRODUCT((OrderLines!$A$2:$A$925=A350)*OrderLines!$C$2:$C$925*OrderLines!$D$2:$D$925)*G350&gt;40,"HighDisc","OK")</f>
        <v>OK</v>
      </c>
    </row>
    <row r="351" spans="1:11" x14ac:dyDescent="0.3">
      <c r="A351" t="s">
        <v>387</v>
      </c>
      <c r="B351" s="2">
        <v>45867.028611111113</v>
      </c>
      <c r="C351" t="s">
        <v>15</v>
      </c>
      <c r="D351" t="s">
        <v>28</v>
      </c>
      <c r="E351" t="s">
        <v>11</v>
      </c>
      <c r="F351" t="s">
        <v>12</v>
      </c>
      <c r="G351" s="11">
        <v>0.08</v>
      </c>
      <c r="H351" t="b">
        <f>(COUNTIFS(OrderLines!$A:$A,A351,OrderLines!$F:$F,"Beverage")&gt;0)</f>
        <v>1</v>
      </c>
      <c r="I351">
        <f>SUMIFS(OrderLines!$I:$I,OrderLines!$A:$A,A351)</f>
        <v>356.21480000000003</v>
      </c>
      <c r="J351" t="str">
        <f>IF(AND(COUNTIFS(OrderLines!$A$2:$A$925,A351,OrderLines!$F$2:$F$925,"Hot Meal")&gt;0,COUNTIFS(OrderLines!$A$2:$A$925,A351,OrderLines!$F$2:$F$925,"Beverage")&gt;0),"Combo","Single")</f>
        <v>Combo</v>
      </c>
      <c r="K351" t="str">
        <f>IF(SUMPRODUCT((OrderLines!$A$2:$A$925=A351)*OrderLines!$C$2:$C$925*OrderLines!$D$2:$D$925)*G351&gt;40,"HighDisc","OK")</f>
        <v>OK</v>
      </c>
    </row>
    <row r="352" spans="1:11" x14ac:dyDescent="0.3">
      <c r="A352" t="s">
        <v>388</v>
      </c>
      <c r="B352" s="2">
        <v>45865.776701388888</v>
      </c>
      <c r="C352" t="s">
        <v>27</v>
      </c>
      <c r="D352" t="s">
        <v>16</v>
      </c>
      <c r="E352" t="s">
        <v>21</v>
      </c>
      <c r="F352" t="s">
        <v>18</v>
      </c>
      <c r="G352" s="11">
        <v>0.01</v>
      </c>
      <c r="H352" t="b">
        <f>(COUNTIFS(OrderLines!$A:$A,A352,OrderLines!$F:$F,"Beverage")&gt;0)</f>
        <v>1</v>
      </c>
      <c r="I352">
        <f>SUMIFS(OrderLines!$I:$I,OrderLines!$A:$A,A352)</f>
        <v>60.0732</v>
      </c>
      <c r="J352" t="str">
        <f>IF(AND(COUNTIFS(OrderLines!$A$2:$A$925,A352,OrderLines!$F$2:$F$925,"Hot Meal")&gt;0,COUNTIFS(OrderLines!$A$2:$A$925,A352,OrderLines!$F$2:$F$925,"Beverage")&gt;0),"Combo","Single")</f>
        <v>Single</v>
      </c>
      <c r="K352" t="str">
        <f>IF(SUMPRODUCT((OrderLines!$A$2:$A$925=A352)*OrderLines!$C$2:$C$925*OrderLines!$D$2:$D$925)*G352&gt;40,"HighDisc","OK")</f>
        <v>OK</v>
      </c>
    </row>
    <row r="353" spans="1:11" x14ac:dyDescent="0.3">
      <c r="A353" t="s">
        <v>389</v>
      </c>
      <c r="B353" s="2">
        <v>45881.944189814807</v>
      </c>
      <c r="C353" t="s">
        <v>15</v>
      </c>
      <c r="D353" t="s">
        <v>16</v>
      </c>
      <c r="E353" t="s">
        <v>17</v>
      </c>
      <c r="F353" t="s">
        <v>18</v>
      </c>
      <c r="G353" s="11">
        <v>0.13</v>
      </c>
      <c r="H353" t="b">
        <f>(COUNTIFS(OrderLines!$A:$A,A353,OrderLines!$F:$F,"Beverage")&gt;0)</f>
        <v>1</v>
      </c>
      <c r="I353">
        <f>SUMIFS(OrderLines!$I:$I,OrderLines!$A:$A,A353)</f>
        <v>204.4239</v>
      </c>
      <c r="J353" t="str">
        <f>IF(AND(COUNTIFS(OrderLines!$A$2:$A$925,A353,OrderLines!$F$2:$F$925,"Hot Meal")&gt;0,COUNTIFS(OrderLines!$A$2:$A$925,A353,OrderLines!$F$2:$F$925,"Beverage")&gt;0),"Combo","Single")</f>
        <v>Single</v>
      </c>
      <c r="K353" t="str">
        <f>IF(SUMPRODUCT((OrderLines!$A$2:$A$925=A353)*OrderLines!$C$2:$C$925*OrderLines!$D$2:$D$925)*G353&gt;40,"HighDisc","OK")</f>
        <v>OK</v>
      </c>
    </row>
    <row r="354" spans="1:11" x14ac:dyDescent="0.3">
      <c r="A354" t="s">
        <v>390</v>
      </c>
      <c r="B354" s="2">
        <v>45887.554722222223</v>
      </c>
      <c r="C354" t="s">
        <v>15</v>
      </c>
      <c r="D354" t="s">
        <v>10</v>
      </c>
      <c r="E354" t="s">
        <v>21</v>
      </c>
      <c r="F354" t="s">
        <v>22</v>
      </c>
      <c r="G354" s="11">
        <v>0.11</v>
      </c>
      <c r="H354" t="b">
        <f>(COUNTIFS(OrderLines!$A:$A,A354,OrderLines!$F:$F,"Beverage")&gt;0)</f>
        <v>0</v>
      </c>
      <c r="I354">
        <f>SUMIFS(OrderLines!$I:$I,OrderLines!$A:$A,A354)</f>
        <v>204.38849999999999</v>
      </c>
      <c r="J354" t="str">
        <f>IF(AND(COUNTIFS(OrderLines!$A$2:$A$925,A354,OrderLines!$F$2:$F$925,"Hot Meal")&gt;0,COUNTIFS(OrderLines!$A$2:$A$925,A354,OrderLines!$F$2:$F$925,"Beverage")&gt;0),"Combo","Single")</f>
        <v>Single</v>
      </c>
      <c r="K354" t="str">
        <f>IF(SUMPRODUCT((OrderLines!$A$2:$A$925=A354)*OrderLines!$C$2:$C$925*OrderLines!$D$2:$D$925)*G354&gt;40,"HighDisc","OK")</f>
        <v>OK</v>
      </c>
    </row>
    <row r="355" spans="1:11" x14ac:dyDescent="0.3">
      <c r="A355" t="s">
        <v>391</v>
      </c>
      <c r="B355" s="2">
        <v>45880.464826388888</v>
      </c>
      <c r="C355" t="s">
        <v>27</v>
      </c>
      <c r="D355" t="s">
        <v>16</v>
      </c>
      <c r="E355" t="s">
        <v>11</v>
      </c>
      <c r="F355" t="s">
        <v>22</v>
      </c>
      <c r="G355" s="11">
        <v>0.04</v>
      </c>
      <c r="H355" t="b">
        <f>(COUNTIFS(OrderLines!$A:$A,A355,OrderLines!$F:$F,"Beverage")&gt;0)</f>
        <v>0</v>
      </c>
      <c r="I355">
        <f>SUMIFS(OrderLines!$I:$I,OrderLines!$A:$A,A355)</f>
        <v>183.5136</v>
      </c>
      <c r="J355" t="str">
        <f>IF(AND(COUNTIFS(OrderLines!$A$2:$A$925,A355,OrderLines!$F$2:$F$925,"Hot Meal")&gt;0,COUNTIFS(OrderLines!$A$2:$A$925,A355,OrderLines!$F$2:$F$925,"Beverage")&gt;0),"Combo","Single")</f>
        <v>Single</v>
      </c>
      <c r="K355" t="str">
        <f>IF(SUMPRODUCT((OrderLines!$A$2:$A$925=A355)*OrderLines!$C$2:$C$925*OrderLines!$D$2:$D$925)*G355&gt;40,"HighDisc","OK")</f>
        <v>OK</v>
      </c>
    </row>
    <row r="356" spans="1:11" x14ac:dyDescent="0.3">
      <c r="A356" t="s">
        <v>392</v>
      </c>
      <c r="B356" s="2">
        <v>45892.210300925923</v>
      </c>
      <c r="C356" t="s">
        <v>15</v>
      </c>
      <c r="D356" t="s">
        <v>16</v>
      </c>
      <c r="E356" t="s">
        <v>17</v>
      </c>
      <c r="F356" t="s">
        <v>12</v>
      </c>
      <c r="G356" s="11">
        <v>0</v>
      </c>
      <c r="H356" t="b">
        <f>(COUNTIFS(OrderLines!$A:$A,A356,OrderLines!$F:$F,"Beverage")&gt;0)</f>
        <v>1</v>
      </c>
      <c r="I356">
        <f>SUMIFS(OrderLines!$I:$I,OrderLines!$A:$A,A356)</f>
        <v>87.41</v>
      </c>
      <c r="J356" t="str">
        <f>IF(AND(COUNTIFS(OrderLines!$A$2:$A$925,A356,OrderLines!$F$2:$F$925,"Hot Meal")&gt;0,COUNTIFS(OrderLines!$A$2:$A$925,A356,OrderLines!$F$2:$F$925,"Beverage")&gt;0),"Combo","Single")</f>
        <v>Single</v>
      </c>
      <c r="K356" t="str">
        <f>IF(SUMPRODUCT((OrderLines!$A$2:$A$925=A356)*OrderLines!$C$2:$C$925*OrderLines!$D$2:$D$925)*G356&gt;40,"HighDisc","OK")</f>
        <v>OK</v>
      </c>
    </row>
    <row r="357" spans="1:11" x14ac:dyDescent="0.3">
      <c r="A357" t="s">
        <v>393</v>
      </c>
      <c r="B357" s="2">
        <v>45871.087858796287</v>
      </c>
      <c r="C357" t="s">
        <v>9</v>
      </c>
      <c r="D357" t="s">
        <v>16</v>
      </c>
      <c r="E357" t="s">
        <v>21</v>
      </c>
      <c r="F357" t="s">
        <v>12</v>
      </c>
      <c r="G357" s="11">
        <v>0.11</v>
      </c>
      <c r="H357" t="b">
        <f>(COUNTIFS(OrderLines!$A:$A,A357,OrderLines!$F:$F,"Beverage")&gt;0)</f>
        <v>1</v>
      </c>
      <c r="I357">
        <f>SUMIFS(OrderLines!$I:$I,OrderLines!$A:$A,A357)</f>
        <v>700.52790000000005</v>
      </c>
      <c r="J357" t="str">
        <f>IF(AND(COUNTIFS(OrderLines!$A$2:$A$925,A357,OrderLines!$F$2:$F$925,"Hot Meal")&gt;0,COUNTIFS(OrderLines!$A$2:$A$925,A357,OrderLines!$F$2:$F$925,"Beverage")&gt;0),"Combo","Single")</f>
        <v>Combo</v>
      </c>
      <c r="K357" t="str">
        <f>IF(SUMPRODUCT((OrderLines!$A$2:$A$925=A357)*OrderLines!$C$2:$C$925*OrderLines!$D$2:$D$925)*G357&gt;40,"HighDisc","OK")</f>
        <v>HighDisc</v>
      </c>
    </row>
    <row r="358" spans="1:11" x14ac:dyDescent="0.3">
      <c r="A358" t="s">
        <v>394</v>
      </c>
      <c r="B358" s="2">
        <v>45897.758750000001</v>
      </c>
      <c r="C358" t="s">
        <v>9</v>
      </c>
      <c r="D358" t="s">
        <v>16</v>
      </c>
      <c r="E358" t="s">
        <v>17</v>
      </c>
      <c r="F358" t="s">
        <v>18</v>
      </c>
      <c r="G358" s="11">
        <v>0.06</v>
      </c>
      <c r="H358" t="b">
        <f>(COUNTIFS(OrderLines!$A:$A,A358,OrderLines!$F:$F,"Beverage")&gt;0)</f>
        <v>1</v>
      </c>
      <c r="I358">
        <f>SUMIFS(OrderLines!$I:$I,OrderLines!$A:$A,A358)</f>
        <v>93.417199999999994</v>
      </c>
      <c r="J358" t="str">
        <f>IF(AND(COUNTIFS(OrderLines!$A$2:$A$925,A358,OrderLines!$F$2:$F$925,"Hot Meal")&gt;0,COUNTIFS(OrderLines!$A$2:$A$925,A358,OrderLines!$F$2:$F$925,"Beverage")&gt;0),"Combo","Single")</f>
        <v>Single</v>
      </c>
      <c r="K358" t="str">
        <f>IF(SUMPRODUCT((OrderLines!$A$2:$A$925=A358)*OrderLines!$C$2:$C$925*OrderLines!$D$2:$D$925)*G358&gt;40,"HighDisc","OK")</f>
        <v>OK</v>
      </c>
    </row>
    <row r="359" spans="1:11" x14ac:dyDescent="0.3">
      <c r="A359" t="s">
        <v>395</v>
      </c>
      <c r="B359" s="2">
        <v>45873.38181712963</v>
      </c>
      <c r="C359" t="s">
        <v>15</v>
      </c>
      <c r="D359" t="s">
        <v>28</v>
      </c>
      <c r="E359" t="s">
        <v>11</v>
      </c>
      <c r="F359" t="s">
        <v>12</v>
      </c>
      <c r="G359" s="11">
        <v>0.11</v>
      </c>
      <c r="H359" t="b">
        <f>(COUNTIFS(OrderLines!$A:$A,A359,OrderLines!$F:$F,"Beverage")&gt;0)</f>
        <v>1</v>
      </c>
      <c r="I359">
        <f>SUMIFS(OrderLines!$I:$I,OrderLines!$A:$A,A359)</f>
        <v>89.783200000000008</v>
      </c>
      <c r="J359" t="str">
        <f>IF(AND(COUNTIFS(OrderLines!$A$2:$A$925,A359,OrderLines!$F$2:$F$925,"Hot Meal")&gt;0,COUNTIFS(OrderLines!$A$2:$A$925,A359,OrderLines!$F$2:$F$925,"Beverage")&gt;0),"Combo","Single")</f>
        <v>Single</v>
      </c>
      <c r="K359" t="str">
        <f>IF(SUMPRODUCT((OrderLines!$A$2:$A$925=A359)*OrderLines!$C$2:$C$925*OrderLines!$D$2:$D$925)*G359&gt;40,"HighDisc","OK")</f>
        <v>OK</v>
      </c>
    </row>
    <row r="360" spans="1:11" x14ac:dyDescent="0.3">
      <c r="A360" t="s">
        <v>396</v>
      </c>
      <c r="B360" s="2">
        <v>45881.478530092587</v>
      </c>
      <c r="C360" t="s">
        <v>15</v>
      </c>
      <c r="D360" t="s">
        <v>10</v>
      </c>
      <c r="E360" t="s">
        <v>17</v>
      </c>
      <c r="F360" t="s">
        <v>22</v>
      </c>
      <c r="G360" s="11">
        <v>0</v>
      </c>
      <c r="H360" t="b">
        <f>(COUNTIFS(OrderLines!$A:$A,A360,OrderLines!$F:$F,"Beverage")&gt;0)</f>
        <v>0</v>
      </c>
      <c r="I360">
        <f>SUMIFS(OrderLines!$I:$I,OrderLines!$A:$A,A360)</f>
        <v>455.22</v>
      </c>
      <c r="J360" t="str">
        <f>IF(AND(COUNTIFS(OrderLines!$A$2:$A$925,A360,OrderLines!$F$2:$F$925,"Hot Meal")&gt;0,COUNTIFS(OrderLines!$A$2:$A$925,A360,OrderLines!$F$2:$F$925,"Beverage")&gt;0),"Combo","Single")</f>
        <v>Single</v>
      </c>
      <c r="K360" t="str">
        <f>IF(SUMPRODUCT((OrderLines!$A$2:$A$925=A360)*OrderLines!$C$2:$C$925*OrderLines!$D$2:$D$925)*G360&gt;40,"HighDisc","OK")</f>
        <v>OK</v>
      </c>
    </row>
    <row r="361" spans="1:11" x14ac:dyDescent="0.3">
      <c r="A361" t="s">
        <v>397</v>
      </c>
      <c r="B361" s="2">
        <v>45878.689097222217</v>
      </c>
      <c r="C361" t="s">
        <v>15</v>
      </c>
      <c r="D361" t="s">
        <v>10</v>
      </c>
      <c r="E361" t="s">
        <v>11</v>
      </c>
      <c r="F361" t="s">
        <v>18</v>
      </c>
      <c r="G361" s="11">
        <v>0.04</v>
      </c>
      <c r="H361" t="b">
        <f>(COUNTIFS(OrderLines!$A:$A,A361,OrderLines!$F:$F,"Beverage")&gt;0)</f>
        <v>1</v>
      </c>
      <c r="I361">
        <f>SUMIFS(OrderLines!$I:$I,OrderLines!$A:$A,A361)</f>
        <v>962.15039999999999</v>
      </c>
      <c r="J361" t="str">
        <f>IF(AND(COUNTIFS(OrderLines!$A$2:$A$925,A361,OrderLines!$F$2:$F$925,"Hot Meal")&gt;0,COUNTIFS(OrderLines!$A$2:$A$925,A361,OrderLines!$F$2:$F$925,"Beverage")&gt;0),"Combo","Single")</f>
        <v>Combo</v>
      </c>
      <c r="K361" t="str">
        <f>IF(SUMPRODUCT((OrderLines!$A$2:$A$925=A361)*OrderLines!$C$2:$C$925*OrderLines!$D$2:$D$925)*G361&gt;40,"HighDisc","OK")</f>
        <v>HighDisc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483B-F151-4913-BEE4-0CA1F5500088}">
  <dimension ref="A1:K925"/>
  <sheetViews>
    <sheetView workbookViewId="0">
      <selection activeCell="C1" sqref="C1"/>
    </sheetView>
  </sheetViews>
  <sheetFormatPr defaultRowHeight="14.4" x14ac:dyDescent="0.3"/>
  <cols>
    <col min="1" max="1" width="12" bestFit="1" customWidth="1"/>
    <col min="2" max="2" width="8.88671875" bestFit="1" customWidth="1"/>
    <col min="3" max="3" width="8.44140625" bestFit="1" customWidth="1"/>
    <col min="4" max="4" width="10.88671875" bestFit="1" customWidth="1"/>
    <col min="5" max="5" width="10.44140625" bestFit="1" customWidth="1"/>
    <col min="6" max="6" width="10.77734375" bestFit="1" customWidth="1"/>
    <col min="7" max="7" width="13.44140625" bestFit="1" customWidth="1"/>
    <col min="8" max="8" width="15" bestFit="1" customWidth="1"/>
    <col min="9" max="9" width="16.6640625" bestFit="1" customWidth="1"/>
    <col min="10" max="10" width="8.77734375" bestFit="1" customWidth="1"/>
    <col min="11" max="11" width="14.88671875" bestFit="1" customWidth="1"/>
  </cols>
  <sheetData>
    <row r="1" spans="1:11" x14ac:dyDescent="0.3">
      <c r="A1" s="1" t="s">
        <v>0</v>
      </c>
      <c r="B1" s="1" t="s">
        <v>398</v>
      </c>
      <c r="C1" s="1" t="s">
        <v>399</v>
      </c>
      <c r="D1" s="4" t="s">
        <v>400</v>
      </c>
      <c r="E1" s="4" t="s">
        <v>423</v>
      </c>
      <c r="F1" s="4" t="s">
        <v>421</v>
      </c>
      <c r="G1" s="4" t="s">
        <v>522</v>
      </c>
      <c r="H1" s="4" t="s">
        <v>2</v>
      </c>
      <c r="I1" s="4" t="s">
        <v>523</v>
      </c>
      <c r="J1" s="4" t="s">
        <v>5</v>
      </c>
      <c r="K1" s="4" t="s">
        <v>4</v>
      </c>
    </row>
    <row r="2" spans="1:11" x14ac:dyDescent="0.3">
      <c r="A2" t="s">
        <v>8</v>
      </c>
      <c r="B2" t="s">
        <v>401</v>
      </c>
      <c r="C2">
        <v>3</v>
      </c>
      <c r="D2">
        <f>VLOOKUP(B2, Menu!$A:$F, 6, 0)</f>
        <v>52.45</v>
      </c>
      <c r="E2">
        <f>VLOOKUP(B2, Menu!$A:$F, 5, 0)</f>
        <v>25.8</v>
      </c>
      <c r="F2" t="str">
        <f>VLOOKUP(B2, Menu!$A:$F, 3, 0)</f>
        <v>Snack</v>
      </c>
      <c r="G2" s="5">
        <f>VLOOKUP(A2, Orders!$A:$B, 2, 0)</f>
        <v>45852.096203703702</v>
      </c>
      <c r="H2" t="str">
        <f>VLOOKUP(A2, Orders!$A:$C, 3, 0)</f>
        <v>Head Office Café</v>
      </c>
      <c r="I2">
        <f>C2*D2*(1-VLOOKUP(A2,Orders!$A:$G,7,0))</f>
        <v>147.90900000000002</v>
      </c>
      <c r="J2" t="str">
        <f>VLOOKUP(A2,Orders!$A:$G,6,0)</f>
        <v>Breakfast</v>
      </c>
      <c r="K2" t="str">
        <f>VLOOKUP(A2,Orders!$A:$G,5,0)</f>
        <v>UPI</v>
      </c>
    </row>
    <row r="3" spans="1:11" x14ac:dyDescent="0.3">
      <c r="A3" t="s">
        <v>14</v>
      </c>
      <c r="B3" t="s">
        <v>402</v>
      </c>
      <c r="C3">
        <v>1</v>
      </c>
      <c r="D3">
        <f>VLOOKUP(B3, Menu!$A:$F, 6, 0)</f>
        <v>30.34</v>
      </c>
      <c r="E3">
        <f>VLOOKUP(B3, Menu!$A:$F, 5, 0)</f>
        <v>14.18</v>
      </c>
      <c r="F3" t="str">
        <f>VLOOKUP(B3, Menu!$A:$F, 3, 0)</f>
        <v>Beverage</v>
      </c>
      <c r="G3" s="5">
        <f>VLOOKUP(A3, Orders!$A:$B, 2, 0)</f>
        <v>45862.842685185176</v>
      </c>
      <c r="H3" t="str">
        <f>VLOOKUP(A3, Orders!$A:$C, 3, 0)</f>
        <v>Plant 2 Canteen</v>
      </c>
      <c r="I3">
        <f>C3*D3*(1-VLOOKUP(A3,Orders!$A:$G,7,0))</f>
        <v>28.822999999999997</v>
      </c>
      <c r="J3" t="str">
        <f>VLOOKUP(A3,Orders!$A:$G,6,0)</f>
        <v>Dinner</v>
      </c>
      <c r="K3" t="str">
        <f>VLOOKUP(A3,Orders!$A:$G,5,0)</f>
        <v>Cash</v>
      </c>
    </row>
    <row r="4" spans="1:11" x14ac:dyDescent="0.3">
      <c r="A4" t="s">
        <v>14</v>
      </c>
      <c r="B4" t="s">
        <v>403</v>
      </c>
      <c r="C4">
        <v>1</v>
      </c>
      <c r="D4">
        <f>VLOOKUP(B4, Menu!$A:$F, 6, 0)</f>
        <v>76.55</v>
      </c>
      <c r="E4">
        <f>VLOOKUP(B4, Menu!$A:$F, 5, 0)</f>
        <v>38.229999999999997</v>
      </c>
      <c r="F4" t="str">
        <f>VLOOKUP(B4, Menu!$A:$F, 3, 0)</f>
        <v>Dessert</v>
      </c>
      <c r="G4" s="5">
        <f>VLOOKUP(A4, Orders!$A:$B, 2, 0)</f>
        <v>45862.842685185176</v>
      </c>
      <c r="H4" t="str">
        <f>VLOOKUP(A4, Orders!$A:$C, 3, 0)</f>
        <v>Plant 2 Canteen</v>
      </c>
      <c r="I4">
        <f>C4*D4*(1-VLOOKUP(A4,Orders!$A:$G,7,0))</f>
        <v>72.722499999999997</v>
      </c>
      <c r="J4" t="str">
        <f>VLOOKUP(A4,Orders!$A:$G,6,0)</f>
        <v>Dinner</v>
      </c>
      <c r="K4" t="str">
        <f>VLOOKUP(A4,Orders!$A:$G,5,0)</f>
        <v>Cash</v>
      </c>
    </row>
    <row r="5" spans="1:11" x14ac:dyDescent="0.3">
      <c r="A5" t="s">
        <v>20</v>
      </c>
      <c r="B5" t="s">
        <v>404</v>
      </c>
      <c r="C5">
        <v>2</v>
      </c>
      <c r="D5">
        <f>VLOOKUP(B5, Menu!$A:$F, 6, 0)</f>
        <v>32.979999999999997</v>
      </c>
      <c r="E5">
        <f>VLOOKUP(B5, Menu!$A:$F, 5, 0)</f>
        <v>11.84</v>
      </c>
      <c r="F5" t="str">
        <f>VLOOKUP(B5, Menu!$A:$F, 3, 0)</f>
        <v>Beverage</v>
      </c>
      <c r="G5" s="5">
        <f>VLOOKUP(A5, Orders!$A:$B, 2, 0)</f>
        <v>45848.661041666674</v>
      </c>
      <c r="H5" t="str">
        <f>VLOOKUP(A5, Orders!$A:$C, 3, 0)</f>
        <v>Head Office Café</v>
      </c>
      <c r="I5">
        <f>C5*D5*(1-VLOOKUP(A5,Orders!$A:$G,7,0))</f>
        <v>65.959999999999994</v>
      </c>
      <c r="J5" t="str">
        <f>VLOOKUP(A5,Orders!$A:$G,6,0)</f>
        <v>Lunch</v>
      </c>
      <c r="K5" t="str">
        <f>VLOOKUP(A5,Orders!$A:$G,5,0)</f>
        <v>Card</v>
      </c>
    </row>
    <row r="6" spans="1:11" x14ac:dyDescent="0.3">
      <c r="A6" t="s">
        <v>20</v>
      </c>
      <c r="B6" t="s">
        <v>401</v>
      </c>
      <c r="C6">
        <v>1</v>
      </c>
      <c r="D6">
        <f>VLOOKUP(B6, Menu!$A:$F, 6, 0)</f>
        <v>52.45</v>
      </c>
      <c r="E6">
        <f>VLOOKUP(B6, Menu!$A:$F, 5, 0)</f>
        <v>25.8</v>
      </c>
      <c r="F6" t="str">
        <f>VLOOKUP(B6, Menu!$A:$F, 3, 0)</f>
        <v>Snack</v>
      </c>
      <c r="G6" s="5">
        <f>VLOOKUP(A6, Orders!$A:$B, 2, 0)</f>
        <v>45848.661041666674</v>
      </c>
      <c r="H6" t="str">
        <f>VLOOKUP(A6, Orders!$A:$C, 3, 0)</f>
        <v>Head Office Café</v>
      </c>
      <c r="I6">
        <f>C6*D6*(1-VLOOKUP(A6,Orders!$A:$G,7,0))</f>
        <v>52.45</v>
      </c>
      <c r="J6" t="str">
        <f>VLOOKUP(A6,Orders!$A:$G,6,0)</f>
        <v>Lunch</v>
      </c>
      <c r="K6" t="str">
        <f>VLOOKUP(A6,Orders!$A:$G,5,0)</f>
        <v>Card</v>
      </c>
    </row>
    <row r="7" spans="1:11" x14ac:dyDescent="0.3">
      <c r="A7" t="s">
        <v>20</v>
      </c>
      <c r="B7" t="s">
        <v>405</v>
      </c>
      <c r="C7">
        <v>3</v>
      </c>
      <c r="D7">
        <f>VLOOKUP(B7, Menu!$A:$F, 6, 0)</f>
        <v>170.83</v>
      </c>
      <c r="E7">
        <f>VLOOKUP(B7, Menu!$A:$F, 5, 0)</f>
        <v>74.069999999999993</v>
      </c>
      <c r="F7" t="str">
        <f>VLOOKUP(B7, Menu!$A:$F, 3, 0)</f>
        <v>Hot Meal</v>
      </c>
      <c r="G7" s="5">
        <f>VLOOKUP(A7, Orders!$A:$B, 2, 0)</f>
        <v>45848.661041666674</v>
      </c>
      <c r="H7" t="str">
        <f>VLOOKUP(A7, Orders!$A:$C, 3, 0)</f>
        <v>Head Office Café</v>
      </c>
      <c r="I7">
        <f>C7*D7*(1-VLOOKUP(A7,Orders!$A:$G,7,0))</f>
        <v>512.49</v>
      </c>
      <c r="J7" t="str">
        <f>VLOOKUP(A7,Orders!$A:$G,6,0)</f>
        <v>Lunch</v>
      </c>
      <c r="K7" t="str">
        <f>VLOOKUP(A7,Orders!$A:$G,5,0)</f>
        <v>Card</v>
      </c>
    </row>
    <row r="8" spans="1:11" x14ac:dyDescent="0.3">
      <c r="A8" t="s">
        <v>20</v>
      </c>
      <c r="B8" t="s">
        <v>406</v>
      </c>
      <c r="C8">
        <v>1</v>
      </c>
      <c r="D8">
        <f>VLOOKUP(B8, Menu!$A:$F, 6, 0)</f>
        <v>38.06</v>
      </c>
      <c r="E8">
        <f>VLOOKUP(B8, Menu!$A:$F, 5, 0)</f>
        <v>19.55</v>
      </c>
      <c r="F8" t="str">
        <f>VLOOKUP(B8, Menu!$A:$F, 3, 0)</f>
        <v>Snack</v>
      </c>
      <c r="G8" s="5">
        <f>VLOOKUP(A8, Orders!$A:$B, 2, 0)</f>
        <v>45848.661041666674</v>
      </c>
      <c r="H8" t="str">
        <f>VLOOKUP(A8, Orders!$A:$C, 3, 0)</f>
        <v>Head Office Café</v>
      </c>
      <c r="I8">
        <f>C8*D8*(1-VLOOKUP(A8,Orders!$A:$G,7,0))</f>
        <v>38.06</v>
      </c>
      <c r="J8" t="str">
        <f>VLOOKUP(A8,Orders!$A:$G,6,0)</f>
        <v>Lunch</v>
      </c>
      <c r="K8" t="str">
        <f>VLOOKUP(A8,Orders!$A:$G,5,0)</f>
        <v>Card</v>
      </c>
    </row>
    <row r="9" spans="1:11" x14ac:dyDescent="0.3">
      <c r="A9" t="s">
        <v>24</v>
      </c>
      <c r="B9" t="s">
        <v>407</v>
      </c>
      <c r="C9">
        <v>2</v>
      </c>
      <c r="D9">
        <f>VLOOKUP(B9, Menu!$A:$F, 6, 0)</f>
        <v>246.09</v>
      </c>
      <c r="E9">
        <f>VLOOKUP(B9, Menu!$A:$F, 5, 0)</f>
        <v>112.08</v>
      </c>
      <c r="F9" t="str">
        <f>VLOOKUP(B9, Menu!$A:$F, 3, 0)</f>
        <v>Hot Meal</v>
      </c>
      <c r="G9" s="5">
        <f>VLOOKUP(A9, Orders!$A:$B, 2, 0)</f>
        <v>45879.1640625</v>
      </c>
      <c r="H9" t="str">
        <f>VLOOKUP(A9, Orders!$A:$C, 3, 0)</f>
        <v>Plant 2 Canteen</v>
      </c>
      <c r="I9">
        <f>C9*D9*(1-VLOOKUP(A9,Orders!$A:$G,7,0))</f>
        <v>477.41460000000001</v>
      </c>
      <c r="J9" t="str">
        <f>VLOOKUP(A9,Orders!$A:$G,6,0)</f>
        <v>Breakfast</v>
      </c>
      <c r="K9" t="str">
        <f>VLOOKUP(A9,Orders!$A:$G,5,0)</f>
        <v>Cash</v>
      </c>
    </row>
    <row r="10" spans="1:11" x14ac:dyDescent="0.3">
      <c r="A10" t="s">
        <v>25</v>
      </c>
      <c r="B10" t="s">
        <v>408</v>
      </c>
      <c r="C10">
        <v>1</v>
      </c>
      <c r="D10">
        <f>VLOOKUP(B10, Menu!$A:$F, 6, 0)</f>
        <v>70.540000000000006</v>
      </c>
      <c r="E10">
        <f>VLOOKUP(B10, Menu!$A:$F, 5, 0)</f>
        <v>35.81</v>
      </c>
      <c r="F10" t="str">
        <f>VLOOKUP(B10, Menu!$A:$F, 3, 0)</f>
        <v>Snack</v>
      </c>
      <c r="G10" s="5">
        <f>VLOOKUP(A10, Orders!$A:$B, 2, 0)</f>
        <v>45845.134895833333</v>
      </c>
      <c r="H10" t="str">
        <f>VLOOKUP(A10, Orders!$A:$C, 3, 0)</f>
        <v>Plant 2 Canteen</v>
      </c>
      <c r="I10">
        <f>C10*D10*(1-VLOOKUP(A10,Orders!$A:$G,7,0))</f>
        <v>67.718400000000003</v>
      </c>
      <c r="J10" t="str">
        <f>VLOOKUP(A10,Orders!$A:$G,6,0)</f>
        <v>Breakfast</v>
      </c>
      <c r="K10" t="str">
        <f>VLOOKUP(A10,Orders!$A:$G,5,0)</f>
        <v>Card</v>
      </c>
    </row>
    <row r="11" spans="1:11" x14ac:dyDescent="0.3">
      <c r="A11" t="s">
        <v>25</v>
      </c>
      <c r="B11" t="s">
        <v>409</v>
      </c>
      <c r="C11">
        <v>1</v>
      </c>
      <c r="D11">
        <f>VLOOKUP(B11, Menu!$A:$F, 6, 0)</f>
        <v>28.43</v>
      </c>
      <c r="E11">
        <f>VLOOKUP(B11, Menu!$A:$F, 5, 0)</f>
        <v>13.89</v>
      </c>
      <c r="F11" t="str">
        <f>VLOOKUP(B11, Menu!$A:$F, 3, 0)</f>
        <v>Beverage</v>
      </c>
      <c r="G11" s="5">
        <f>VLOOKUP(A11, Orders!$A:$B, 2, 0)</f>
        <v>45845.134895833333</v>
      </c>
      <c r="H11" t="str">
        <f>VLOOKUP(A11, Orders!$A:$C, 3, 0)</f>
        <v>Plant 2 Canteen</v>
      </c>
      <c r="I11">
        <f>C11*D11*(1-VLOOKUP(A11,Orders!$A:$G,7,0))</f>
        <v>27.2928</v>
      </c>
      <c r="J11" t="str">
        <f>VLOOKUP(A11,Orders!$A:$G,6,0)</f>
        <v>Breakfast</v>
      </c>
      <c r="K11" t="str">
        <f>VLOOKUP(A11,Orders!$A:$G,5,0)</f>
        <v>Card</v>
      </c>
    </row>
    <row r="12" spans="1:11" x14ac:dyDescent="0.3">
      <c r="A12" t="s">
        <v>26</v>
      </c>
      <c r="B12" t="s">
        <v>410</v>
      </c>
      <c r="C12">
        <v>3</v>
      </c>
      <c r="D12">
        <f>VLOOKUP(B12, Menu!$A:$F, 6, 0)</f>
        <v>20.11</v>
      </c>
      <c r="E12">
        <f>VLOOKUP(B12, Menu!$A:$F, 5, 0)</f>
        <v>8</v>
      </c>
      <c r="F12" t="str">
        <f>VLOOKUP(B12, Menu!$A:$F, 3, 0)</f>
        <v>Beverage</v>
      </c>
      <c r="G12" s="5">
        <f>VLOOKUP(A12, Orders!$A:$B, 2, 0)</f>
        <v>45863.392129629632</v>
      </c>
      <c r="H12" t="str">
        <f>VLOOKUP(A12, Orders!$A:$C, 3, 0)</f>
        <v>Plant 1 Canteen</v>
      </c>
      <c r="I12">
        <f>C12*D12*(1-VLOOKUP(A12,Orders!$A:$G,7,0))</f>
        <v>54.296999999999997</v>
      </c>
      <c r="J12" t="str">
        <f>VLOOKUP(A12,Orders!$A:$G,6,0)</f>
        <v>Breakfast</v>
      </c>
      <c r="K12" t="str">
        <f>VLOOKUP(A12,Orders!$A:$G,5,0)</f>
        <v>UPI</v>
      </c>
    </row>
    <row r="13" spans="1:11" x14ac:dyDescent="0.3">
      <c r="A13" t="s">
        <v>30</v>
      </c>
      <c r="B13" t="s">
        <v>404</v>
      </c>
      <c r="C13">
        <v>1</v>
      </c>
      <c r="D13">
        <f>VLOOKUP(B13, Menu!$A:$F, 6, 0)</f>
        <v>32.979999999999997</v>
      </c>
      <c r="E13">
        <f>VLOOKUP(B13, Menu!$A:$F, 5, 0)</f>
        <v>11.84</v>
      </c>
      <c r="F13" t="str">
        <f>VLOOKUP(B13, Menu!$A:$F, 3, 0)</f>
        <v>Beverage</v>
      </c>
      <c r="G13" s="5">
        <f>VLOOKUP(A13, Orders!$A:$B, 2, 0)</f>
        <v>45852.860347222217</v>
      </c>
      <c r="H13" t="str">
        <f>VLOOKUP(A13, Orders!$A:$C, 3, 0)</f>
        <v>Plant 2 Canteen</v>
      </c>
      <c r="I13">
        <f>C13*D13*(1-VLOOKUP(A13,Orders!$A:$G,7,0))</f>
        <v>30.671399999999995</v>
      </c>
      <c r="J13" t="str">
        <f>VLOOKUP(A13,Orders!$A:$G,6,0)</f>
        <v>Dinner</v>
      </c>
      <c r="K13" t="str">
        <f>VLOOKUP(A13,Orders!$A:$G,5,0)</f>
        <v>Card</v>
      </c>
    </row>
    <row r="14" spans="1:11" x14ac:dyDescent="0.3">
      <c r="A14" t="s">
        <v>30</v>
      </c>
      <c r="B14" t="s">
        <v>405</v>
      </c>
      <c r="C14">
        <v>2</v>
      </c>
      <c r="D14">
        <f>VLOOKUP(B14, Menu!$A:$F, 6, 0)</f>
        <v>170.83</v>
      </c>
      <c r="E14">
        <f>VLOOKUP(B14, Menu!$A:$F, 5, 0)</f>
        <v>74.069999999999993</v>
      </c>
      <c r="F14" t="str">
        <f>VLOOKUP(B14, Menu!$A:$F, 3, 0)</f>
        <v>Hot Meal</v>
      </c>
      <c r="G14" s="5">
        <f>VLOOKUP(A14, Orders!$A:$B, 2, 0)</f>
        <v>45852.860347222217</v>
      </c>
      <c r="H14" t="str">
        <f>VLOOKUP(A14, Orders!$A:$C, 3, 0)</f>
        <v>Plant 2 Canteen</v>
      </c>
      <c r="I14">
        <f>C14*D14*(1-VLOOKUP(A14,Orders!$A:$G,7,0))</f>
        <v>317.74380000000002</v>
      </c>
      <c r="J14" t="str">
        <f>VLOOKUP(A14,Orders!$A:$G,6,0)</f>
        <v>Dinner</v>
      </c>
      <c r="K14" t="str">
        <f>VLOOKUP(A14,Orders!$A:$G,5,0)</f>
        <v>Card</v>
      </c>
    </row>
    <row r="15" spans="1:11" x14ac:dyDescent="0.3">
      <c r="A15" t="s">
        <v>31</v>
      </c>
      <c r="B15" t="s">
        <v>411</v>
      </c>
      <c r="C15">
        <v>1</v>
      </c>
      <c r="D15">
        <f>VLOOKUP(B15, Menu!$A:$F, 6, 0)</f>
        <v>22.2</v>
      </c>
      <c r="E15">
        <f>VLOOKUP(B15, Menu!$A:$F, 5, 0)</f>
        <v>9.3800000000000008</v>
      </c>
      <c r="F15" t="str">
        <f>VLOOKUP(B15, Menu!$A:$F, 3, 0)</f>
        <v>Beverage</v>
      </c>
      <c r="G15" s="5">
        <f>VLOOKUP(A15, Orders!$A:$B, 2, 0)</f>
        <v>45863.503796296303</v>
      </c>
      <c r="H15" t="str">
        <f>VLOOKUP(A15, Orders!$A:$C, 3, 0)</f>
        <v>Plant 1 Canteen</v>
      </c>
      <c r="I15">
        <f>C15*D15*(1-VLOOKUP(A15,Orders!$A:$G,7,0))</f>
        <v>22.2</v>
      </c>
      <c r="J15" t="str">
        <f>VLOOKUP(A15,Orders!$A:$G,6,0)</f>
        <v>Lunch</v>
      </c>
      <c r="K15" t="str">
        <f>VLOOKUP(A15,Orders!$A:$G,5,0)</f>
        <v>UPI</v>
      </c>
    </row>
    <row r="16" spans="1:11" x14ac:dyDescent="0.3">
      <c r="A16" t="s">
        <v>31</v>
      </c>
      <c r="B16" t="s">
        <v>412</v>
      </c>
      <c r="C16">
        <v>3</v>
      </c>
      <c r="D16">
        <f>VLOOKUP(B16, Menu!$A:$F, 6, 0)</f>
        <v>57.07</v>
      </c>
      <c r="E16">
        <f>VLOOKUP(B16, Menu!$A:$F, 5, 0)</f>
        <v>29.14</v>
      </c>
      <c r="F16" t="str">
        <f>VLOOKUP(B16, Menu!$A:$F, 3, 0)</f>
        <v>Dessert</v>
      </c>
      <c r="G16" s="5">
        <f>VLOOKUP(A16, Orders!$A:$B, 2, 0)</f>
        <v>45863.503796296303</v>
      </c>
      <c r="H16" t="str">
        <f>VLOOKUP(A16, Orders!$A:$C, 3, 0)</f>
        <v>Plant 1 Canteen</v>
      </c>
      <c r="I16">
        <f>C16*D16*(1-VLOOKUP(A16,Orders!$A:$G,7,0))</f>
        <v>171.21</v>
      </c>
      <c r="J16" t="str">
        <f>VLOOKUP(A16,Orders!$A:$G,6,0)</f>
        <v>Lunch</v>
      </c>
      <c r="K16" t="str">
        <f>VLOOKUP(A16,Orders!$A:$G,5,0)</f>
        <v>UPI</v>
      </c>
    </row>
    <row r="17" spans="1:11" x14ac:dyDescent="0.3">
      <c r="A17" t="s">
        <v>31</v>
      </c>
      <c r="B17" t="s">
        <v>402</v>
      </c>
      <c r="C17">
        <v>1</v>
      </c>
      <c r="D17">
        <f>VLOOKUP(B17, Menu!$A:$F, 6, 0)</f>
        <v>30.34</v>
      </c>
      <c r="E17">
        <f>VLOOKUP(B17, Menu!$A:$F, 5, 0)</f>
        <v>14.18</v>
      </c>
      <c r="F17" t="str">
        <f>VLOOKUP(B17, Menu!$A:$F, 3, 0)</f>
        <v>Beverage</v>
      </c>
      <c r="G17" s="5">
        <f>VLOOKUP(A17, Orders!$A:$B, 2, 0)</f>
        <v>45863.503796296303</v>
      </c>
      <c r="H17" t="str">
        <f>VLOOKUP(A17, Orders!$A:$C, 3, 0)</f>
        <v>Plant 1 Canteen</v>
      </c>
      <c r="I17">
        <f>C17*D17*(1-VLOOKUP(A17,Orders!$A:$G,7,0))</f>
        <v>30.34</v>
      </c>
      <c r="J17" t="str">
        <f>VLOOKUP(A17,Orders!$A:$G,6,0)</f>
        <v>Lunch</v>
      </c>
      <c r="K17" t="str">
        <f>VLOOKUP(A17,Orders!$A:$G,5,0)</f>
        <v>UPI</v>
      </c>
    </row>
    <row r="18" spans="1:11" x14ac:dyDescent="0.3">
      <c r="A18" t="s">
        <v>32</v>
      </c>
      <c r="B18" t="s">
        <v>405</v>
      </c>
      <c r="C18">
        <v>2</v>
      </c>
      <c r="D18">
        <f>VLOOKUP(B18, Menu!$A:$F, 6, 0)</f>
        <v>170.83</v>
      </c>
      <c r="E18">
        <f>VLOOKUP(B18, Menu!$A:$F, 5, 0)</f>
        <v>74.069999999999993</v>
      </c>
      <c r="F18" t="str">
        <f>VLOOKUP(B18, Menu!$A:$F, 3, 0)</f>
        <v>Hot Meal</v>
      </c>
      <c r="G18" s="5">
        <f>VLOOKUP(A18, Orders!$A:$B, 2, 0)</f>
        <v>45844.161631944437</v>
      </c>
      <c r="H18" t="str">
        <f>VLOOKUP(A18, Orders!$A:$C, 3, 0)</f>
        <v>Head Office Café</v>
      </c>
      <c r="I18">
        <f>C18*D18*(1-VLOOKUP(A18,Orders!$A:$G,7,0))</f>
        <v>317.74380000000002</v>
      </c>
      <c r="J18" t="str">
        <f>VLOOKUP(A18,Orders!$A:$G,6,0)</f>
        <v>Breakfast</v>
      </c>
      <c r="K18" t="str">
        <f>VLOOKUP(A18,Orders!$A:$G,5,0)</f>
        <v>Cash</v>
      </c>
    </row>
    <row r="19" spans="1:11" x14ac:dyDescent="0.3">
      <c r="A19" t="s">
        <v>32</v>
      </c>
      <c r="B19" t="s">
        <v>412</v>
      </c>
      <c r="C19">
        <v>2</v>
      </c>
      <c r="D19">
        <f>VLOOKUP(B19, Menu!$A:$F, 6, 0)</f>
        <v>57.07</v>
      </c>
      <c r="E19">
        <f>VLOOKUP(B19, Menu!$A:$F, 5, 0)</f>
        <v>29.14</v>
      </c>
      <c r="F19" t="str">
        <f>VLOOKUP(B19, Menu!$A:$F, 3, 0)</f>
        <v>Dessert</v>
      </c>
      <c r="G19" s="5">
        <f>VLOOKUP(A19, Orders!$A:$B, 2, 0)</f>
        <v>45844.161631944437</v>
      </c>
      <c r="H19" t="str">
        <f>VLOOKUP(A19, Orders!$A:$C, 3, 0)</f>
        <v>Head Office Café</v>
      </c>
      <c r="I19">
        <f>C19*D19*(1-VLOOKUP(A19,Orders!$A:$G,7,0))</f>
        <v>106.1502</v>
      </c>
      <c r="J19" t="str">
        <f>VLOOKUP(A19,Orders!$A:$G,6,0)</f>
        <v>Breakfast</v>
      </c>
      <c r="K19" t="str">
        <f>VLOOKUP(A19,Orders!$A:$G,5,0)</f>
        <v>Cash</v>
      </c>
    </row>
    <row r="20" spans="1:11" x14ac:dyDescent="0.3">
      <c r="A20" t="s">
        <v>32</v>
      </c>
      <c r="B20" t="s">
        <v>406</v>
      </c>
      <c r="C20">
        <v>1</v>
      </c>
      <c r="D20">
        <f>VLOOKUP(B20, Menu!$A:$F, 6, 0)</f>
        <v>38.06</v>
      </c>
      <c r="E20">
        <f>VLOOKUP(B20, Menu!$A:$F, 5, 0)</f>
        <v>19.55</v>
      </c>
      <c r="F20" t="str">
        <f>VLOOKUP(B20, Menu!$A:$F, 3, 0)</f>
        <v>Snack</v>
      </c>
      <c r="G20" s="5">
        <f>VLOOKUP(A20, Orders!$A:$B, 2, 0)</f>
        <v>45844.161631944437</v>
      </c>
      <c r="H20" t="str">
        <f>VLOOKUP(A20, Orders!$A:$C, 3, 0)</f>
        <v>Head Office Café</v>
      </c>
      <c r="I20">
        <f>C20*D20*(1-VLOOKUP(A20,Orders!$A:$G,7,0))</f>
        <v>35.395800000000001</v>
      </c>
      <c r="J20" t="str">
        <f>VLOOKUP(A20,Orders!$A:$G,6,0)</f>
        <v>Breakfast</v>
      </c>
      <c r="K20" t="str">
        <f>VLOOKUP(A20,Orders!$A:$G,5,0)</f>
        <v>Cash</v>
      </c>
    </row>
    <row r="21" spans="1:11" x14ac:dyDescent="0.3">
      <c r="A21" t="s">
        <v>34</v>
      </c>
      <c r="B21" t="s">
        <v>411</v>
      </c>
      <c r="C21">
        <v>2</v>
      </c>
      <c r="D21">
        <f>VLOOKUP(B21, Menu!$A:$F, 6, 0)</f>
        <v>22.2</v>
      </c>
      <c r="E21">
        <f>VLOOKUP(B21, Menu!$A:$F, 5, 0)</f>
        <v>9.3800000000000008</v>
      </c>
      <c r="F21" t="str">
        <f>VLOOKUP(B21, Menu!$A:$F, 3, 0)</f>
        <v>Beverage</v>
      </c>
      <c r="G21" s="5">
        <f>VLOOKUP(A21, Orders!$A:$B, 2, 0)</f>
        <v>45862.200162037043</v>
      </c>
      <c r="H21" t="str">
        <f>VLOOKUP(A21, Orders!$A:$C, 3, 0)</f>
        <v>Plant 1 Canteen</v>
      </c>
      <c r="I21">
        <f>C21*D21*(1-VLOOKUP(A21,Orders!$A:$G,7,0))</f>
        <v>42.623999999999995</v>
      </c>
      <c r="J21" t="str">
        <f>VLOOKUP(A21,Orders!$A:$G,6,0)</f>
        <v>Breakfast</v>
      </c>
      <c r="K21" t="str">
        <f>VLOOKUP(A21,Orders!$A:$G,5,0)</f>
        <v>Card</v>
      </c>
    </row>
    <row r="22" spans="1:11" x14ac:dyDescent="0.3">
      <c r="A22" t="s">
        <v>34</v>
      </c>
      <c r="B22" t="s">
        <v>407</v>
      </c>
      <c r="C22">
        <v>1</v>
      </c>
      <c r="D22">
        <f>VLOOKUP(B22, Menu!$A:$F, 6, 0)</f>
        <v>246.09</v>
      </c>
      <c r="E22">
        <f>VLOOKUP(B22, Menu!$A:$F, 5, 0)</f>
        <v>112.08</v>
      </c>
      <c r="F22" t="str">
        <f>VLOOKUP(B22, Menu!$A:$F, 3, 0)</f>
        <v>Hot Meal</v>
      </c>
      <c r="G22" s="5">
        <f>VLOOKUP(A22, Orders!$A:$B, 2, 0)</f>
        <v>45862.200162037043</v>
      </c>
      <c r="H22" t="str">
        <f>VLOOKUP(A22, Orders!$A:$C, 3, 0)</f>
        <v>Plant 1 Canteen</v>
      </c>
      <c r="I22">
        <f>C22*D22*(1-VLOOKUP(A22,Orders!$A:$G,7,0))</f>
        <v>236.24639999999999</v>
      </c>
      <c r="J22" t="str">
        <f>VLOOKUP(A22,Orders!$A:$G,6,0)</f>
        <v>Breakfast</v>
      </c>
      <c r="K22" t="str">
        <f>VLOOKUP(A22,Orders!$A:$G,5,0)</f>
        <v>Card</v>
      </c>
    </row>
    <row r="23" spans="1:11" x14ac:dyDescent="0.3">
      <c r="A23" t="s">
        <v>34</v>
      </c>
      <c r="B23" t="s">
        <v>408</v>
      </c>
      <c r="C23">
        <v>1</v>
      </c>
      <c r="D23">
        <f>VLOOKUP(B23, Menu!$A:$F, 6, 0)</f>
        <v>70.540000000000006</v>
      </c>
      <c r="E23">
        <f>VLOOKUP(B23, Menu!$A:$F, 5, 0)</f>
        <v>35.81</v>
      </c>
      <c r="F23" t="str">
        <f>VLOOKUP(B23, Menu!$A:$F, 3, 0)</f>
        <v>Snack</v>
      </c>
      <c r="G23" s="5">
        <f>VLOOKUP(A23, Orders!$A:$B, 2, 0)</f>
        <v>45862.200162037043</v>
      </c>
      <c r="H23" t="str">
        <f>VLOOKUP(A23, Orders!$A:$C, 3, 0)</f>
        <v>Plant 1 Canteen</v>
      </c>
      <c r="I23">
        <f>C23*D23*(1-VLOOKUP(A23,Orders!$A:$G,7,0))</f>
        <v>67.718400000000003</v>
      </c>
      <c r="J23" t="str">
        <f>VLOOKUP(A23,Orders!$A:$G,6,0)</f>
        <v>Breakfast</v>
      </c>
      <c r="K23" t="str">
        <f>VLOOKUP(A23,Orders!$A:$G,5,0)</f>
        <v>Card</v>
      </c>
    </row>
    <row r="24" spans="1:11" x14ac:dyDescent="0.3">
      <c r="A24" t="s">
        <v>34</v>
      </c>
      <c r="B24" t="s">
        <v>403</v>
      </c>
      <c r="C24">
        <v>1</v>
      </c>
      <c r="D24">
        <f>VLOOKUP(B24, Menu!$A:$F, 6, 0)</f>
        <v>76.55</v>
      </c>
      <c r="E24">
        <f>VLOOKUP(B24, Menu!$A:$F, 5, 0)</f>
        <v>38.229999999999997</v>
      </c>
      <c r="F24" t="str">
        <f>VLOOKUP(B24, Menu!$A:$F, 3, 0)</f>
        <v>Dessert</v>
      </c>
      <c r="G24" s="5">
        <f>VLOOKUP(A24, Orders!$A:$B, 2, 0)</f>
        <v>45862.200162037043</v>
      </c>
      <c r="H24" t="str">
        <f>VLOOKUP(A24, Orders!$A:$C, 3, 0)</f>
        <v>Plant 1 Canteen</v>
      </c>
      <c r="I24">
        <f>C24*D24*(1-VLOOKUP(A24,Orders!$A:$G,7,0))</f>
        <v>73.488</v>
      </c>
      <c r="J24" t="str">
        <f>VLOOKUP(A24,Orders!$A:$G,6,0)</f>
        <v>Breakfast</v>
      </c>
      <c r="K24" t="str">
        <f>VLOOKUP(A24,Orders!$A:$G,5,0)</f>
        <v>Card</v>
      </c>
    </row>
    <row r="25" spans="1:11" x14ac:dyDescent="0.3">
      <c r="A25" t="s">
        <v>35</v>
      </c>
      <c r="B25" t="s">
        <v>409</v>
      </c>
      <c r="C25">
        <v>1</v>
      </c>
      <c r="D25">
        <f>VLOOKUP(B25, Menu!$A:$F, 6, 0)</f>
        <v>28.43</v>
      </c>
      <c r="E25">
        <f>VLOOKUP(B25, Menu!$A:$F, 5, 0)</f>
        <v>13.89</v>
      </c>
      <c r="F25" t="str">
        <f>VLOOKUP(B25, Menu!$A:$F, 3, 0)</f>
        <v>Beverage</v>
      </c>
      <c r="G25" s="5">
        <f>VLOOKUP(A25, Orders!$A:$B, 2, 0)</f>
        <v>45860.002800925933</v>
      </c>
      <c r="H25" t="str">
        <f>VLOOKUP(A25, Orders!$A:$C, 3, 0)</f>
        <v>Plant 2 Canteen</v>
      </c>
      <c r="I25">
        <f>C25*D25*(1-VLOOKUP(A25,Orders!$A:$G,7,0))</f>
        <v>27.577099999999998</v>
      </c>
      <c r="J25" t="str">
        <f>VLOOKUP(A25,Orders!$A:$G,6,0)</f>
        <v>Breakfast</v>
      </c>
      <c r="K25" t="str">
        <f>VLOOKUP(A25,Orders!$A:$G,5,0)</f>
        <v>Cash</v>
      </c>
    </row>
    <row r="26" spans="1:11" x14ac:dyDescent="0.3">
      <c r="A26" t="s">
        <v>37</v>
      </c>
      <c r="B26" t="s">
        <v>413</v>
      </c>
      <c r="C26">
        <v>1</v>
      </c>
      <c r="D26">
        <f>VLOOKUP(B26, Menu!$A:$F, 6, 0)</f>
        <v>54.2</v>
      </c>
      <c r="E26">
        <f>VLOOKUP(B26, Menu!$A:$F, 5, 0)</f>
        <v>21.95</v>
      </c>
      <c r="F26" t="str">
        <f>VLOOKUP(B26, Menu!$A:$F, 3, 0)</f>
        <v>Dessert</v>
      </c>
      <c r="G26" s="5">
        <f>VLOOKUP(A26, Orders!$A:$B, 2, 0)</f>
        <v>45839.45925925926</v>
      </c>
      <c r="H26" t="str">
        <f>VLOOKUP(A26, Orders!$A:$C, 3, 0)</f>
        <v>Plant 2 Canteen</v>
      </c>
      <c r="I26">
        <f>C26*D26*(1-VLOOKUP(A26,Orders!$A:$G,7,0))</f>
        <v>49.864000000000004</v>
      </c>
      <c r="J26" t="str">
        <f>VLOOKUP(A26,Orders!$A:$G,6,0)</f>
        <v>Lunch</v>
      </c>
      <c r="K26" t="str">
        <f>VLOOKUP(A26,Orders!$A:$G,5,0)</f>
        <v>Card</v>
      </c>
    </row>
    <row r="27" spans="1:11" x14ac:dyDescent="0.3">
      <c r="A27" t="s">
        <v>37</v>
      </c>
      <c r="B27" t="s">
        <v>401</v>
      </c>
      <c r="C27">
        <v>1</v>
      </c>
      <c r="D27">
        <f>VLOOKUP(B27, Menu!$A:$F, 6, 0)</f>
        <v>52.45</v>
      </c>
      <c r="E27">
        <f>VLOOKUP(B27, Menu!$A:$F, 5, 0)</f>
        <v>25.8</v>
      </c>
      <c r="F27" t="str">
        <f>VLOOKUP(B27, Menu!$A:$F, 3, 0)</f>
        <v>Snack</v>
      </c>
      <c r="G27" s="5">
        <f>VLOOKUP(A27, Orders!$A:$B, 2, 0)</f>
        <v>45839.45925925926</v>
      </c>
      <c r="H27" t="str">
        <f>VLOOKUP(A27, Orders!$A:$C, 3, 0)</f>
        <v>Plant 2 Canteen</v>
      </c>
      <c r="I27">
        <f>C27*D27*(1-VLOOKUP(A27,Orders!$A:$G,7,0))</f>
        <v>48.254000000000005</v>
      </c>
      <c r="J27" t="str">
        <f>VLOOKUP(A27,Orders!$A:$G,6,0)</f>
        <v>Lunch</v>
      </c>
      <c r="K27" t="str">
        <f>VLOOKUP(A27,Orders!$A:$G,5,0)</f>
        <v>Card</v>
      </c>
    </row>
    <row r="28" spans="1:11" x14ac:dyDescent="0.3">
      <c r="A28" t="s">
        <v>39</v>
      </c>
      <c r="B28" t="s">
        <v>403</v>
      </c>
      <c r="C28">
        <v>3</v>
      </c>
      <c r="D28">
        <f>VLOOKUP(B28, Menu!$A:$F, 6, 0)</f>
        <v>76.55</v>
      </c>
      <c r="E28">
        <f>VLOOKUP(B28, Menu!$A:$F, 5, 0)</f>
        <v>38.229999999999997</v>
      </c>
      <c r="F28" t="str">
        <f>VLOOKUP(B28, Menu!$A:$F, 3, 0)</f>
        <v>Dessert</v>
      </c>
      <c r="G28" s="5">
        <f>VLOOKUP(A28, Orders!$A:$B, 2, 0)</f>
        <v>45880.31994212963</v>
      </c>
      <c r="H28" t="str">
        <f>VLOOKUP(A28, Orders!$A:$C, 3, 0)</f>
        <v>Head Office Café</v>
      </c>
      <c r="I28">
        <f>C28*D28*(1-VLOOKUP(A28,Orders!$A:$G,7,0))</f>
        <v>206.68499999999997</v>
      </c>
      <c r="J28" t="str">
        <f>VLOOKUP(A28,Orders!$A:$G,6,0)</f>
        <v>Breakfast</v>
      </c>
      <c r="K28" t="str">
        <f>VLOOKUP(A28,Orders!$A:$G,5,0)</f>
        <v>UPI</v>
      </c>
    </row>
    <row r="29" spans="1:11" x14ac:dyDescent="0.3">
      <c r="A29" t="s">
        <v>39</v>
      </c>
      <c r="B29" t="s">
        <v>402</v>
      </c>
      <c r="C29">
        <v>2</v>
      </c>
      <c r="D29">
        <f>VLOOKUP(B29, Menu!$A:$F, 6, 0)</f>
        <v>30.34</v>
      </c>
      <c r="E29">
        <f>VLOOKUP(B29, Menu!$A:$F, 5, 0)</f>
        <v>14.18</v>
      </c>
      <c r="F29" t="str">
        <f>VLOOKUP(B29, Menu!$A:$F, 3, 0)</f>
        <v>Beverage</v>
      </c>
      <c r="G29" s="5">
        <f>VLOOKUP(A29, Orders!$A:$B, 2, 0)</f>
        <v>45880.31994212963</v>
      </c>
      <c r="H29" t="str">
        <f>VLOOKUP(A29, Orders!$A:$C, 3, 0)</f>
        <v>Head Office Café</v>
      </c>
      <c r="I29">
        <f>C29*D29*(1-VLOOKUP(A29,Orders!$A:$G,7,0))</f>
        <v>54.612000000000002</v>
      </c>
      <c r="J29" t="str">
        <f>VLOOKUP(A29,Orders!$A:$G,6,0)</f>
        <v>Breakfast</v>
      </c>
      <c r="K29" t="str">
        <f>VLOOKUP(A29,Orders!$A:$G,5,0)</f>
        <v>UPI</v>
      </c>
    </row>
    <row r="30" spans="1:11" x14ac:dyDescent="0.3">
      <c r="A30" t="s">
        <v>39</v>
      </c>
      <c r="B30" t="s">
        <v>414</v>
      </c>
      <c r="C30">
        <v>3</v>
      </c>
      <c r="D30">
        <f>VLOOKUP(B30, Menu!$A:$F, 6, 0)</f>
        <v>116.8</v>
      </c>
      <c r="E30">
        <f>VLOOKUP(B30, Menu!$A:$F, 5, 0)</f>
        <v>48.97</v>
      </c>
      <c r="F30" t="str">
        <f>VLOOKUP(B30, Menu!$A:$F, 3, 0)</f>
        <v>Dessert</v>
      </c>
      <c r="G30" s="5">
        <f>VLOOKUP(A30, Orders!$A:$B, 2, 0)</f>
        <v>45880.31994212963</v>
      </c>
      <c r="H30" t="str">
        <f>VLOOKUP(A30, Orders!$A:$C, 3, 0)</f>
        <v>Head Office Café</v>
      </c>
      <c r="I30">
        <f>C30*D30*(1-VLOOKUP(A30,Orders!$A:$G,7,0))</f>
        <v>315.36</v>
      </c>
      <c r="J30" t="str">
        <f>VLOOKUP(A30,Orders!$A:$G,6,0)</f>
        <v>Breakfast</v>
      </c>
      <c r="K30" t="str">
        <f>VLOOKUP(A30,Orders!$A:$G,5,0)</f>
        <v>UPI</v>
      </c>
    </row>
    <row r="31" spans="1:11" x14ac:dyDescent="0.3">
      <c r="A31" t="s">
        <v>39</v>
      </c>
      <c r="B31" t="s">
        <v>415</v>
      </c>
      <c r="C31">
        <v>1</v>
      </c>
      <c r="D31">
        <f>VLOOKUP(B31, Menu!$A:$F, 6, 0)</f>
        <v>256.91000000000003</v>
      </c>
      <c r="E31">
        <f>VLOOKUP(B31, Menu!$A:$F, 5, 0)</f>
        <v>121.24</v>
      </c>
      <c r="F31" t="str">
        <f>VLOOKUP(B31, Menu!$A:$F, 3, 0)</f>
        <v>Hot Meal</v>
      </c>
      <c r="G31" s="5">
        <f>VLOOKUP(A31, Orders!$A:$B, 2, 0)</f>
        <v>45880.31994212963</v>
      </c>
      <c r="H31" t="str">
        <f>VLOOKUP(A31, Orders!$A:$C, 3, 0)</f>
        <v>Head Office Café</v>
      </c>
      <c r="I31">
        <f>C31*D31*(1-VLOOKUP(A31,Orders!$A:$G,7,0))</f>
        <v>231.21900000000002</v>
      </c>
      <c r="J31" t="str">
        <f>VLOOKUP(A31,Orders!$A:$G,6,0)</f>
        <v>Breakfast</v>
      </c>
      <c r="K31" t="str">
        <f>VLOOKUP(A31,Orders!$A:$G,5,0)</f>
        <v>UPI</v>
      </c>
    </row>
    <row r="32" spans="1:11" x14ac:dyDescent="0.3">
      <c r="A32" t="s">
        <v>40</v>
      </c>
      <c r="B32" t="s">
        <v>409</v>
      </c>
      <c r="C32">
        <v>1</v>
      </c>
      <c r="D32">
        <f>VLOOKUP(B32, Menu!$A:$F, 6, 0)</f>
        <v>28.43</v>
      </c>
      <c r="E32">
        <f>VLOOKUP(B32, Menu!$A:$F, 5, 0)</f>
        <v>13.89</v>
      </c>
      <c r="F32" t="str">
        <f>VLOOKUP(B32, Menu!$A:$F, 3, 0)</f>
        <v>Beverage</v>
      </c>
      <c r="G32" s="5">
        <f>VLOOKUP(A32, Orders!$A:$B, 2, 0)</f>
        <v>45854.279270833344</v>
      </c>
      <c r="H32" t="str">
        <f>VLOOKUP(A32, Orders!$A:$C, 3, 0)</f>
        <v>Plant 1 Canteen</v>
      </c>
      <c r="I32">
        <f>C32*D32*(1-VLOOKUP(A32,Orders!$A:$G,7,0))</f>
        <v>25.587</v>
      </c>
      <c r="J32" t="str">
        <f>VLOOKUP(A32,Orders!$A:$G,6,0)</f>
        <v>Breakfast</v>
      </c>
      <c r="K32" t="str">
        <f>VLOOKUP(A32,Orders!$A:$G,5,0)</f>
        <v>Cash</v>
      </c>
    </row>
    <row r="33" spans="1:11" x14ac:dyDescent="0.3">
      <c r="A33" t="s">
        <v>40</v>
      </c>
      <c r="B33" t="s">
        <v>403</v>
      </c>
      <c r="C33">
        <v>2</v>
      </c>
      <c r="D33">
        <f>VLOOKUP(B33, Menu!$A:$F, 6, 0)</f>
        <v>76.55</v>
      </c>
      <c r="E33">
        <f>VLOOKUP(B33, Menu!$A:$F, 5, 0)</f>
        <v>38.229999999999997</v>
      </c>
      <c r="F33" t="str">
        <f>VLOOKUP(B33, Menu!$A:$F, 3, 0)</f>
        <v>Dessert</v>
      </c>
      <c r="G33" s="5">
        <f>VLOOKUP(A33, Orders!$A:$B, 2, 0)</f>
        <v>45854.279270833344</v>
      </c>
      <c r="H33" t="str">
        <f>VLOOKUP(A33, Orders!$A:$C, 3, 0)</f>
        <v>Plant 1 Canteen</v>
      </c>
      <c r="I33">
        <f>C33*D33*(1-VLOOKUP(A33,Orders!$A:$G,7,0))</f>
        <v>137.79</v>
      </c>
      <c r="J33" t="str">
        <f>VLOOKUP(A33,Orders!$A:$G,6,0)</f>
        <v>Breakfast</v>
      </c>
      <c r="K33" t="str">
        <f>VLOOKUP(A33,Orders!$A:$G,5,0)</f>
        <v>Cash</v>
      </c>
    </row>
    <row r="34" spans="1:11" x14ac:dyDescent="0.3">
      <c r="A34" t="s">
        <v>40</v>
      </c>
      <c r="B34" t="s">
        <v>410</v>
      </c>
      <c r="C34">
        <v>1</v>
      </c>
      <c r="D34">
        <f>VLOOKUP(B34, Menu!$A:$F, 6, 0)</f>
        <v>20.11</v>
      </c>
      <c r="E34">
        <f>VLOOKUP(B34, Menu!$A:$F, 5, 0)</f>
        <v>8</v>
      </c>
      <c r="F34" t="str">
        <f>VLOOKUP(B34, Menu!$A:$F, 3, 0)</f>
        <v>Beverage</v>
      </c>
      <c r="G34" s="5">
        <f>VLOOKUP(A34, Orders!$A:$B, 2, 0)</f>
        <v>45854.279270833344</v>
      </c>
      <c r="H34" t="str">
        <f>VLOOKUP(A34, Orders!$A:$C, 3, 0)</f>
        <v>Plant 1 Canteen</v>
      </c>
      <c r="I34">
        <f>C34*D34*(1-VLOOKUP(A34,Orders!$A:$G,7,0))</f>
        <v>18.099</v>
      </c>
      <c r="J34" t="str">
        <f>VLOOKUP(A34,Orders!$A:$G,6,0)</f>
        <v>Breakfast</v>
      </c>
      <c r="K34" t="str">
        <f>VLOOKUP(A34,Orders!$A:$G,5,0)</f>
        <v>Cash</v>
      </c>
    </row>
    <row r="35" spans="1:11" x14ac:dyDescent="0.3">
      <c r="A35" t="s">
        <v>42</v>
      </c>
      <c r="B35" t="s">
        <v>405</v>
      </c>
      <c r="C35">
        <v>1</v>
      </c>
      <c r="D35">
        <f>VLOOKUP(B35, Menu!$A:$F, 6, 0)</f>
        <v>170.83</v>
      </c>
      <c r="E35">
        <f>VLOOKUP(B35, Menu!$A:$F, 5, 0)</f>
        <v>74.069999999999993</v>
      </c>
      <c r="F35" t="str">
        <f>VLOOKUP(B35, Menu!$A:$F, 3, 0)</f>
        <v>Hot Meal</v>
      </c>
      <c r="G35" s="5">
        <f>VLOOKUP(A35, Orders!$A:$B, 2, 0)</f>
        <v>45895.482824074083</v>
      </c>
      <c r="H35" t="str">
        <f>VLOOKUP(A35, Orders!$A:$C, 3, 0)</f>
        <v>Head Office Café</v>
      </c>
      <c r="I35">
        <f>C35*D35*(1-VLOOKUP(A35,Orders!$A:$G,7,0))</f>
        <v>165.70510000000002</v>
      </c>
      <c r="J35" t="str">
        <f>VLOOKUP(A35,Orders!$A:$G,6,0)</f>
        <v>Lunch</v>
      </c>
      <c r="K35" t="str">
        <f>VLOOKUP(A35,Orders!$A:$G,5,0)</f>
        <v>Cash</v>
      </c>
    </row>
    <row r="36" spans="1:11" x14ac:dyDescent="0.3">
      <c r="A36" t="s">
        <v>42</v>
      </c>
      <c r="B36" t="s">
        <v>404</v>
      </c>
      <c r="C36">
        <v>3</v>
      </c>
      <c r="D36">
        <f>VLOOKUP(B36, Menu!$A:$F, 6, 0)</f>
        <v>32.979999999999997</v>
      </c>
      <c r="E36">
        <f>VLOOKUP(B36, Menu!$A:$F, 5, 0)</f>
        <v>11.84</v>
      </c>
      <c r="F36" t="str">
        <f>VLOOKUP(B36, Menu!$A:$F, 3, 0)</f>
        <v>Beverage</v>
      </c>
      <c r="G36" s="5">
        <f>VLOOKUP(A36, Orders!$A:$B, 2, 0)</f>
        <v>45895.482824074083</v>
      </c>
      <c r="H36" t="str">
        <f>VLOOKUP(A36, Orders!$A:$C, 3, 0)</f>
        <v>Head Office Café</v>
      </c>
      <c r="I36">
        <f>C36*D36*(1-VLOOKUP(A36,Orders!$A:$G,7,0))</f>
        <v>95.971800000000002</v>
      </c>
      <c r="J36" t="str">
        <f>VLOOKUP(A36,Orders!$A:$G,6,0)</f>
        <v>Lunch</v>
      </c>
      <c r="K36" t="str">
        <f>VLOOKUP(A36,Orders!$A:$G,5,0)</f>
        <v>Cash</v>
      </c>
    </row>
    <row r="37" spans="1:11" x14ac:dyDescent="0.3">
      <c r="A37" t="s">
        <v>42</v>
      </c>
      <c r="B37" t="s">
        <v>403</v>
      </c>
      <c r="C37">
        <v>2</v>
      </c>
      <c r="D37">
        <f>VLOOKUP(B37, Menu!$A:$F, 6, 0)</f>
        <v>76.55</v>
      </c>
      <c r="E37">
        <f>VLOOKUP(B37, Menu!$A:$F, 5, 0)</f>
        <v>38.229999999999997</v>
      </c>
      <c r="F37" t="str">
        <f>VLOOKUP(B37, Menu!$A:$F, 3, 0)</f>
        <v>Dessert</v>
      </c>
      <c r="G37" s="5">
        <f>VLOOKUP(A37, Orders!$A:$B, 2, 0)</f>
        <v>45895.482824074083</v>
      </c>
      <c r="H37" t="str">
        <f>VLOOKUP(A37, Orders!$A:$C, 3, 0)</f>
        <v>Head Office Café</v>
      </c>
      <c r="I37">
        <f>C37*D37*(1-VLOOKUP(A37,Orders!$A:$G,7,0))</f>
        <v>148.50699999999998</v>
      </c>
      <c r="J37" t="str">
        <f>VLOOKUP(A37,Orders!$A:$G,6,0)</f>
        <v>Lunch</v>
      </c>
      <c r="K37" t="str">
        <f>VLOOKUP(A37,Orders!$A:$G,5,0)</f>
        <v>Cash</v>
      </c>
    </row>
    <row r="38" spans="1:11" x14ac:dyDescent="0.3">
      <c r="A38" t="s">
        <v>44</v>
      </c>
      <c r="B38" t="s">
        <v>412</v>
      </c>
      <c r="C38">
        <v>1</v>
      </c>
      <c r="D38">
        <f>VLOOKUP(B38, Menu!$A:$F, 6, 0)</f>
        <v>57.07</v>
      </c>
      <c r="E38">
        <f>VLOOKUP(B38, Menu!$A:$F, 5, 0)</f>
        <v>29.14</v>
      </c>
      <c r="F38" t="str">
        <f>VLOOKUP(B38, Menu!$A:$F, 3, 0)</f>
        <v>Dessert</v>
      </c>
      <c r="G38" s="5">
        <f>VLOOKUP(A38, Orders!$A:$B, 2, 0)</f>
        <v>45844.800196759257</v>
      </c>
      <c r="H38" t="str">
        <f>VLOOKUP(A38, Orders!$A:$C, 3, 0)</f>
        <v>Plant 1 Canteen</v>
      </c>
      <c r="I38">
        <f>C38*D38*(1-VLOOKUP(A38,Orders!$A:$G,7,0))</f>
        <v>54.216499999999996</v>
      </c>
      <c r="J38" t="str">
        <f>VLOOKUP(A38,Orders!$A:$G,6,0)</f>
        <v>Dinner</v>
      </c>
      <c r="K38" t="str">
        <f>VLOOKUP(A38,Orders!$A:$G,5,0)</f>
        <v>Card</v>
      </c>
    </row>
    <row r="39" spans="1:11" x14ac:dyDescent="0.3">
      <c r="A39" t="s">
        <v>44</v>
      </c>
      <c r="B39" t="s">
        <v>408</v>
      </c>
      <c r="C39">
        <v>1</v>
      </c>
      <c r="D39">
        <f>VLOOKUP(B39, Menu!$A:$F, 6, 0)</f>
        <v>70.540000000000006</v>
      </c>
      <c r="E39">
        <f>VLOOKUP(B39, Menu!$A:$F, 5, 0)</f>
        <v>35.81</v>
      </c>
      <c r="F39" t="str">
        <f>VLOOKUP(B39, Menu!$A:$F, 3, 0)</f>
        <v>Snack</v>
      </c>
      <c r="G39" s="5">
        <f>VLOOKUP(A39, Orders!$A:$B, 2, 0)</f>
        <v>45844.800196759257</v>
      </c>
      <c r="H39" t="str">
        <f>VLOOKUP(A39, Orders!$A:$C, 3, 0)</f>
        <v>Plant 1 Canteen</v>
      </c>
      <c r="I39">
        <f>C39*D39*(1-VLOOKUP(A39,Orders!$A:$G,7,0))</f>
        <v>67.013000000000005</v>
      </c>
      <c r="J39" t="str">
        <f>VLOOKUP(A39,Orders!$A:$G,6,0)</f>
        <v>Dinner</v>
      </c>
      <c r="K39" t="str">
        <f>VLOOKUP(A39,Orders!$A:$G,5,0)</f>
        <v>Card</v>
      </c>
    </row>
    <row r="40" spans="1:11" x14ac:dyDescent="0.3">
      <c r="A40" t="s">
        <v>44</v>
      </c>
      <c r="B40" t="s">
        <v>401</v>
      </c>
      <c r="C40">
        <v>3</v>
      </c>
      <c r="D40">
        <f>VLOOKUP(B40, Menu!$A:$F, 6, 0)</f>
        <v>52.45</v>
      </c>
      <c r="E40">
        <f>VLOOKUP(B40, Menu!$A:$F, 5, 0)</f>
        <v>25.8</v>
      </c>
      <c r="F40" t="str">
        <f>VLOOKUP(B40, Menu!$A:$F, 3, 0)</f>
        <v>Snack</v>
      </c>
      <c r="G40" s="5">
        <f>VLOOKUP(A40, Orders!$A:$B, 2, 0)</f>
        <v>45844.800196759257</v>
      </c>
      <c r="H40" t="str">
        <f>VLOOKUP(A40, Orders!$A:$C, 3, 0)</f>
        <v>Plant 1 Canteen</v>
      </c>
      <c r="I40">
        <f>C40*D40*(1-VLOOKUP(A40,Orders!$A:$G,7,0))</f>
        <v>149.48250000000002</v>
      </c>
      <c r="J40" t="str">
        <f>VLOOKUP(A40,Orders!$A:$G,6,0)</f>
        <v>Dinner</v>
      </c>
      <c r="K40" t="str">
        <f>VLOOKUP(A40,Orders!$A:$G,5,0)</f>
        <v>Card</v>
      </c>
    </row>
    <row r="41" spans="1:11" x14ac:dyDescent="0.3">
      <c r="A41" t="s">
        <v>44</v>
      </c>
      <c r="B41" t="s">
        <v>416</v>
      </c>
      <c r="C41">
        <v>1</v>
      </c>
      <c r="D41">
        <f>VLOOKUP(B41, Menu!$A:$F, 6, 0)</f>
        <v>227.61</v>
      </c>
      <c r="E41">
        <f>VLOOKUP(B41, Menu!$A:$F, 5, 0)</f>
        <v>96.22</v>
      </c>
      <c r="F41" t="str">
        <f>VLOOKUP(B41, Menu!$A:$F, 3, 0)</f>
        <v>Hot Meal</v>
      </c>
      <c r="G41" s="5">
        <f>VLOOKUP(A41, Orders!$A:$B, 2, 0)</f>
        <v>45844.800196759257</v>
      </c>
      <c r="H41" t="str">
        <f>VLOOKUP(A41, Orders!$A:$C, 3, 0)</f>
        <v>Plant 1 Canteen</v>
      </c>
      <c r="I41">
        <f>C41*D41*(1-VLOOKUP(A41,Orders!$A:$G,7,0))</f>
        <v>216.2295</v>
      </c>
      <c r="J41" t="str">
        <f>VLOOKUP(A41,Orders!$A:$G,6,0)</f>
        <v>Dinner</v>
      </c>
      <c r="K41" t="str">
        <f>VLOOKUP(A41,Orders!$A:$G,5,0)</f>
        <v>Card</v>
      </c>
    </row>
    <row r="42" spans="1:11" x14ac:dyDescent="0.3">
      <c r="A42" t="s">
        <v>46</v>
      </c>
      <c r="B42" t="s">
        <v>404</v>
      </c>
      <c r="C42">
        <v>1</v>
      </c>
      <c r="D42">
        <f>VLOOKUP(B42, Menu!$A:$F, 6, 0)</f>
        <v>32.979999999999997</v>
      </c>
      <c r="E42">
        <f>VLOOKUP(B42, Menu!$A:$F, 5, 0)</f>
        <v>11.84</v>
      </c>
      <c r="F42" t="str">
        <f>VLOOKUP(B42, Menu!$A:$F, 3, 0)</f>
        <v>Beverage</v>
      </c>
      <c r="G42" s="5">
        <f>VLOOKUP(A42, Orders!$A:$B, 2, 0)</f>
        <v>45890.81722222222</v>
      </c>
      <c r="H42" t="str">
        <f>VLOOKUP(A42, Orders!$A:$C, 3, 0)</f>
        <v>Plant 1 Canteen</v>
      </c>
      <c r="I42">
        <f>C42*D42*(1-VLOOKUP(A42,Orders!$A:$G,7,0))</f>
        <v>30.671399999999995</v>
      </c>
      <c r="J42" t="str">
        <f>VLOOKUP(A42,Orders!$A:$G,6,0)</f>
        <v>Dinner</v>
      </c>
      <c r="K42" t="str">
        <f>VLOOKUP(A42,Orders!$A:$G,5,0)</f>
        <v>UPI</v>
      </c>
    </row>
    <row r="43" spans="1:11" x14ac:dyDescent="0.3">
      <c r="A43" t="s">
        <v>47</v>
      </c>
      <c r="B43" t="s">
        <v>414</v>
      </c>
      <c r="C43">
        <v>1</v>
      </c>
      <c r="D43">
        <f>VLOOKUP(B43, Menu!$A:$F, 6, 0)</f>
        <v>116.8</v>
      </c>
      <c r="E43">
        <f>VLOOKUP(B43, Menu!$A:$F, 5, 0)</f>
        <v>48.97</v>
      </c>
      <c r="F43" t="str">
        <f>VLOOKUP(B43, Menu!$A:$F, 3, 0)</f>
        <v>Dessert</v>
      </c>
      <c r="G43" s="5">
        <f>VLOOKUP(A43, Orders!$A:$B, 2, 0)</f>
        <v>45857.291805555556</v>
      </c>
      <c r="H43" t="str">
        <f>VLOOKUP(A43, Orders!$A:$C, 3, 0)</f>
        <v>Plant 1 Canteen</v>
      </c>
      <c r="I43">
        <f>C43*D43*(1-VLOOKUP(A43,Orders!$A:$G,7,0))</f>
        <v>105.12</v>
      </c>
      <c r="J43" t="str">
        <f>VLOOKUP(A43,Orders!$A:$G,6,0)</f>
        <v>Breakfast</v>
      </c>
      <c r="K43" t="str">
        <f>VLOOKUP(A43,Orders!$A:$G,5,0)</f>
        <v>Cash</v>
      </c>
    </row>
    <row r="44" spans="1:11" x14ac:dyDescent="0.3">
      <c r="A44" t="s">
        <v>47</v>
      </c>
      <c r="B44" t="s">
        <v>404</v>
      </c>
      <c r="C44">
        <v>2</v>
      </c>
      <c r="D44">
        <f>VLOOKUP(B44, Menu!$A:$F, 6, 0)</f>
        <v>32.979999999999997</v>
      </c>
      <c r="E44">
        <f>VLOOKUP(B44, Menu!$A:$F, 5, 0)</f>
        <v>11.84</v>
      </c>
      <c r="F44" t="str">
        <f>VLOOKUP(B44, Menu!$A:$F, 3, 0)</f>
        <v>Beverage</v>
      </c>
      <c r="G44" s="5">
        <f>VLOOKUP(A44, Orders!$A:$B, 2, 0)</f>
        <v>45857.291805555556</v>
      </c>
      <c r="H44" t="str">
        <f>VLOOKUP(A44, Orders!$A:$C, 3, 0)</f>
        <v>Plant 1 Canteen</v>
      </c>
      <c r="I44">
        <f>C44*D44*(1-VLOOKUP(A44,Orders!$A:$G,7,0))</f>
        <v>59.363999999999997</v>
      </c>
      <c r="J44" t="str">
        <f>VLOOKUP(A44,Orders!$A:$G,6,0)</f>
        <v>Breakfast</v>
      </c>
      <c r="K44" t="str">
        <f>VLOOKUP(A44,Orders!$A:$G,5,0)</f>
        <v>Cash</v>
      </c>
    </row>
    <row r="45" spans="1:11" x14ac:dyDescent="0.3">
      <c r="A45" t="s">
        <v>49</v>
      </c>
      <c r="B45" t="s">
        <v>417</v>
      </c>
      <c r="C45">
        <v>1</v>
      </c>
      <c r="D45">
        <f>VLOOKUP(B45, Menu!$A:$F, 6, 0)</f>
        <v>146.4</v>
      </c>
      <c r="E45">
        <f>VLOOKUP(B45, Menu!$A:$F, 5, 0)</f>
        <v>80.92</v>
      </c>
      <c r="F45" t="str">
        <f>VLOOKUP(B45, Menu!$A:$F, 3, 0)</f>
        <v>Hot Meal</v>
      </c>
      <c r="G45" s="5">
        <f>VLOOKUP(A45, Orders!$A:$B, 2, 0)</f>
        <v>45878.452708333331</v>
      </c>
      <c r="H45" t="str">
        <f>VLOOKUP(A45, Orders!$A:$C, 3, 0)</f>
        <v>Plant 1 Canteen</v>
      </c>
      <c r="I45">
        <f>C45*D45*(1-VLOOKUP(A45,Orders!$A:$G,7,0))</f>
        <v>140.54400000000001</v>
      </c>
      <c r="J45" t="str">
        <f>VLOOKUP(A45,Orders!$A:$G,6,0)</f>
        <v>Breakfast</v>
      </c>
      <c r="K45" t="str">
        <f>VLOOKUP(A45,Orders!$A:$G,5,0)</f>
        <v>Cash</v>
      </c>
    </row>
    <row r="46" spans="1:11" x14ac:dyDescent="0.3">
      <c r="A46" t="s">
        <v>49</v>
      </c>
      <c r="B46" t="s">
        <v>408</v>
      </c>
      <c r="C46">
        <v>1</v>
      </c>
      <c r="D46">
        <f>VLOOKUP(B46, Menu!$A:$F, 6, 0)</f>
        <v>70.540000000000006</v>
      </c>
      <c r="E46">
        <f>VLOOKUP(B46, Menu!$A:$F, 5, 0)</f>
        <v>35.81</v>
      </c>
      <c r="F46" t="str">
        <f>VLOOKUP(B46, Menu!$A:$F, 3, 0)</f>
        <v>Snack</v>
      </c>
      <c r="G46" s="5">
        <f>VLOOKUP(A46, Orders!$A:$B, 2, 0)</f>
        <v>45878.452708333331</v>
      </c>
      <c r="H46" t="str">
        <f>VLOOKUP(A46, Orders!$A:$C, 3, 0)</f>
        <v>Plant 1 Canteen</v>
      </c>
      <c r="I46">
        <f>C46*D46*(1-VLOOKUP(A46,Orders!$A:$G,7,0))</f>
        <v>67.718400000000003</v>
      </c>
      <c r="J46" t="str">
        <f>VLOOKUP(A46,Orders!$A:$G,6,0)</f>
        <v>Breakfast</v>
      </c>
      <c r="K46" t="str">
        <f>VLOOKUP(A46,Orders!$A:$G,5,0)</f>
        <v>Cash</v>
      </c>
    </row>
    <row r="47" spans="1:11" x14ac:dyDescent="0.3">
      <c r="A47" t="s">
        <v>49</v>
      </c>
      <c r="B47" t="s">
        <v>415</v>
      </c>
      <c r="C47">
        <v>2</v>
      </c>
      <c r="D47">
        <f>VLOOKUP(B47, Menu!$A:$F, 6, 0)</f>
        <v>256.91000000000003</v>
      </c>
      <c r="E47">
        <f>VLOOKUP(B47, Menu!$A:$F, 5, 0)</f>
        <v>121.24</v>
      </c>
      <c r="F47" t="str">
        <f>VLOOKUP(B47, Menu!$A:$F, 3, 0)</f>
        <v>Hot Meal</v>
      </c>
      <c r="G47" s="5">
        <f>VLOOKUP(A47, Orders!$A:$B, 2, 0)</f>
        <v>45878.452708333331</v>
      </c>
      <c r="H47" t="str">
        <f>VLOOKUP(A47, Orders!$A:$C, 3, 0)</f>
        <v>Plant 1 Canteen</v>
      </c>
      <c r="I47">
        <f>C47*D47*(1-VLOOKUP(A47,Orders!$A:$G,7,0))</f>
        <v>493.2672</v>
      </c>
      <c r="J47" t="str">
        <f>VLOOKUP(A47,Orders!$A:$G,6,0)</f>
        <v>Breakfast</v>
      </c>
      <c r="K47" t="str">
        <f>VLOOKUP(A47,Orders!$A:$G,5,0)</f>
        <v>Cash</v>
      </c>
    </row>
    <row r="48" spans="1:11" x14ac:dyDescent="0.3">
      <c r="A48" t="s">
        <v>50</v>
      </c>
      <c r="B48" t="s">
        <v>413</v>
      </c>
      <c r="C48">
        <v>3</v>
      </c>
      <c r="D48">
        <f>VLOOKUP(B48, Menu!$A:$F, 6, 0)</f>
        <v>54.2</v>
      </c>
      <c r="E48">
        <f>VLOOKUP(B48, Menu!$A:$F, 5, 0)</f>
        <v>21.95</v>
      </c>
      <c r="F48" t="str">
        <f>VLOOKUP(B48, Menu!$A:$F, 3, 0)</f>
        <v>Dessert</v>
      </c>
      <c r="G48" s="5">
        <f>VLOOKUP(A48, Orders!$A:$B, 2, 0)</f>
        <v>45847.209791666668</v>
      </c>
      <c r="H48" t="str">
        <f>VLOOKUP(A48, Orders!$A:$C, 3, 0)</f>
        <v>Plant 2 Canteen</v>
      </c>
      <c r="I48">
        <f>C48*D48*(1-VLOOKUP(A48,Orders!$A:$G,7,0))</f>
        <v>154.47000000000003</v>
      </c>
      <c r="J48" t="str">
        <f>VLOOKUP(A48,Orders!$A:$G,6,0)</f>
        <v>Breakfast</v>
      </c>
      <c r="K48" t="str">
        <f>VLOOKUP(A48,Orders!$A:$G,5,0)</f>
        <v>UPI</v>
      </c>
    </row>
    <row r="49" spans="1:11" x14ac:dyDescent="0.3">
      <c r="A49" t="s">
        <v>50</v>
      </c>
      <c r="B49" t="s">
        <v>416</v>
      </c>
      <c r="C49">
        <v>1</v>
      </c>
      <c r="D49">
        <f>VLOOKUP(B49, Menu!$A:$F, 6, 0)</f>
        <v>227.61</v>
      </c>
      <c r="E49">
        <f>VLOOKUP(B49, Menu!$A:$F, 5, 0)</f>
        <v>96.22</v>
      </c>
      <c r="F49" t="str">
        <f>VLOOKUP(B49, Menu!$A:$F, 3, 0)</f>
        <v>Hot Meal</v>
      </c>
      <c r="G49" s="5">
        <f>VLOOKUP(A49, Orders!$A:$B, 2, 0)</f>
        <v>45847.209791666668</v>
      </c>
      <c r="H49" t="str">
        <f>VLOOKUP(A49, Orders!$A:$C, 3, 0)</f>
        <v>Plant 2 Canteen</v>
      </c>
      <c r="I49">
        <f>C49*D49*(1-VLOOKUP(A49,Orders!$A:$G,7,0))</f>
        <v>216.2295</v>
      </c>
      <c r="J49" t="str">
        <f>VLOOKUP(A49,Orders!$A:$G,6,0)</f>
        <v>Breakfast</v>
      </c>
      <c r="K49" t="str">
        <f>VLOOKUP(A49,Orders!$A:$G,5,0)</f>
        <v>UPI</v>
      </c>
    </row>
    <row r="50" spans="1:11" x14ac:dyDescent="0.3">
      <c r="A50" t="s">
        <v>50</v>
      </c>
      <c r="B50" t="s">
        <v>404</v>
      </c>
      <c r="C50">
        <v>1</v>
      </c>
      <c r="D50">
        <f>VLOOKUP(B50, Menu!$A:$F, 6, 0)</f>
        <v>32.979999999999997</v>
      </c>
      <c r="E50">
        <f>VLOOKUP(B50, Menu!$A:$F, 5, 0)</f>
        <v>11.84</v>
      </c>
      <c r="F50" t="str">
        <f>VLOOKUP(B50, Menu!$A:$F, 3, 0)</f>
        <v>Beverage</v>
      </c>
      <c r="G50" s="5">
        <f>VLOOKUP(A50, Orders!$A:$B, 2, 0)</f>
        <v>45847.209791666668</v>
      </c>
      <c r="H50" t="str">
        <f>VLOOKUP(A50, Orders!$A:$C, 3, 0)</f>
        <v>Plant 2 Canteen</v>
      </c>
      <c r="I50">
        <f>C50*D50*(1-VLOOKUP(A50,Orders!$A:$G,7,0))</f>
        <v>31.330999999999996</v>
      </c>
      <c r="J50" t="str">
        <f>VLOOKUP(A50,Orders!$A:$G,6,0)</f>
        <v>Breakfast</v>
      </c>
      <c r="K50" t="str">
        <f>VLOOKUP(A50,Orders!$A:$G,5,0)</f>
        <v>UPI</v>
      </c>
    </row>
    <row r="51" spans="1:11" x14ac:dyDescent="0.3">
      <c r="A51" t="s">
        <v>50</v>
      </c>
      <c r="B51" t="s">
        <v>403</v>
      </c>
      <c r="C51">
        <v>1</v>
      </c>
      <c r="D51">
        <f>VLOOKUP(B51, Menu!$A:$F, 6, 0)</f>
        <v>76.55</v>
      </c>
      <c r="E51">
        <f>VLOOKUP(B51, Menu!$A:$F, 5, 0)</f>
        <v>38.229999999999997</v>
      </c>
      <c r="F51" t="str">
        <f>VLOOKUP(B51, Menu!$A:$F, 3, 0)</f>
        <v>Dessert</v>
      </c>
      <c r="G51" s="5">
        <f>VLOOKUP(A51, Orders!$A:$B, 2, 0)</f>
        <v>45847.209791666668</v>
      </c>
      <c r="H51" t="str">
        <f>VLOOKUP(A51, Orders!$A:$C, 3, 0)</f>
        <v>Plant 2 Canteen</v>
      </c>
      <c r="I51">
        <f>C51*D51*(1-VLOOKUP(A51,Orders!$A:$G,7,0))</f>
        <v>72.722499999999997</v>
      </c>
      <c r="J51" t="str">
        <f>VLOOKUP(A51,Orders!$A:$G,6,0)</f>
        <v>Breakfast</v>
      </c>
      <c r="K51" t="str">
        <f>VLOOKUP(A51,Orders!$A:$G,5,0)</f>
        <v>UPI</v>
      </c>
    </row>
    <row r="52" spans="1:11" x14ac:dyDescent="0.3">
      <c r="A52" t="s">
        <v>51</v>
      </c>
      <c r="B52" t="s">
        <v>401</v>
      </c>
      <c r="C52">
        <v>3</v>
      </c>
      <c r="D52">
        <f>VLOOKUP(B52, Menu!$A:$F, 6, 0)</f>
        <v>52.45</v>
      </c>
      <c r="E52">
        <f>VLOOKUP(B52, Menu!$A:$F, 5, 0)</f>
        <v>25.8</v>
      </c>
      <c r="F52" t="str">
        <f>VLOOKUP(B52, Menu!$A:$F, 3, 0)</f>
        <v>Snack</v>
      </c>
      <c r="G52" s="5">
        <f>VLOOKUP(A52, Orders!$A:$B, 2, 0)</f>
        <v>45869.966458333343</v>
      </c>
      <c r="H52" t="str">
        <f>VLOOKUP(A52, Orders!$A:$C, 3, 0)</f>
        <v>Plant 2 Canteen</v>
      </c>
      <c r="I52">
        <f>C52*D52*(1-VLOOKUP(A52,Orders!$A:$G,7,0))</f>
        <v>154.20300000000003</v>
      </c>
      <c r="J52" t="str">
        <f>VLOOKUP(A52,Orders!$A:$G,6,0)</f>
        <v>Dinner</v>
      </c>
      <c r="K52" t="str">
        <f>VLOOKUP(A52,Orders!$A:$G,5,0)</f>
        <v>UPI</v>
      </c>
    </row>
    <row r="53" spans="1:11" x14ac:dyDescent="0.3">
      <c r="A53" t="s">
        <v>51</v>
      </c>
      <c r="B53" t="s">
        <v>418</v>
      </c>
      <c r="C53">
        <v>1</v>
      </c>
      <c r="D53">
        <f>VLOOKUP(B53, Menu!$A:$F, 6, 0)</f>
        <v>39.950000000000003</v>
      </c>
      <c r="E53">
        <f>VLOOKUP(B53, Menu!$A:$F, 5, 0)</f>
        <v>15.51</v>
      </c>
      <c r="F53" t="str">
        <f>VLOOKUP(B53, Menu!$A:$F, 3, 0)</f>
        <v>Snack</v>
      </c>
      <c r="G53" s="5">
        <f>VLOOKUP(A53, Orders!$A:$B, 2, 0)</f>
        <v>45869.966458333343</v>
      </c>
      <c r="H53" t="str">
        <f>VLOOKUP(A53, Orders!$A:$C, 3, 0)</f>
        <v>Plant 2 Canteen</v>
      </c>
      <c r="I53">
        <f>C53*D53*(1-VLOOKUP(A53,Orders!$A:$G,7,0))</f>
        <v>39.151000000000003</v>
      </c>
      <c r="J53" t="str">
        <f>VLOOKUP(A53,Orders!$A:$G,6,0)</f>
        <v>Dinner</v>
      </c>
      <c r="K53" t="str">
        <f>VLOOKUP(A53,Orders!$A:$G,5,0)</f>
        <v>UPI</v>
      </c>
    </row>
    <row r="54" spans="1:11" x14ac:dyDescent="0.3">
      <c r="A54" t="s">
        <v>51</v>
      </c>
      <c r="B54" t="s">
        <v>419</v>
      </c>
      <c r="C54">
        <v>2</v>
      </c>
      <c r="D54">
        <f>VLOOKUP(B54, Menu!$A:$F, 6, 0)</f>
        <v>50.19</v>
      </c>
      <c r="E54">
        <f>VLOOKUP(B54, Menu!$A:$F, 5, 0)</f>
        <v>22.61</v>
      </c>
      <c r="F54" t="str">
        <f>VLOOKUP(B54, Menu!$A:$F, 3, 0)</f>
        <v>Snack</v>
      </c>
      <c r="G54" s="5">
        <f>VLOOKUP(A54, Orders!$A:$B, 2, 0)</f>
        <v>45869.966458333343</v>
      </c>
      <c r="H54" t="str">
        <f>VLOOKUP(A54, Orders!$A:$C, 3, 0)</f>
        <v>Plant 2 Canteen</v>
      </c>
      <c r="I54">
        <f>C54*D54*(1-VLOOKUP(A54,Orders!$A:$G,7,0))</f>
        <v>98.372399999999999</v>
      </c>
      <c r="J54" t="str">
        <f>VLOOKUP(A54,Orders!$A:$G,6,0)</f>
        <v>Dinner</v>
      </c>
      <c r="K54" t="str">
        <f>VLOOKUP(A54,Orders!$A:$G,5,0)</f>
        <v>UPI</v>
      </c>
    </row>
    <row r="55" spans="1:11" x14ac:dyDescent="0.3">
      <c r="A55" t="s">
        <v>52</v>
      </c>
      <c r="B55" t="s">
        <v>413</v>
      </c>
      <c r="C55">
        <v>1</v>
      </c>
      <c r="D55">
        <f>VLOOKUP(B55, Menu!$A:$F, 6, 0)</f>
        <v>54.2</v>
      </c>
      <c r="E55">
        <f>VLOOKUP(B55, Menu!$A:$F, 5, 0)</f>
        <v>21.95</v>
      </c>
      <c r="F55" t="str">
        <f>VLOOKUP(B55, Menu!$A:$F, 3, 0)</f>
        <v>Dessert</v>
      </c>
      <c r="G55" s="5">
        <f>VLOOKUP(A55, Orders!$A:$B, 2, 0)</f>
        <v>45862.424097222232</v>
      </c>
      <c r="H55" t="str">
        <f>VLOOKUP(A55, Orders!$A:$C, 3, 0)</f>
        <v>Plant 2 Canteen</v>
      </c>
      <c r="I55">
        <f>C55*D55*(1-VLOOKUP(A55,Orders!$A:$G,7,0))</f>
        <v>53.658000000000001</v>
      </c>
      <c r="J55" t="str">
        <f>VLOOKUP(A55,Orders!$A:$G,6,0)</f>
        <v>Breakfast</v>
      </c>
      <c r="K55" t="str">
        <f>VLOOKUP(A55,Orders!$A:$G,5,0)</f>
        <v>Cash</v>
      </c>
    </row>
    <row r="56" spans="1:11" x14ac:dyDescent="0.3">
      <c r="A56" t="s">
        <v>52</v>
      </c>
      <c r="B56" t="s">
        <v>409</v>
      </c>
      <c r="C56">
        <v>2</v>
      </c>
      <c r="D56">
        <f>VLOOKUP(B56, Menu!$A:$F, 6, 0)</f>
        <v>28.43</v>
      </c>
      <c r="E56">
        <f>VLOOKUP(B56, Menu!$A:$F, 5, 0)</f>
        <v>13.89</v>
      </c>
      <c r="F56" t="str">
        <f>VLOOKUP(B56, Menu!$A:$F, 3, 0)</f>
        <v>Beverage</v>
      </c>
      <c r="G56" s="5">
        <f>VLOOKUP(A56, Orders!$A:$B, 2, 0)</f>
        <v>45862.424097222232</v>
      </c>
      <c r="H56" t="str">
        <f>VLOOKUP(A56, Orders!$A:$C, 3, 0)</f>
        <v>Plant 2 Canteen</v>
      </c>
      <c r="I56">
        <f>C56*D56*(1-VLOOKUP(A56,Orders!$A:$G,7,0))</f>
        <v>56.291399999999996</v>
      </c>
      <c r="J56" t="str">
        <f>VLOOKUP(A56,Orders!$A:$G,6,0)</f>
        <v>Breakfast</v>
      </c>
      <c r="K56" t="str">
        <f>VLOOKUP(A56,Orders!$A:$G,5,0)</f>
        <v>Cash</v>
      </c>
    </row>
    <row r="57" spans="1:11" x14ac:dyDescent="0.3">
      <c r="A57" t="s">
        <v>52</v>
      </c>
      <c r="B57" t="s">
        <v>415</v>
      </c>
      <c r="C57">
        <v>1</v>
      </c>
      <c r="D57">
        <f>VLOOKUP(B57, Menu!$A:$F, 6, 0)</f>
        <v>256.91000000000003</v>
      </c>
      <c r="E57">
        <f>VLOOKUP(B57, Menu!$A:$F, 5, 0)</f>
        <v>121.24</v>
      </c>
      <c r="F57" t="str">
        <f>VLOOKUP(B57, Menu!$A:$F, 3, 0)</f>
        <v>Hot Meal</v>
      </c>
      <c r="G57" s="5">
        <f>VLOOKUP(A57, Orders!$A:$B, 2, 0)</f>
        <v>45862.424097222232</v>
      </c>
      <c r="H57" t="str">
        <f>VLOOKUP(A57, Orders!$A:$C, 3, 0)</f>
        <v>Plant 2 Canteen</v>
      </c>
      <c r="I57">
        <f>C57*D57*(1-VLOOKUP(A57,Orders!$A:$G,7,0))</f>
        <v>254.34090000000003</v>
      </c>
      <c r="J57" t="str">
        <f>VLOOKUP(A57,Orders!$A:$G,6,0)</f>
        <v>Breakfast</v>
      </c>
      <c r="K57" t="str">
        <f>VLOOKUP(A57,Orders!$A:$G,5,0)</f>
        <v>Cash</v>
      </c>
    </row>
    <row r="58" spans="1:11" x14ac:dyDescent="0.3">
      <c r="A58" t="s">
        <v>53</v>
      </c>
      <c r="B58" t="s">
        <v>410</v>
      </c>
      <c r="C58">
        <v>1</v>
      </c>
      <c r="D58">
        <f>VLOOKUP(B58, Menu!$A:$F, 6, 0)</f>
        <v>20.11</v>
      </c>
      <c r="E58">
        <f>VLOOKUP(B58, Menu!$A:$F, 5, 0)</f>
        <v>8</v>
      </c>
      <c r="F58" t="str">
        <f>VLOOKUP(B58, Menu!$A:$F, 3, 0)</f>
        <v>Beverage</v>
      </c>
      <c r="G58" s="5">
        <f>VLOOKUP(A58, Orders!$A:$B, 2, 0)</f>
        <v>45883.642094907409</v>
      </c>
      <c r="H58" t="str">
        <f>VLOOKUP(A58, Orders!$A:$C, 3, 0)</f>
        <v>Plant 2 Canteen</v>
      </c>
      <c r="I58">
        <f>C58*D58*(1-VLOOKUP(A58,Orders!$A:$G,7,0))</f>
        <v>18.3001</v>
      </c>
      <c r="J58" t="str">
        <f>VLOOKUP(A58,Orders!$A:$G,6,0)</f>
        <v>Lunch</v>
      </c>
      <c r="K58" t="str">
        <f>VLOOKUP(A58,Orders!$A:$G,5,0)</f>
        <v>Cash</v>
      </c>
    </row>
    <row r="59" spans="1:11" x14ac:dyDescent="0.3">
      <c r="A59" t="s">
        <v>53</v>
      </c>
      <c r="B59" t="s">
        <v>407</v>
      </c>
      <c r="C59">
        <v>1</v>
      </c>
      <c r="D59">
        <f>VLOOKUP(B59, Menu!$A:$F, 6, 0)</f>
        <v>246.09</v>
      </c>
      <c r="E59">
        <f>VLOOKUP(B59, Menu!$A:$F, 5, 0)</f>
        <v>112.08</v>
      </c>
      <c r="F59" t="str">
        <f>VLOOKUP(B59, Menu!$A:$F, 3, 0)</f>
        <v>Hot Meal</v>
      </c>
      <c r="G59" s="5">
        <f>VLOOKUP(A59, Orders!$A:$B, 2, 0)</f>
        <v>45883.642094907409</v>
      </c>
      <c r="H59" t="str">
        <f>VLOOKUP(A59, Orders!$A:$C, 3, 0)</f>
        <v>Plant 2 Canteen</v>
      </c>
      <c r="I59">
        <f>C59*D59*(1-VLOOKUP(A59,Orders!$A:$G,7,0))</f>
        <v>223.9419</v>
      </c>
      <c r="J59" t="str">
        <f>VLOOKUP(A59,Orders!$A:$G,6,0)</f>
        <v>Lunch</v>
      </c>
      <c r="K59" t="str">
        <f>VLOOKUP(A59,Orders!$A:$G,5,0)</f>
        <v>Cash</v>
      </c>
    </row>
    <row r="60" spans="1:11" x14ac:dyDescent="0.3">
      <c r="A60" t="s">
        <v>54</v>
      </c>
      <c r="B60" t="s">
        <v>417</v>
      </c>
      <c r="C60">
        <v>3</v>
      </c>
      <c r="D60">
        <f>VLOOKUP(B60, Menu!$A:$F, 6, 0)</f>
        <v>146.4</v>
      </c>
      <c r="E60">
        <f>VLOOKUP(B60, Menu!$A:$F, 5, 0)</f>
        <v>80.92</v>
      </c>
      <c r="F60" t="str">
        <f>VLOOKUP(B60, Menu!$A:$F, 3, 0)</f>
        <v>Hot Meal</v>
      </c>
      <c r="G60" s="5">
        <f>VLOOKUP(A60, Orders!$A:$B, 2, 0)</f>
        <v>45893.911249999997</v>
      </c>
      <c r="H60" t="str">
        <f>VLOOKUP(A60, Orders!$A:$C, 3, 0)</f>
        <v>Plant 1 Canteen</v>
      </c>
      <c r="I60">
        <f>C60*D60*(1-VLOOKUP(A60,Orders!$A:$G,7,0))</f>
        <v>390.88800000000003</v>
      </c>
      <c r="J60" t="str">
        <f>VLOOKUP(A60,Orders!$A:$G,6,0)</f>
        <v>Dinner</v>
      </c>
      <c r="K60" t="str">
        <f>VLOOKUP(A60,Orders!$A:$G,5,0)</f>
        <v>UPI</v>
      </c>
    </row>
    <row r="61" spans="1:11" x14ac:dyDescent="0.3">
      <c r="A61" t="s">
        <v>56</v>
      </c>
      <c r="B61" t="s">
        <v>419</v>
      </c>
      <c r="C61">
        <v>1</v>
      </c>
      <c r="D61">
        <f>VLOOKUP(B61, Menu!$A:$F, 6, 0)</f>
        <v>50.19</v>
      </c>
      <c r="E61">
        <f>VLOOKUP(B61, Menu!$A:$F, 5, 0)</f>
        <v>22.61</v>
      </c>
      <c r="F61" t="str">
        <f>VLOOKUP(B61, Menu!$A:$F, 3, 0)</f>
        <v>Snack</v>
      </c>
      <c r="G61" s="5">
        <f>VLOOKUP(A61, Orders!$A:$B, 2, 0)</f>
        <v>45888.366527777784</v>
      </c>
      <c r="H61" t="str">
        <f>VLOOKUP(A61, Orders!$A:$C, 3, 0)</f>
        <v>Plant 2 Canteen</v>
      </c>
      <c r="I61">
        <f>C61*D61*(1-VLOOKUP(A61,Orders!$A:$G,7,0))</f>
        <v>47.178599999999996</v>
      </c>
      <c r="J61" t="str">
        <f>VLOOKUP(A61,Orders!$A:$G,6,0)</f>
        <v>Breakfast</v>
      </c>
      <c r="K61" t="str">
        <f>VLOOKUP(A61,Orders!$A:$G,5,0)</f>
        <v>Card</v>
      </c>
    </row>
    <row r="62" spans="1:11" x14ac:dyDescent="0.3">
      <c r="A62" t="s">
        <v>57</v>
      </c>
      <c r="B62" t="s">
        <v>401</v>
      </c>
      <c r="C62">
        <v>1</v>
      </c>
      <c r="D62">
        <f>VLOOKUP(B62, Menu!$A:$F, 6, 0)</f>
        <v>52.45</v>
      </c>
      <c r="E62">
        <f>VLOOKUP(B62, Menu!$A:$F, 5, 0)</f>
        <v>25.8</v>
      </c>
      <c r="F62" t="str">
        <f>VLOOKUP(B62, Menu!$A:$F, 3, 0)</f>
        <v>Snack</v>
      </c>
      <c r="G62" s="5">
        <f>VLOOKUP(A62, Orders!$A:$B, 2, 0)</f>
        <v>45862.967662037037</v>
      </c>
      <c r="H62" t="str">
        <f>VLOOKUP(A62, Orders!$A:$C, 3, 0)</f>
        <v>Plant 2 Canteen</v>
      </c>
      <c r="I62">
        <f>C62*D62*(1-VLOOKUP(A62,Orders!$A:$G,7,0))</f>
        <v>47.205000000000005</v>
      </c>
      <c r="J62" t="str">
        <f>VLOOKUP(A62,Orders!$A:$G,6,0)</f>
        <v>Dinner</v>
      </c>
      <c r="K62" t="str">
        <f>VLOOKUP(A62,Orders!$A:$G,5,0)</f>
        <v>Cash</v>
      </c>
    </row>
    <row r="63" spans="1:11" x14ac:dyDescent="0.3">
      <c r="A63" t="s">
        <v>57</v>
      </c>
      <c r="B63" t="s">
        <v>406</v>
      </c>
      <c r="C63">
        <v>1</v>
      </c>
      <c r="D63">
        <f>VLOOKUP(B63, Menu!$A:$F, 6, 0)</f>
        <v>38.06</v>
      </c>
      <c r="E63">
        <f>VLOOKUP(B63, Menu!$A:$F, 5, 0)</f>
        <v>19.55</v>
      </c>
      <c r="F63" t="str">
        <f>VLOOKUP(B63, Menu!$A:$F, 3, 0)</f>
        <v>Snack</v>
      </c>
      <c r="G63" s="5">
        <f>VLOOKUP(A63, Orders!$A:$B, 2, 0)</f>
        <v>45862.967662037037</v>
      </c>
      <c r="H63" t="str">
        <f>VLOOKUP(A63, Orders!$A:$C, 3, 0)</f>
        <v>Plant 2 Canteen</v>
      </c>
      <c r="I63">
        <f>C63*D63*(1-VLOOKUP(A63,Orders!$A:$G,7,0))</f>
        <v>34.254000000000005</v>
      </c>
      <c r="J63" t="str">
        <f>VLOOKUP(A63,Orders!$A:$G,6,0)</f>
        <v>Dinner</v>
      </c>
      <c r="K63" t="str">
        <f>VLOOKUP(A63,Orders!$A:$G,5,0)</f>
        <v>Cash</v>
      </c>
    </row>
    <row r="64" spans="1:11" x14ac:dyDescent="0.3">
      <c r="A64" t="s">
        <v>58</v>
      </c>
      <c r="B64" t="s">
        <v>405</v>
      </c>
      <c r="C64">
        <v>3</v>
      </c>
      <c r="D64">
        <f>VLOOKUP(B64, Menu!$A:$F, 6, 0)</f>
        <v>170.83</v>
      </c>
      <c r="E64">
        <f>VLOOKUP(B64, Menu!$A:$F, 5, 0)</f>
        <v>74.069999999999993</v>
      </c>
      <c r="F64" t="str">
        <f>VLOOKUP(B64, Menu!$A:$F, 3, 0)</f>
        <v>Hot Meal</v>
      </c>
      <c r="G64" s="5">
        <f>VLOOKUP(A64, Orders!$A:$B, 2, 0)</f>
        <v>45891.991226851853</v>
      </c>
      <c r="H64" t="str">
        <f>VLOOKUP(A64, Orders!$A:$C, 3, 0)</f>
        <v>Head Office Café</v>
      </c>
      <c r="I64">
        <f>C64*D64*(1-VLOOKUP(A64,Orders!$A:$G,7,0))</f>
        <v>476.6157</v>
      </c>
      <c r="J64" t="str">
        <f>VLOOKUP(A64,Orders!$A:$G,6,0)</f>
        <v>Dinner</v>
      </c>
      <c r="K64" t="str">
        <f>VLOOKUP(A64,Orders!$A:$G,5,0)</f>
        <v>UPI</v>
      </c>
    </row>
    <row r="65" spans="1:11" x14ac:dyDescent="0.3">
      <c r="A65" t="s">
        <v>58</v>
      </c>
      <c r="B65" t="s">
        <v>402</v>
      </c>
      <c r="C65">
        <v>1</v>
      </c>
      <c r="D65">
        <f>VLOOKUP(B65, Menu!$A:$F, 6, 0)</f>
        <v>30.34</v>
      </c>
      <c r="E65">
        <f>VLOOKUP(B65, Menu!$A:$F, 5, 0)</f>
        <v>14.18</v>
      </c>
      <c r="F65" t="str">
        <f>VLOOKUP(B65, Menu!$A:$F, 3, 0)</f>
        <v>Beverage</v>
      </c>
      <c r="G65" s="5">
        <f>VLOOKUP(A65, Orders!$A:$B, 2, 0)</f>
        <v>45891.991226851853</v>
      </c>
      <c r="H65" t="str">
        <f>VLOOKUP(A65, Orders!$A:$C, 3, 0)</f>
        <v>Head Office Café</v>
      </c>
      <c r="I65">
        <f>C65*D65*(1-VLOOKUP(A65,Orders!$A:$G,7,0))</f>
        <v>28.216199999999997</v>
      </c>
      <c r="J65" t="str">
        <f>VLOOKUP(A65,Orders!$A:$G,6,0)</f>
        <v>Dinner</v>
      </c>
      <c r="K65" t="str">
        <f>VLOOKUP(A65,Orders!$A:$G,5,0)</f>
        <v>UPI</v>
      </c>
    </row>
    <row r="66" spans="1:11" x14ac:dyDescent="0.3">
      <c r="A66" t="s">
        <v>58</v>
      </c>
      <c r="B66" t="s">
        <v>412</v>
      </c>
      <c r="C66">
        <v>2</v>
      </c>
      <c r="D66">
        <f>VLOOKUP(B66, Menu!$A:$F, 6, 0)</f>
        <v>57.07</v>
      </c>
      <c r="E66">
        <f>VLOOKUP(B66, Menu!$A:$F, 5, 0)</f>
        <v>29.14</v>
      </c>
      <c r="F66" t="str">
        <f>VLOOKUP(B66, Menu!$A:$F, 3, 0)</f>
        <v>Dessert</v>
      </c>
      <c r="G66" s="5">
        <f>VLOOKUP(A66, Orders!$A:$B, 2, 0)</f>
        <v>45891.991226851853</v>
      </c>
      <c r="H66" t="str">
        <f>VLOOKUP(A66, Orders!$A:$C, 3, 0)</f>
        <v>Head Office Café</v>
      </c>
      <c r="I66">
        <f>C66*D66*(1-VLOOKUP(A66,Orders!$A:$G,7,0))</f>
        <v>106.1502</v>
      </c>
      <c r="J66" t="str">
        <f>VLOOKUP(A66,Orders!$A:$G,6,0)</f>
        <v>Dinner</v>
      </c>
      <c r="K66" t="str">
        <f>VLOOKUP(A66,Orders!$A:$G,5,0)</f>
        <v>UPI</v>
      </c>
    </row>
    <row r="67" spans="1:11" x14ac:dyDescent="0.3">
      <c r="A67" t="s">
        <v>58</v>
      </c>
      <c r="B67" t="s">
        <v>407</v>
      </c>
      <c r="C67">
        <v>1</v>
      </c>
      <c r="D67">
        <f>VLOOKUP(B67, Menu!$A:$F, 6, 0)</f>
        <v>246.09</v>
      </c>
      <c r="E67">
        <f>VLOOKUP(B67, Menu!$A:$F, 5, 0)</f>
        <v>112.08</v>
      </c>
      <c r="F67" t="str">
        <f>VLOOKUP(B67, Menu!$A:$F, 3, 0)</f>
        <v>Hot Meal</v>
      </c>
      <c r="G67" s="5">
        <f>VLOOKUP(A67, Orders!$A:$B, 2, 0)</f>
        <v>45891.991226851853</v>
      </c>
      <c r="H67" t="str">
        <f>VLOOKUP(A67, Orders!$A:$C, 3, 0)</f>
        <v>Head Office Café</v>
      </c>
      <c r="I67">
        <f>C67*D67*(1-VLOOKUP(A67,Orders!$A:$G,7,0))</f>
        <v>228.86369999999999</v>
      </c>
      <c r="J67" t="str">
        <f>VLOOKUP(A67,Orders!$A:$G,6,0)</f>
        <v>Dinner</v>
      </c>
      <c r="K67" t="str">
        <f>VLOOKUP(A67,Orders!$A:$G,5,0)</f>
        <v>UPI</v>
      </c>
    </row>
    <row r="68" spans="1:11" x14ac:dyDescent="0.3">
      <c r="A68" t="s">
        <v>59</v>
      </c>
      <c r="B68" t="s">
        <v>419</v>
      </c>
      <c r="C68">
        <v>1</v>
      </c>
      <c r="D68">
        <f>VLOOKUP(B68, Menu!$A:$F, 6, 0)</f>
        <v>50.19</v>
      </c>
      <c r="E68">
        <f>VLOOKUP(B68, Menu!$A:$F, 5, 0)</f>
        <v>22.61</v>
      </c>
      <c r="F68" t="str">
        <f>VLOOKUP(B68, Menu!$A:$F, 3, 0)</f>
        <v>Snack</v>
      </c>
      <c r="G68" s="5">
        <f>VLOOKUP(A68, Orders!$A:$B, 2, 0)</f>
        <v>45840.00953703704</v>
      </c>
      <c r="H68" t="str">
        <f>VLOOKUP(A68, Orders!$A:$C, 3, 0)</f>
        <v>Head Office Café</v>
      </c>
      <c r="I68">
        <f>C68*D68*(1-VLOOKUP(A68,Orders!$A:$G,7,0))</f>
        <v>48.684299999999993</v>
      </c>
      <c r="J68" t="str">
        <f>VLOOKUP(A68,Orders!$A:$G,6,0)</f>
        <v>Breakfast</v>
      </c>
      <c r="K68" t="str">
        <f>VLOOKUP(A68,Orders!$A:$G,5,0)</f>
        <v>Card</v>
      </c>
    </row>
    <row r="69" spans="1:11" x14ac:dyDescent="0.3">
      <c r="A69" t="s">
        <v>59</v>
      </c>
      <c r="B69" t="s">
        <v>414</v>
      </c>
      <c r="C69">
        <v>2</v>
      </c>
      <c r="D69">
        <f>VLOOKUP(B69, Menu!$A:$F, 6, 0)</f>
        <v>116.8</v>
      </c>
      <c r="E69">
        <f>VLOOKUP(B69, Menu!$A:$F, 5, 0)</f>
        <v>48.97</v>
      </c>
      <c r="F69" t="str">
        <f>VLOOKUP(B69, Menu!$A:$F, 3, 0)</f>
        <v>Dessert</v>
      </c>
      <c r="G69" s="5">
        <f>VLOOKUP(A69, Orders!$A:$B, 2, 0)</f>
        <v>45840.00953703704</v>
      </c>
      <c r="H69" t="str">
        <f>VLOOKUP(A69, Orders!$A:$C, 3, 0)</f>
        <v>Head Office Café</v>
      </c>
      <c r="I69">
        <f>C69*D69*(1-VLOOKUP(A69,Orders!$A:$G,7,0))</f>
        <v>226.59199999999998</v>
      </c>
      <c r="J69" t="str">
        <f>VLOOKUP(A69,Orders!$A:$G,6,0)</f>
        <v>Breakfast</v>
      </c>
      <c r="K69" t="str">
        <f>VLOOKUP(A69,Orders!$A:$G,5,0)</f>
        <v>Card</v>
      </c>
    </row>
    <row r="70" spans="1:11" x14ac:dyDescent="0.3">
      <c r="A70" t="s">
        <v>59</v>
      </c>
      <c r="B70" t="s">
        <v>408</v>
      </c>
      <c r="C70">
        <v>1</v>
      </c>
      <c r="D70">
        <f>VLOOKUP(B70, Menu!$A:$F, 6, 0)</f>
        <v>70.540000000000006</v>
      </c>
      <c r="E70">
        <f>VLOOKUP(B70, Menu!$A:$F, 5, 0)</f>
        <v>35.81</v>
      </c>
      <c r="F70" t="str">
        <f>VLOOKUP(B70, Menu!$A:$F, 3, 0)</f>
        <v>Snack</v>
      </c>
      <c r="G70" s="5">
        <f>VLOOKUP(A70, Orders!$A:$B, 2, 0)</f>
        <v>45840.00953703704</v>
      </c>
      <c r="H70" t="str">
        <f>VLOOKUP(A70, Orders!$A:$C, 3, 0)</f>
        <v>Head Office Café</v>
      </c>
      <c r="I70">
        <f>C70*D70*(1-VLOOKUP(A70,Orders!$A:$G,7,0))</f>
        <v>68.4238</v>
      </c>
      <c r="J70" t="str">
        <f>VLOOKUP(A70,Orders!$A:$G,6,0)</f>
        <v>Breakfast</v>
      </c>
      <c r="K70" t="str">
        <f>VLOOKUP(A70,Orders!$A:$G,5,0)</f>
        <v>Card</v>
      </c>
    </row>
    <row r="71" spans="1:11" x14ac:dyDescent="0.3">
      <c r="A71" t="s">
        <v>59</v>
      </c>
      <c r="B71" t="s">
        <v>410</v>
      </c>
      <c r="C71">
        <v>2</v>
      </c>
      <c r="D71">
        <f>VLOOKUP(B71, Menu!$A:$F, 6, 0)</f>
        <v>20.11</v>
      </c>
      <c r="E71">
        <f>VLOOKUP(B71, Menu!$A:$F, 5, 0)</f>
        <v>8</v>
      </c>
      <c r="F71" t="str">
        <f>VLOOKUP(B71, Menu!$A:$F, 3, 0)</f>
        <v>Beverage</v>
      </c>
      <c r="G71" s="5">
        <f>VLOOKUP(A71, Orders!$A:$B, 2, 0)</f>
        <v>45840.00953703704</v>
      </c>
      <c r="H71" t="str">
        <f>VLOOKUP(A71, Orders!$A:$C, 3, 0)</f>
        <v>Head Office Café</v>
      </c>
      <c r="I71">
        <f>C71*D71*(1-VLOOKUP(A71,Orders!$A:$G,7,0))</f>
        <v>39.013399999999997</v>
      </c>
      <c r="J71" t="str">
        <f>VLOOKUP(A71,Orders!$A:$G,6,0)</f>
        <v>Breakfast</v>
      </c>
      <c r="K71" t="str">
        <f>VLOOKUP(A71,Orders!$A:$G,5,0)</f>
        <v>Card</v>
      </c>
    </row>
    <row r="72" spans="1:11" x14ac:dyDescent="0.3">
      <c r="A72" t="s">
        <v>60</v>
      </c>
      <c r="B72" t="s">
        <v>419</v>
      </c>
      <c r="C72">
        <v>3</v>
      </c>
      <c r="D72">
        <f>VLOOKUP(B72, Menu!$A:$F, 6, 0)</f>
        <v>50.19</v>
      </c>
      <c r="E72">
        <f>VLOOKUP(B72, Menu!$A:$F, 5, 0)</f>
        <v>22.61</v>
      </c>
      <c r="F72" t="str">
        <f>VLOOKUP(B72, Menu!$A:$F, 3, 0)</f>
        <v>Snack</v>
      </c>
      <c r="G72" s="5">
        <f>VLOOKUP(A72, Orders!$A:$B, 2, 0)</f>
        <v>45852.288368055553</v>
      </c>
      <c r="H72" t="str">
        <f>VLOOKUP(A72, Orders!$A:$C, 3, 0)</f>
        <v>Plant 2 Canteen</v>
      </c>
      <c r="I72">
        <f>C72*D72*(1-VLOOKUP(A72,Orders!$A:$G,7,0))</f>
        <v>140.03009999999998</v>
      </c>
      <c r="J72" t="str">
        <f>VLOOKUP(A72,Orders!$A:$G,6,0)</f>
        <v>Breakfast</v>
      </c>
      <c r="K72" t="str">
        <f>VLOOKUP(A72,Orders!$A:$G,5,0)</f>
        <v>Cash</v>
      </c>
    </row>
    <row r="73" spans="1:11" x14ac:dyDescent="0.3">
      <c r="A73" t="s">
        <v>62</v>
      </c>
      <c r="B73" t="s">
        <v>409</v>
      </c>
      <c r="C73">
        <v>1</v>
      </c>
      <c r="D73">
        <f>VLOOKUP(B73, Menu!$A:$F, 6, 0)</f>
        <v>28.43</v>
      </c>
      <c r="E73">
        <f>VLOOKUP(B73, Menu!$A:$F, 5, 0)</f>
        <v>13.89</v>
      </c>
      <c r="F73" t="str">
        <f>VLOOKUP(B73, Menu!$A:$F, 3, 0)</f>
        <v>Beverage</v>
      </c>
      <c r="G73" s="5">
        <f>VLOOKUP(A73, Orders!$A:$B, 2, 0)</f>
        <v>45854.342488425929</v>
      </c>
      <c r="H73" t="str">
        <f>VLOOKUP(A73, Orders!$A:$C, 3, 0)</f>
        <v>Plant 2 Canteen</v>
      </c>
      <c r="I73">
        <f>C73*D73*(1-VLOOKUP(A73,Orders!$A:$G,7,0))</f>
        <v>25.0184</v>
      </c>
      <c r="J73" t="str">
        <f>VLOOKUP(A73,Orders!$A:$G,6,0)</f>
        <v>Breakfast</v>
      </c>
      <c r="K73" t="str">
        <f>VLOOKUP(A73,Orders!$A:$G,5,0)</f>
        <v>UPI</v>
      </c>
    </row>
    <row r="74" spans="1:11" x14ac:dyDescent="0.3">
      <c r="A74" t="s">
        <v>62</v>
      </c>
      <c r="B74" t="s">
        <v>407</v>
      </c>
      <c r="C74">
        <v>1</v>
      </c>
      <c r="D74">
        <f>VLOOKUP(B74, Menu!$A:$F, 6, 0)</f>
        <v>246.09</v>
      </c>
      <c r="E74">
        <f>VLOOKUP(B74, Menu!$A:$F, 5, 0)</f>
        <v>112.08</v>
      </c>
      <c r="F74" t="str">
        <f>VLOOKUP(B74, Menu!$A:$F, 3, 0)</f>
        <v>Hot Meal</v>
      </c>
      <c r="G74" s="5">
        <f>VLOOKUP(A74, Orders!$A:$B, 2, 0)</f>
        <v>45854.342488425929</v>
      </c>
      <c r="H74" t="str">
        <f>VLOOKUP(A74, Orders!$A:$C, 3, 0)</f>
        <v>Plant 2 Canteen</v>
      </c>
      <c r="I74">
        <f>C74*D74*(1-VLOOKUP(A74,Orders!$A:$G,7,0))</f>
        <v>216.5592</v>
      </c>
      <c r="J74" t="str">
        <f>VLOOKUP(A74,Orders!$A:$G,6,0)</f>
        <v>Breakfast</v>
      </c>
      <c r="K74" t="str">
        <f>VLOOKUP(A74,Orders!$A:$G,5,0)</f>
        <v>UPI</v>
      </c>
    </row>
    <row r="75" spans="1:11" x14ac:dyDescent="0.3">
      <c r="A75" t="s">
        <v>62</v>
      </c>
      <c r="B75" t="s">
        <v>408</v>
      </c>
      <c r="C75">
        <v>2</v>
      </c>
      <c r="D75">
        <f>VLOOKUP(B75, Menu!$A:$F, 6, 0)</f>
        <v>70.540000000000006</v>
      </c>
      <c r="E75">
        <f>VLOOKUP(B75, Menu!$A:$F, 5, 0)</f>
        <v>35.81</v>
      </c>
      <c r="F75" t="str">
        <f>VLOOKUP(B75, Menu!$A:$F, 3, 0)</f>
        <v>Snack</v>
      </c>
      <c r="G75" s="5">
        <f>VLOOKUP(A75, Orders!$A:$B, 2, 0)</f>
        <v>45854.342488425929</v>
      </c>
      <c r="H75" t="str">
        <f>VLOOKUP(A75, Orders!$A:$C, 3, 0)</f>
        <v>Plant 2 Canteen</v>
      </c>
      <c r="I75">
        <f>C75*D75*(1-VLOOKUP(A75,Orders!$A:$G,7,0))</f>
        <v>124.1504</v>
      </c>
      <c r="J75" t="str">
        <f>VLOOKUP(A75,Orders!$A:$G,6,0)</f>
        <v>Breakfast</v>
      </c>
      <c r="K75" t="str">
        <f>VLOOKUP(A75,Orders!$A:$G,5,0)</f>
        <v>UPI</v>
      </c>
    </row>
    <row r="76" spans="1:11" x14ac:dyDescent="0.3">
      <c r="A76" t="s">
        <v>63</v>
      </c>
      <c r="B76" t="s">
        <v>413</v>
      </c>
      <c r="C76">
        <v>1</v>
      </c>
      <c r="D76">
        <f>VLOOKUP(B76, Menu!$A:$F, 6, 0)</f>
        <v>54.2</v>
      </c>
      <c r="E76">
        <f>VLOOKUP(B76, Menu!$A:$F, 5, 0)</f>
        <v>21.95</v>
      </c>
      <c r="F76" t="str">
        <f>VLOOKUP(B76, Menu!$A:$F, 3, 0)</f>
        <v>Dessert</v>
      </c>
      <c r="G76" s="5">
        <f>VLOOKUP(A76, Orders!$A:$B, 2, 0)</f>
        <v>45872.540370370371</v>
      </c>
      <c r="H76" t="str">
        <f>VLOOKUP(A76, Orders!$A:$C, 3, 0)</f>
        <v>Plant 1 Canteen</v>
      </c>
      <c r="I76">
        <f>C76*D76*(1-VLOOKUP(A76,Orders!$A:$G,7,0))</f>
        <v>50.948</v>
      </c>
      <c r="J76" t="str">
        <f>VLOOKUP(A76,Orders!$A:$G,6,0)</f>
        <v>Lunch</v>
      </c>
      <c r="K76" t="str">
        <f>VLOOKUP(A76,Orders!$A:$G,5,0)</f>
        <v>UPI</v>
      </c>
    </row>
    <row r="77" spans="1:11" x14ac:dyDescent="0.3">
      <c r="A77" t="s">
        <v>63</v>
      </c>
      <c r="B77" t="s">
        <v>417</v>
      </c>
      <c r="C77">
        <v>2</v>
      </c>
      <c r="D77">
        <f>VLOOKUP(B77, Menu!$A:$F, 6, 0)</f>
        <v>146.4</v>
      </c>
      <c r="E77">
        <f>VLOOKUP(B77, Menu!$A:$F, 5, 0)</f>
        <v>80.92</v>
      </c>
      <c r="F77" t="str">
        <f>VLOOKUP(B77, Menu!$A:$F, 3, 0)</f>
        <v>Hot Meal</v>
      </c>
      <c r="G77" s="5">
        <f>VLOOKUP(A77, Orders!$A:$B, 2, 0)</f>
        <v>45872.540370370371</v>
      </c>
      <c r="H77" t="str">
        <f>VLOOKUP(A77, Orders!$A:$C, 3, 0)</f>
        <v>Plant 1 Canteen</v>
      </c>
      <c r="I77">
        <f>C77*D77*(1-VLOOKUP(A77,Orders!$A:$G,7,0))</f>
        <v>275.23199999999997</v>
      </c>
      <c r="J77" t="str">
        <f>VLOOKUP(A77,Orders!$A:$G,6,0)</f>
        <v>Lunch</v>
      </c>
      <c r="K77" t="str">
        <f>VLOOKUP(A77,Orders!$A:$G,5,0)</f>
        <v>UPI</v>
      </c>
    </row>
    <row r="78" spans="1:11" x14ac:dyDescent="0.3">
      <c r="A78" t="s">
        <v>63</v>
      </c>
      <c r="B78" t="s">
        <v>414</v>
      </c>
      <c r="C78">
        <v>1</v>
      </c>
      <c r="D78">
        <f>VLOOKUP(B78, Menu!$A:$F, 6, 0)</f>
        <v>116.8</v>
      </c>
      <c r="E78">
        <f>VLOOKUP(B78, Menu!$A:$F, 5, 0)</f>
        <v>48.97</v>
      </c>
      <c r="F78" t="str">
        <f>VLOOKUP(B78, Menu!$A:$F, 3, 0)</f>
        <v>Dessert</v>
      </c>
      <c r="G78" s="5">
        <f>VLOOKUP(A78, Orders!$A:$B, 2, 0)</f>
        <v>45872.540370370371</v>
      </c>
      <c r="H78" t="str">
        <f>VLOOKUP(A78, Orders!$A:$C, 3, 0)</f>
        <v>Plant 1 Canteen</v>
      </c>
      <c r="I78">
        <f>C78*D78*(1-VLOOKUP(A78,Orders!$A:$G,7,0))</f>
        <v>109.79199999999999</v>
      </c>
      <c r="J78" t="str">
        <f>VLOOKUP(A78,Orders!$A:$G,6,0)</f>
        <v>Lunch</v>
      </c>
      <c r="K78" t="str">
        <f>VLOOKUP(A78,Orders!$A:$G,5,0)</f>
        <v>UPI</v>
      </c>
    </row>
    <row r="79" spans="1:11" x14ac:dyDescent="0.3">
      <c r="A79" t="s">
        <v>65</v>
      </c>
      <c r="B79" t="s">
        <v>413</v>
      </c>
      <c r="C79">
        <v>1</v>
      </c>
      <c r="D79">
        <f>VLOOKUP(B79, Menu!$A:$F, 6, 0)</f>
        <v>54.2</v>
      </c>
      <c r="E79">
        <f>VLOOKUP(B79, Menu!$A:$F, 5, 0)</f>
        <v>21.95</v>
      </c>
      <c r="F79" t="str">
        <f>VLOOKUP(B79, Menu!$A:$F, 3, 0)</f>
        <v>Dessert</v>
      </c>
      <c r="G79" s="5">
        <f>VLOOKUP(A79, Orders!$A:$B, 2, 0)</f>
        <v>45888.320347222223</v>
      </c>
      <c r="H79" t="str">
        <f>VLOOKUP(A79, Orders!$A:$C, 3, 0)</f>
        <v>Plant 2 Canteen</v>
      </c>
      <c r="I79">
        <f>C79*D79*(1-VLOOKUP(A79,Orders!$A:$G,7,0))</f>
        <v>47.696000000000005</v>
      </c>
      <c r="J79" t="str">
        <f>VLOOKUP(A79,Orders!$A:$G,6,0)</f>
        <v>Breakfast</v>
      </c>
      <c r="K79" t="str">
        <f>VLOOKUP(A79,Orders!$A:$G,5,0)</f>
        <v>Cash</v>
      </c>
    </row>
    <row r="80" spans="1:11" x14ac:dyDescent="0.3">
      <c r="A80" t="s">
        <v>65</v>
      </c>
      <c r="B80" t="s">
        <v>414</v>
      </c>
      <c r="C80">
        <v>1</v>
      </c>
      <c r="D80">
        <f>VLOOKUP(B80, Menu!$A:$F, 6, 0)</f>
        <v>116.8</v>
      </c>
      <c r="E80">
        <f>VLOOKUP(B80, Menu!$A:$F, 5, 0)</f>
        <v>48.97</v>
      </c>
      <c r="F80" t="str">
        <f>VLOOKUP(B80, Menu!$A:$F, 3, 0)</f>
        <v>Dessert</v>
      </c>
      <c r="G80" s="5">
        <f>VLOOKUP(A80, Orders!$A:$B, 2, 0)</f>
        <v>45888.320347222223</v>
      </c>
      <c r="H80" t="str">
        <f>VLOOKUP(A80, Orders!$A:$C, 3, 0)</f>
        <v>Plant 2 Canteen</v>
      </c>
      <c r="I80">
        <f>C80*D80*(1-VLOOKUP(A80,Orders!$A:$G,7,0))</f>
        <v>102.78399999999999</v>
      </c>
      <c r="J80" t="str">
        <f>VLOOKUP(A80,Orders!$A:$G,6,0)</f>
        <v>Breakfast</v>
      </c>
      <c r="K80" t="str">
        <f>VLOOKUP(A80,Orders!$A:$G,5,0)</f>
        <v>Cash</v>
      </c>
    </row>
    <row r="81" spans="1:11" x14ac:dyDescent="0.3">
      <c r="A81" t="s">
        <v>65</v>
      </c>
      <c r="B81" t="s">
        <v>404</v>
      </c>
      <c r="C81">
        <v>2</v>
      </c>
      <c r="D81">
        <f>VLOOKUP(B81, Menu!$A:$F, 6, 0)</f>
        <v>32.979999999999997</v>
      </c>
      <c r="E81">
        <f>VLOOKUP(B81, Menu!$A:$F, 5, 0)</f>
        <v>11.84</v>
      </c>
      <c r="F81" t="str">
        <f>VLOOKUP(B81, Menu!$A:$F, 3, 0)</f>
        <v>Beverage</v>
      </c>
      <c r="G81" s="5">
        <f>VLOOKUP(A81, Orders!$A:$B, 2, 0)</f>
        <v>45888.320347222223</v>
      </c>
      <c r="H81" t="str">
        <f>VLOOKUP(A81, Orders!$A:$C, 3, 0)</f>
        <v>Plant 2 Canteen</v>
      </c>
      <c r="I81">
        <f>C81*D81*(1-VLOOKUP(A81,Orders!$A:$G,7,0))</f>
        <v>58.044799999999995</v>
      </c>
      <c r="J81" t="str">
        <f>VLOOKUP(A81,Orders!$A:$G,6,0)</f>
        <v>Breakfast</v>
      </c>
      <c r="K81" t="str">
        <f>VLOOKUP(A81,Orders!$A:$G,5,0)</f>
        <v>Cash</v>
      </c>
    </row>
    <row r="82" spans="1:11" x14ac:dyDescent="0.3">
      <c r="A82" t="s">
        <v>65</v>
      </c>
      <c r="B82" t="s">
        <v>417</v>
      </c>
      <c r="C82">
        <v>2</v>
      </c>
      <c r="D82">
        <f>VLOOKUP(B82, Menu!$A:$F, 6, 0)</f>
        <v>146.4</v>
      </c>
      <c r="E82">
        <f>VLOOKUP(B82, Menu!$A:$F, 5, 0)</f>
        <v>80.92</v>
      </c>
      <c r="F82" t="str">
        <f>VLOOKUP(B82, Menu!$A:$F, 3, 0)</f>
        <v>Hot Meal</v>
      </c>
      <c r="G82" s="5">
        <f>VLOOKUP(A82, Orders!$A:$B, 2, 0)</f>
        <v>45888.320347222223</v>
      </c>
      <c r="H82" t="str">
        <f>VLOOKUP(A82, Orders!$A:$C, 3, 0)</f>
        <v>Plant 2 Canteen</v>
      </c>
      <c r="I82">
        <f>C82*D82*(1-VLOOKUP(A82,Orders!$A:$G,7,0))</f>
        <v>257.66399999999999</v>
      </c>
      <c r="J82" t="str">
        <f>VLOOKUP(A82,Orders!$A:$G,6,0)</f>
        <v>Breakfast</v>
      </c>
      <c r="K82" t="str">
        <f>VLOOKUP(A82,Orders!$A:$G,5,0)</f>
        <v>Cash</v>
      </c>
    </row>
    <row r="83" spans="1:11" x14ac:dyDescent="0.3">
      <c r="A83" t="s">
        <v>66</v>
      </c>
      <c r="B83" t="s">
        <v>418</v>
      </c>
      <c r="C83">
        <v>1</v>
      </c>
      <c r="D83">
        <f>VLOOKUP(B83, Menu!$A:$F, 6, 0)</f>
        <v>39.950000000000003</v>
      </c>
      <c r="E83">
        <f>VLOOKUP(B83, Menu!$A:$F, 5, 0)</f>
        <v>15.51</v>
      </c>
      <c r="F83" t="str">
        <f>VLOOKUP(B83, Menu!$A:$F, 3, 0)</f>
        <v>Snack</v>
      </c>
      <c r="G83" s="5">
        <f>VLOOKUP(A83, Orders!$A:$B, 2, 0)</f>
        <v>45880.375127314823</v>
      </c>
      <c r="H83" t="str">
        <f>VLOOKUP(A83, Orders!$A:$C, 3, 0)</f>
        <v>Plant 2 Canteen</v>
      </c>
      <c r="I83">
        <f>C83*D83*(1-VLOOKUP(A83,Orders!$A:$G,7,0))</f>
        <v>39.950000000000003</v>
      </c>
      <c r="J83" t="str">
        <f>VLOOKUP(A83,Orders!$A:$G,6,0)</f>
        <v>Breakfast</v>
      </c>
      <c r="K83" t="str">
        <f>VLOOKUP(A83,Orders!$A:$G,5,0)</f>
        <v>Cash</v>
      </c>
    </row>
    <row r="84" spans="1:11" x14ac:dyDescent="0.3">
      <c r="A84" t="s">
        <v>66</v>
      </c>
      <c r="B84" t="s">
        <v>414</v>
      </c>
      <c r="C84">
        <v>3</v>
      </c>
      <c r="D84">
        <f>VLOOKUP(B84, Menu!$A:$F, 6, 0)</f>
        <v>116.8</v>
      </c>
      <c r="E84">
        <f>VLOOKUP(B84, Menu!$A:$F, 5, 0)</f>
        <v>48.97</v>
      </c>
      <c r="F84" t="str">
        <f>VLOOKUP(B84, Menu!$A:$F, 3, 0)</f>
        <v>Dessert</v>
      </c>
      <c r="G84" s="5">
        <f>VLOOKUP(A84, Orders!$A:$B, 2, 0)</f>
        <v>45880.375127314823</v>
      </c>
      <c r="H84" t="str">
        <f>VLOOKUP(A84, Orders!$A:$C, 3, 0)</f>
        <v>Plant 2 Canteen</v>
      </c>
      <c r="I84">
        <f>C84*D84*(1-VLOOKUP(A84,Orders!$A:$G,7,0))</f>
        <v>350.4</v>
      </c>
      <c r="J84" t="str">
        <f>VLOOKUP(A84,Orders!$A:$G,6,0)</f>
        <v>Breakfast</v>
      </c>
      <c r="K84" t="str">
        <f>VLOOKUP(A84,Orders!$A:$G,5,0)</f>
        <v>Cash</v>
      </c>
    </row>
    <row r="85" spans="1:11" x14ac:dyDescent="0.3">
      <c r="A85" t="s">
        <v>67</v>
      </c>
      <c r="B85" t="s">
        <v>404</v>
      </c>
      <c r="C85">
        <v>1</v>
      </c>
      <c r="D85">
        <f>VLOOKUP(B85, Menu!$A:$F, 6, 0)</f>
        <v>32.979999999999997</v>
      </c>
      <c r="E85">
        <f>VLOOKUP(B85, Menu!$A:$F, 5, 0)</f>
        <v>11.84</v>
      </c>
      <c r="F85" t="str">
        <f>VLOOKUP(B85, Menu!$A:$F, 3, 0)</f>
        <v>Beverage</v>
      </c>
      <c r="G85" s="5">
        <f>VLOOKUP(A85, Orders!$A:$B, 2, 0)</f>
        <v>45851.951319444437</v>
      </c>
      <c r="H85" t="str">
        <f>VLOOKUP(A85, Orders!$A:$C, 3, 0)</f>
        <v>Head Office Café</v>
      </c>
      <c r="I85">
        <f>C85*D85*(1-VLOOKUP(A85,Orders!$A:$G,7,0))</f>
        <v>30.011799999999997</v>
      </c>
      <c r="J85" t="str">
        <f>VLOOKUP(A85,Orders!$A:$G,6,0)</f>
        <v>Dinner</v>
      </c>
      <c r="K85" t="str">
        <f>VLOOKUP(A85,Orders!$A:$G,5,0)</f>
        <v>Cash</v>
      </c>
    </row>
    <row r="86" spans="1:11" x14ac:dyDescent="0.3">
      <c r="A86" t="s">
        <v>67</v>
      </c>
      <c r="B86" t="s">
        <v>418</v>
      </c>
      <c r="C86">
        <v>1</v>
      </c>
      <c r="D86">
        <f>VLOOKUP(B86, Menu!$A:$F, 6, 0)</f>
        <v>39.950000000000003</v>
      </c>
      <c r="E86">
        <f>VLOOKUP(B86, Menu!$A:$F, 5, 0)</f>
        <v>15.51</v>
      </c>
      <c r="F86" t="str">
        <f>VLOOKUP(B86, Menu!$A:$F, 3, 0)</f>
        <v>Snack</v>
      </c>
      <c r="G86" s="5">
        <f>VLOOKUP(A86, Orders!$A:$B, 2, 0)</f>
        <v>45851.951319444437</v>
      </c>
      <c r="H86" t="str">
        <f>VLOOKUP(A86, Orders!$A:$C, 3, 0)</f>
        <v>Head Office Café</v>
      </c>
      <c r="I86">
        <f>C86*D86*(1-VLOOKUP(A86,Orders!$A:$G,7,0))</f>
        <v>36.354500000000002</v>
      </c>
      <c r="J86" t="str">
        <f>VLOOKUP(A86,Orders!$A:$G,6,0)</f>
        <v>Dinner</v>
      </c>
      <c r="K86" t="str">
        <f>VLOOKUP(A86,Orders!$A:$G,5,0)</f>
        <v>Cash</v>
      </c>
    </row>
    <row r="87" spans="1:11" x14ac:dyDescent="0.3">
      <c r="A87" t="s">
        <v>67</v>
      </c>
      <c r="B87" t="s">
        <v>411</v>
      </c>
      <c r="C87">
        <v>1</v>
      </c>
      <c r="D87">
        <f>VLOOKUP(B87, Menu!$A:$F, 6, 0)</f>
        <v>22.2</v>
      </c>
      <c r="E87">
        <f>VLOOKUP(B87, Menu!$A:$F, 5, 0)</f>
        <v>9.3800000000000008</v>
      </c>
      <c r="F87" t="str">
        <f>VLOOKUP(B87, Menu!$A:$F, 3, 0)</f>
        <v>Beverage</v>
      </c>
      <c r="G87" s="5">
        <f>VLOOKUP(A87, Orders!$A:$B, 2, 0)</f>
        <v>45851.951319444437</v>
      </c>
      <c r="H87" t="str">
        <f>VLOOKUP(A87, Orders!$A:$C, 3, 0)</f>
        <v>Head Office Café</v>
      </c>
      <c r="I87">
        <f>C87*D87*(1-VLOOKUP(A87,Orders!$A:$G,7,0))</f>
        <v>20.202000000000002</v>
      </c>
      <c r="J87" t="str">
        <f>VLOOKUP(A87,Orders!$A:$G,6,0)</f>
        <v>Dinner</v>
      </c>
      <c r="K87" t="str">
        <f>VLOOKUP(A87,Orders!$A:$G,5,0)</f>
        <v>Cash</v>
      </c>
    </row>
    <row r="88" spans="1:11" x14ac:dyDescent="0.3">
      <c r="A88" t="s">
        <v>68</v>
      </c>
      <c r="B88" t="s">
        <v>414</v>
      </c>
      <c r="C88">
        <v>1</v>
      </c>
      <c r="D88">
        <f>VLOOKUP(B88, Menu!$A:$F, 6, 0)</f>
        <v>116.8</v>
      </c>
      <c r="E88">
        <f>VLOOKUP(B88, Menu!$A:$F, 5, 0)</f>
        <v>48.97</v>
      </c>
      <c r="F88" t="str">
        <f>VLOOKUP(B88, Menu!$A:$F, 3, 0)</f>
        <v>Dessert</v>
      </c>
      <c r="G88" s="5">
        <f>VLOOKUP(A88, Orders!$A:$B, 2, 0)</f>
        <v>45892.812847222223</v>
      </c>
      <c r="H88" t="str">
        <f>VLOOKUP(A88, Orders!$A:$C, 3, 0)</f>
        <v>Head Office Café</v>
      </c>
      <c r="I88">
        <f>C88*D88*(1-VLOOKUP(A88,Orders!$A:$G,7,0))</f>
        <v>109.79199999999999</v>
      </c>
      <c r="J88" t="str">
        <f>VLOOKUP(A88,Orders!$A:$G,6,0)</f>
        <v>Dinner</v>
      </c>
      <c r="K88" t="str">
        <f>VLOOKUP(A88,Orders!$A:$G,5,0)</f>
        <v>UPI</v>
      </c>
    </row>
    <row r="89" spans="1:11" x14ac:dyDescent="0.3">
      <c r="A89" t="s">
        <v>68</v>
      </c>
      <c r="B89" t="s">
        <v>416</v>
      </c>
      <c r="C89">
        <v>2</v>
      </c>
      <c r="D89">
        <f>VLOOKUP(B89, Menu!$A:$F, 6, 0)</f>
        <v>227.61</v>
      </c>
      <c r="E89">
        <f>VLOOKUP(B89, Menu!$A:$F, 5, 0)</f>
        <v>96.22</v>
      </c>
      <c r="F89" t="str">
        <f>VLOOKUP(B89, Menu!$A:$F, 3, 0)</f>
        <v>Hot Meal</v>
      </c>
      <c r="G89" s="5">
        <f>VLOOKUP(A89, Orders!$A:$B, 2, 0)</f>
        <v>45892.812847222223</v>
      </c>
      <c r="H89" t="str">
        <f>VLOOKUP(A89, Orders!$A:$C, 3, 0)</f>
        <v>Head Office Café</v>
      </c>
      <c r="I89">
        <f>C89*D89*(1-VLOOKUP(A89,Orders!$A:$G,7,0))</f>
        <v>427.90679999999998</v>
      </c>
      <c r="J89" t="str">
        <f>VLOOKUP(A89,Orders!$A:$G,6,0)</f>
        <v>Dinner</v>
      </c>
      <c r="K89" t="str">
        <f>VLOOKUP(A89,Orders!$A:$G,5,0)</f>
        <v>UPI</v>
      </c>
    </row>
    <row r="90" spans="1:11" x14ac:dyDescent="0.3">
      <c r="A90" t="s">
        <v>68</v>
      </c>
      <c r="B90" t="s">
        <v>403</v>
      </c>
      <c r="C90">
        <v>1</v>
      </c>
      <c r="D90">
        <f>VLOOKUP(B90, Menu!$A:$F, 6, 0)</f>
        <v>76.55</v>
      </c>
      <c r="E90">
        <f>VLOOKUP(B90, Menu!$A:$F, 5, 0)</f>
        <v>38.229999999999997</v>
      </c>
      <c r="F90" t="str">
        <f>VLOOKUP(B90, Menu!$A:$F, 3, 0)</f>
        <v>Dessert</v>
      </c>
      <c r="G90" s="5">
        <f>VLOOKUP(A90, Orders!$A:$B, 2, 0)</f>
        <v>45892.812847222223</v>
      </c>
      <c r="H90" t="str">
        <f>VLOOKUP(A90, Orders!$A:$C, 3, 0)</f>
        <v>Head Office Café</v>
      </c>
      <c r="I90">
        <f>C90*D90*(1-VLOOKUP(A90,Orders!$A:$G,7,0))</f>
        <v>71.956999999999994</v>
      </c>
      <c r="J90" t="str">
        <f>VLOOKUP(A90,Orders!$A:$G,6,0)</f>
        <v>Dinner</v>
      </c>
      <c r="K90" t="str">
        <f>VLOOKUP(A90,Orders!$A:$G,5,0)</f>
        <v>UPI</v>
      </c>
    </row>
    <row r="91" spans="1:11" x14ac:dyDescent="0.3">
      <c r="A91" t="s">
        <v>68</v>
      </c>
      <c r="B91" t="s">
        <v>409</v>
      </c>
      <c r="C91">
        <v>1</v>
      </c>
      <c r="D91">
        <f>VLOOKUP(B91, Menu!$A:$F, 6, 0)</f>
        <v>28.43</v>
      </c>
      <c r="E91">
        <f>VLOOKUP(B91, Menu!$A:$F, 5, 0)</f>
        <v>13.89</v>
      </c>
      <c r="F91" t="str">
        <f>VLOOKUP(B91, Menu!$A:$F, 3, 0)</f>
        <v>Beverage</v>
      </c>
      <c r="G91" s="5">
        <f>VLOOKUP(A91, Orders!$A:$B, 2, 0)</f>
        <v>45892.812847222223</v>
      </c>
      <c r="H91" t="str">
        <f>VLOOKUP(A91, Orders!$A:$C, 3, 0)</f>
        <v>Head Office Café</v>
      </c>
      <c r="I91">
        <f>C91*D91*(1-VLOOKUP(A91,Orders!$A:$G,7,0))</f>
        <v>26.7242</v>
      </c>
      <c r="J91" t="str">
        <f>VLOOKUP(A91,Orders!$A:$G,6,0)</f>
        <v>Dinner</v>
      </c>
      <c r="K91" t="str">
        <f>VLOOKUP(A91,Orders!$A:$G,5,0)</f>
        <v>UPI</v>
      </c>
    </row>
    <row r="92" spans="1:11" x14ac:dyDescent="0.3">
      <c r="A92" t="s">
        <v>70</v>
      </c>
      <c r="B92" t="s">
        <v>419</v>
      </c>
      <c r="C92">
        <v>1</v>
      </c>
      <c r="D92">
        <f>VLOOKUP(B92, Menu!$A:$F, 6, 0)</f>
        <v>50.19</v>
      </c>
      <c r="E92">
        <f>VLOOKUP(B92, Menu!$A:$F, 5, 0)</f>
        <v>22.61</v>
      </c>
      <c r="F92" t="str">
        <f>VLOOKUP(B92, Menu!$A:$F, 3, 0)</f>
        <v>Snack</v>
      </c>
      <c r="G92" s="5">
        <f>VLOOKUP(A92, Orders!$A:$B, 2, 0)</f>
        <v>45850.111875000002</v>
      </c>
      <c r="H92" t="str">
        <f>VLOOKUP(A92, Orders!$A:$C, 3, 0)</f>
        <v>Plant 1 Canteen</v>
      </c>
      <c r="I92">
        <f>C92*D92*(1-VLOOKUP(A92,Orders!$A:$G,7,0))</f>
        <v>47.680499999999995</v>
      </c>
      <c r="J92" t="str">
        <f>VLOOKUP(A92,Orders!$A:$G,6,0)</f>
        <v>Breakfast</v>
      </c>
      <c r="K92" t="str">
        <f>VLOOKUP(A92,Orders!$A:$G,5,0)</f>
        <v>Cash</v>
      </c>
    </row>
    <row r="93" spans="1:11" x14ac:dyDescent="0.3">
      <c r="A93" t="s">
        <v>70</v>
      </c>
      <c r="B93" t="s">
        <v>405</v>
      </c>
      <c r="C93">
        <v>1</v>
      </c>
      <c r="D93">
        <f>VLOOKUP(B93, Menu!$A:$F, 6, 0)</f>
        <v>170.83</v>
      </c>
      <c r="E93">
        <f>VLOOKUP(B93, Menu!$A:$F, 5, 0)</f>
        <v>74.069999999999993</v>
      </c>
      <c r="F93" t="str">
        <f>VLOOKUP(B93, Menu!$A:$F, 3, 0)</f>
        <v>Hot Meal</v>
      </c>
      <c r="G93" s="5">
        <f>VLOOKUP(A93, Orders!$A:$B, 2, 0)</f>
        <v>45850.111875000002</v>
      </c>
      <c r="H93" t="str">
        <f>VLOOKUP(A93, Orders!$A:$C, 3, 0)</f>
        <v>Plant 1 Canteen</v>
      </c>
      <c r="I93">
        <f>C93*D93*(1-VLOOKUP(A93,Orders!$A:$G,7,0))</f>
        <v>162.2885</v>
      </c>
      <c r="J93" t="str">
        <f>VLOOKUP(A93,Orders!$A:$G,6,0)</f>
        <v>Breakfast</v>
      </c>
      <c r="K93" t="str">
        <f>VLOOKUP(A93,Orders!$A:$G,5,0)</f>
        <v>Cash</v>
      </c>
    </row>
    <row r="94" spans="1:11" x14ac:dyDescent="0.3">
      <c r="A94" t="s">
        <v>71</v>
      </c>
      <c r="B94" t="s">
        <v>405</v>
      </c>
      <c r="C94">
        <v>2</v>
      </c>
      <c r="D94">
        <f>VLOOKUP(B94, Menu!$A:$F, 6, 0)</f>
        <v>170.83</v>
      </c>
      <c r="E94">
        <f>VLOOKUP(B94, Menu!$A:$F, 5, 0)</f>
        <v>74.069999999999993</v>
      </c>
      <c r="F94" t="str">
        <f>VLOOKUP(B94, Menu!$A:$F, 3, 0)</f>
        <v>Hot Meal</v>
      </c>
      <c r="G94" s="5">
        <f>VLOOKUP(A94, Orders!$A:$B, 2, 0)</f>
        <v>45842.747974537036</v>
      </c>
      <c r="H94" t="str">
        <f>VLOOKUP(A94, Orders!$A:$C, 3, 0)</f>
        <v>Plant 2 Canteen</v>
      </c>
      <c r="I94">
        <f>C94*D94*(1-VLOOKUP(A94,Orders!$A:$G,7,0))</f>
        <v>321.16039999999998</v>
      </c>
      <c r="J94" t="str">
        <f>VLOOKUP(A94,Orders!$A:$G,6,0)</f>
        <v>Dinner</v>
      </c>
      <c r="K94" t="str">
        <f>VLOOKUP(A94,Orders!$A:$G,5,0)</f>
        <v>UPI</v>
      </c>
    </row>
    <row r="95" spans="1:11" x14ac:dyDescent="0.3">
      <c r="A95" t="s">
        <v>73</v>
      </c>
      <c r="B95" t="s">
        <v>411</v>
      </c>
      <c r="C95">
        <v>1</v>
      </c>
      <c r="D95">
        <f>VLOOKUP(B95, Menu!$A:$F, 6, 0)</f>
        <v>22.2</v>
      </c>
      <c r="E95">
        <f>VLOOKUP(B95, Menu!$A:$F, 5, 0)</f>
        <v>9.3800000000000008</v>
      </c>
      <c r="F95" t="str">
        <f>VLOOKUP(B95, Menu!$A:$F, 3, 0)</f>
        <v>Beverage</v>
      </c>
      <c r="G95" s="5">
        <f>VLOOKUP(A95, Orders!$A:$B, 2, 0)</f>
        <v>45880.978148148148</v>
      </c>
      <c r="H95" t="str">
        <f>VLOOKUP(A95, Orders!$A:$C, 3, 0)</f>
        <v>Plant 1 Canteen</v>
      </c>
      <c r="I95">
        <f>C95*D95*(1-VLOOKUP(A95,Orders!$A:$G,7,0))</f>
        <v>22.2</v>
      </c>
      <c r="J95" t="str">
        <f>VLOOKUP(A95,Orders!$A:$G,6,0)</f>
        <v>Dinner</v>
      </c>
      <c r="K95" t="str">
        <f>VLOOKUP(A95,Orders!$A:$G,5,0)</f>
        <v>Card</v>
      </c>
    </row>
    <row r="96" spans="1:11" x14ac:dyDescent="0.3">
      <c r="A96" t="s">
        <v>73</v>
      </c>
      <c r="B96" t="s">
        <v>404</v>
      </c>
      <c r="C96">
        <v>2</v>
      </c>
      <c r="D96">
        <f>VLOOKUP(B96, Menu!$A:$F, 6, 0)</f>
        <v>32.979999999999997</v>
      </c>
      <c r="E96">
        <f>VLOOKUP(B96, Menu!$A:$F, 5, 0)</f>
        <v>11.84</v>
      </c>
      <c r="F96" t="str">
        <f>VLOOKUP(B96, Menu!$A:$F, 3, 0)</f>
        <v>Beverage</v>
      </c>
      <c r="G96" s="5">
        <f>VLOOKUP(A96, Orders!$A:$B, 2, 0)</f>
        <v>45880.978148148148</v>
      </c>
      <c r="H96" t="str">
        <f>VLOOKUP(A96, Orders!$A:$C, 3, 0)</f>
        <v>Plant 1 Canteen</v>
      </c>
      <c r="I96">
        <f>C96*D96*(1-VLOOKUP(A96,Orders!$A:$G,7,0))</f>
        <v>65.959999999999994</v>
      </c>
      <c r="J96" t="str">
        <f>VLOOKUP(A96,Orders!$A:$G,6,0)</f>
        <v>Dinner</v>
      </c>
      <c r="K96" t="str">
        <f>VLOOKUP(A96,Orders!$A:$G,5,0)</f>
        <v>Card</v>
      </c>
    </row>
    <row r="97" spans="1:11" x14ac:dyDescent="0.3">
      <c r="A97" t="s">
        <v>75</v>
      </c>
      <c r="B97" t="s">
        <v>405</v>
      </c>
      <c r="C97">
        <v>3</v>
      </c>
      <c r="D97">
        <f>VLOOKUP(B97, Menu!$A:$F, 6, 0)</f>
        <v>170.83</v>
      </c>
      <c r="E97">
        <f>VLOOKUP(B97, Menu!$A:$F, 5, 0)</f>
        <v>74.069999999999993</v>
      </c>
      <c r="F97" t="str">
        <f>VLOOKUP(B97, Menu!$A:$F, 3, 0)</f>
        <v>Hot Meal</v>
      </c>
      <c r="G97" s="5">
        <f>VLOOKUP(A97, Orders!$A:$B, 2, 0)</f>
        <v>45843.123402777783</v>
      </c>
      <c r="H97" t="str">
        <f>VLOOKUP(A97, Orders!$A:$C, 3, 0)</f>
        <v>Plant 2 Canteen</v>
      </c>
      <c r="I97">
        <f>C97*D97*(1-VLOOKUP(A97,Orders!$A:$G,7,0))</f>
        <v>486.8655</v>
      </c>
      <c r="J97" t="str">
        <f>VLOOKUP(A97,Orders!$A:$G,6,0)</f>
        <v>Breakfast</v>
      </c>
      <c r="K97" t="str">
        <f>VLOOKUP(A97,Orders!$A:$G,5,0)</f>
        <v>UPI</v>
      </c>
    </row>
    <row r="98" spans="1:11" x14ac:dyDescent="0.3">
      <c r="A98" t="s">
        <v>76</v>
      </c>
      <c r="B98" t="s">
        <v>404</v>
      </c>
      <c r="C98">
        <v>3</v>
      </c>
      <c r="D98">
        <f>VLOOKUP(B98, Menu!$A:$F, 6, 0)</f>
        <v>32.979999999999997</v>
      </c>
      <c r="E98">
        <f>VLOOKUP(B98, Menu!$A:$F, 5, 0)</f>
        <v>11.84</v>
      </c>
      <c r="F98" t="str">
        <f>VLOOKUP(B98, Menu!$A:$F, 3, 0)</f>
        <v>Beverage</v>
      </c>
      <c r="G98" s="5">
        <f>VLOOKUP(A98, Orders!$A:$B, 2, 0)</f>
        <v>45849.230266203696</v>
      </c>
      <c r="H98" t="str">
        <f>VLOOKUP(A98, Orders!$A:$C, 3, 0)</f>
        <v>Plant 2 Canteen</v>
      </c>
      <c r="I98">
        <f>C98*D98*(1-VLOOKUP(A98,Orders!$A:$G,7,0))</f>
        <v>92.014199999999988</v>
      </c>
      <c r="J98" t="str">
        <f>VLOOKUP(A98,Orders!$A:$G,6,0)</f>
        <v>Breakfast</v>
      </c>
      <c r="K98" t="str">
        <f>VLOOKUP(A98,Orders!$A:$G,5,0)</f>
        <v>Card</v>
      </c>
    </row>
    <row r="99" spans="1:11" x14ac:dyDescent="0.3">
      <c r="A99" t="s">
        <v>76</v>
      </c>
      <c r="B99" t="s">
        <v>409</v>
      </c>
      <c r="C99">
        <v>1</v>
      </c>
      <c r="D99">
        <f>VLOOKUP(B99, Menu!$A:$F, 6, 0)</f>
        <v>28.43</v>
      </c>
      <c r="E99">
        <f>VLOOKUP(B99, Menu!$A:$F, 5, 0)</f>
        <v>13.89</v>
      </c>
      <c r="F99" t="str">
        <f>VLOOKUP(B99, Menu!$A:$F, 3, 0)</f>
        <v>Beverage</v>
      </c>
      <c r="G99" s="5">
        <f>VLOOKUP(A99, Orders!$A:$B, 2, 0)</f>
        <v>45849.230266203696</v>
      </c>
      <c r="H99" t="str">
        <f>VLOOKUP(A99, Orders!$A:$C, 3, 0)</f>
        <v>Plant 2 Canteen</v>
      </c>
      <c r="I99">
        <f>C99*D99*(1-VLOOKUP(A99,Orders!$A:$G,7,0))</f>
        <v>26.439899999999998</v>
      </c>
      <c r="J99" t="str">
        <f>VLOOKUP(A99,Orders!$A:$G,6,0)</f>
        <v>Breakfast</v>
      </c>
      <c r="K99" t="str">
        <f>VLOOKUP(A99,Orders!$A:$G,5,0)</f>
        <v>Card</v>
      </c>
    </row>
    <row r="100" spans="1:11" x14ac:dyDescent="0.3">
      <c r="A100" t="s">
        <v>76</v>
      </c>
      <c r="B100" t="s">
        <v>415</v>
      </c>
      <c r="C100">
        <v>2</v>
      </c>
      <c r="D100">
        <f>VLOOKUP(B100, Menu!$A:$F, 6, 0)</f>
        <v>256.91000000000003</v>
      </c>
      <c r="E100">
        <f>VLOOKUP(B100, Menu!$A:$F, 5, 0)</f>
        <v>121.24</v>
      </c>
      <c r="F100" t="str">
        <f>VLOOKUP(B100, Menu!$A:$F, 3, 0)</f>
        <v>Hot Meal</v>
      </c>
      <c r="G100" s="5">
        <f>VLOOKUP(A100, Orders!$A:$B, 2, 0)</f>
        <v>45849.230266203696</v>
      </c>
      <c r="H100" t="str">
        <f>VLOOKUP(A100, Orders!$A:$C, 3, 0)</f>
        <v>Plant 2 Canteen</v>
      </c>
      <c r="I100">
        <f>C100*D100*(1-VLOOKUP(A100,Orders!$A:$G,7,0))</f>
        <v>477.8526</v>
      </c>
      <c r="J100" t="str">
        <f>VLOOKUP(A100,Orders!$A:$G,6,0)</f>
        <v>Breakfast</v>
      </c>
      <c r="K100" t="str">
        <f>VLOOKUP(A100,Orders!$A:$G,5,0)</f>
        <v>Card</v>
      </c>
    </row>
    <row r="101" spans="1:11" x14ac:dyDescent="0.3">
      <c r="A101" t="s">
        <v>76</v>
      </c>
      <c r="B101" t="s">
        <v>402</v>
      </c>
      <c r="C101">
        <v>1</v>
      </c>
      <c r="D101">
        <f>VLOOKUP(B101, Menu!$A:$F, 6, 0)</f>
        <v>30.34</v>
      </c>
      <c r="E101">
        <f>VLOOKUP(B101, Menu!$A:$F, 5, 0)</f>
        <v>14.18</v>
      </c>
      <c r="F101" t="str">
        <f>VLOOKUP(B101, Menu!$A:$F, 3, 0)</f>
        <v>Beverage</v>
      </c>
      <c r="G101" s="5">
        <f>VLOOKUP(A101, Orders!$A:$B, 2, 0)</f>
        <v>45849.230266203696</v>
      </c>
      <c r="H101" t="str">
        <f>VLOOKUP(A101, Orders!$A:$C, 3, 0)</f>
        <v>Plant 2 Canteen</v>
      </c>
      <c r="I101">
        <f>C101*D101*(1-VLOOKUP(A101,Orders!$A:$G,7,0))</f>
        <v>28.216199999999997</v>
      </c>
      <c r="J101" t="str">
        <f>VLOOKUP(A101,Orders!$A:$G,6,0)</f>
        <v>Breakfast</v>
      </c>
      <c r="K101" t="str">
        <f>VLOOKUP(A101,Orders!$A:$G,5,0)</f>
        <v>Card</v>
      </c>
    </row>
    <row r="102" spans="1:11" x14ac:dyDescent="0.3">
      <c r="A102" t="s">
        <v>77</v>
      </c>
      <c r="B102" t="s">
        <v>404</v>
      </c>
      <c r="C102">
        <v>3</v>
      </c>
      <c r="D102">
        <f>VLOOKUP(B102, Menu!$A:$F, 6, 0)</f>
        <v>32.979999999999997</v>
      </c>
      <c r="E102">
        <f>VLOOKUP(B102, Menu!$A:$F, 5, 0)</f>
        <v>11.84</v>
      </c>
      <c r="F102" t="str">
        <f>VLOOKUP(B102, Menu!$A:$F, 3, 0)</f>
        <v>Beverage</v>
      </c>
      <c r="G102" s="5">
        <f>VLOOKUP(A102, Orders!$A:$B, 2, 0)</f>
        <v>45862.234907407408</v>
      </c>
      <c r="H102" t="str">
        <f>VLOOKUP(A102, Orders!$A:$C, 3, 0)</f>
        <v>Plant 1 Canteen</v>
      </c>
      <c r="I102">
        <f>C102*D102*(1-VLOOKUP(A102,Orders!$A:$G,7,0))</f>
        <v>87.0672</v>
      </c>
      <c r="J102" t="str">
        <f>VLOOKUP(A102,Orders!$A:$G,6,0)</f>
        <v>Breakfast</v>
      </c>
      <c r="K102" t="str">
        <f>VLOOKUP(A102,Orders!$A:$G,5,0)</f>
        <v>Card</v>
      </c>
    </row>
    <row r="103" spans="1:11" x14ac:dyDescent="0.3">
      <c r="A103" t="s">
        <v>77</v>
      </c>
      <c r="B103" t="s">
        <v>408</v>
      </c>
      <c r="C103">
        <v>1</v>
      </c>
      <c r="D103">
        <f>VLOOKUP(B103, Menu!$A:$F, 6, 0)</f>
        <v>70.540000000000006</v>
      </c>
      <c r="E103">
        <f>VLOOKUP(B103, Menu!$A:$F, 5, 0)</f>
        <v>35.81</v>
      </c>
      <c r="F103" t="str">
        <f>VLOOKUP(B103, Menu!$A:$F, 3, 0)</f>
        <v>Snack</v>
      </c>
      <c r="G103" s="5">
        <f>VLOOKUP(A103, Orders!$A:$B, 2, 0)</f>
        <v>45862.234907407408</v>
      </c>
      <c r="H103" t="str">
        <f>VLOOKUP(A103, Orders!$A:$C, 3, 0)</f>
        <v>Plant 1 Canteen</v>
      </c>
      <c r="I103">
        <f>C103*D103*(1-VLOOKUP(A103,Orders!$A:$G,7,0))</f>
        <v>62.075200000000002</v>
      </c>
      <c r="J103" t="str">
        <f>VLOOKUP(A103,Orders!$A:$G,6,0)</f>
        <v>Breakfast</v>
      </c>
      <c r="K103" t="str">
        <f>VLOOKUP(A103,Orders!$A:$G,5,0)</f>
        <v>Card</v>
      </c>
    </row>
    <row r="104" spans="1:11" x14ac:dyDescent="0.3">
      <c r="A104" t="s">
        <v>78</v>
      </c>
      <c r="B104" t="s">
        <v>412</v>
      </c>
      <c r="C104">
        <v>1</v>
      </c>
      <c r="D104">
        <f>VLOOKUP(B104, Menu!$A:$F, 6, 0)</f>
        <v>57.07</v>
      </c>
      <c r="E104">
        <f>VLOOKUP(B104, Menu!$A:$F, 5, 0)</f>
        <v>29.14</v>
      </c>
      <c r="F104" t="str">
        <f>VLOOKUP(B104, Menu!$A:$F, 3, 0)</f>
        <v>Dessert</v>
      </c>
      <c r="G104" s="5">
        <f>VLOOKUP(A104, Orders!$A:$B, 2, 0)</f>
        <v>45856.664189814823</v>
      </c>
      <c r="H104" t="str">
        <f>VLOOKUP(A104, Orders!$A:$C, 3, 0)</f>
        <v>Head Office Café</v>
      </c>
      <c r="I104">
        <f>C104*D104*(1-VLOOKUP(A104,Orders!$A:$G,7,0))</f>
        <v>54.787199999999999</v>
      </c>
      <c r="J104" t="str">
        <f>VLOOKUP(A104,Orders!$A:$G,6,0)</f>
        <v>Lunch</v>
      </c>
      <c r="K104" t="str">
        <f>VLOOKUP(A104,Orders!$A:$G,5,0)</f>
        <v>Card</v>
      </c>
    </row>
    <row r="105" spans="1:11" x14ac:dyDescent="0.3">
      <c r="A105" t="s">
        <v>78</v>
      </c>
      <c r="B105" t="s">
        <v>411</v>
      </c>
      <c r="C105">
        <v>1</v>
      </c>
      <c r="D105">
        <f>VLOOKUP(B105, Menu!$A:$F, 6, 0)</f>
        <v>22.2</v>
      </c>
      <c r="E105">
        <f>VLOOKUP(B105, Menu!$A:$F, 5, 0)</f>
        <v>9.3800000000000008</v>
      </c>
      <c r="F105" t="str">
        <f>VLOOKUP(B105, Menu!$A:$F, 3, 0)</f>
        <v>Beverage</v>
      </c>
      <c r="G105" s="5">
        <f>VLOOKUP(A105, Orders!$A:$B, 2, 0)</f>
        <v>45856.664189814823</v>
      </c>
      <c r="H105" t="str">
        <f>VLOOKUP(A105, Orders!$A:$C, 3, 0)</f>
        <v>Head Office Café</v>
      </c>
      <c r="I105">
        <f>C105*D105*(1-VLOOKUP(A105,Orders!$A:$G,7,0))</f>
        <v>21.311999999999998</v>
      </c>
      <c r="J105" t="str">
        <f>VLOOKUP(A105,Orders!$A:$G,6,0)</f>
        <v>Lunch</v>
      </c>
      <c r="K105" t="str">
        <f>VLOOKUP(A105,Orders!$A:$G,5,0)</f>
        <v>Card</v>
      </c>
    </row>
    <row r="106" spans="1:11" x14ac:dyDescent="0.3">
      <c r="A106" t="s">
        <v>78</v>
      </c>
      <c r="B106" t="s">
        <v>416</v>
      </c>
      <c r="C106">
        <v>1</v>
      </c>
      <c r="D106">
        <f>VLOOKUP(B106, Menu!$A:$F, 6, 0)</f>
        <v>227.61</v>
      </c>
      <c r="E106">
        <f>VLOOKUP(B106, Menu!$A:$F, 5, 0)</f>
        <v>96.22</v>
      </c>
      <c r="F106" t="str">
        <f>VLOOKUP(B106, Menu!$A:$F, 3, 0)</f>
        <v>Hot Meal</v>
      </c>
      <c r="G106" s="5">
        <f>VLOOKUP(A106, Orders!$A:$B, 2, 0)</f>
        <v>45856.664189814823</v>
      </c>
      <c r="H106" t="str">
        <f>VLOOKUP(A106, Orders!$A:$C, 3, 0)</f>
        <v>Head Office Café</v>
      </c>
      <c r="I106">
        <f>C106*D106*(1-VLOOKUP(A106,Orders!$A:$G,7,0))</f>
        <v>218.50560000000002</v>
      </c>
      <c r="J106" t="str">
        <f>VLOOKUP(A106,Orders!$A:$G,6,0)</f>
        <v>Lunch</v>
      </c>
      <c r="K106" t="str">
        <f>VLOOKUP(A106,Orders!$A:$G,5,0)</f>
        <v>Card</v>
      </c>
    </row>
    <row r="107" spans="1:11" x14ac:dyDescent="0.3">
      <c r="A107" t="s">
        <v>78</v>
      </c>
      <c r="B107" t="s">
        <v>413</v>
      </c>
      <c r="C107">
        <v>1</v>
      </c>
      <c r="D107">
        <f>VLOOKUP(B107, Menu!$A:$F, 6, 0)</f>
        <v>54.2</v>
      </c>
      <c r="E107">
        <f>VLOOKUP(B107, Menu!$A:$F, 5, 0)</f>
        <v>21.95</v>
      </c>
      <c r="F107" t="str">
        <f>VLOOKUP(B107, Menu!$A:$F, 3, 0)</f>
        <v>Dessert</v>
      </c>
      <c r="G107" s="5">
        <f>VLOOKUP(A107, Orders!$A:$B, 2, 0)</f>
        <v>45856.664189814823</v>
      </c>
      <c r="H107" t="str">
        <f>VLOOKUP(A107, Orders!$A:$C, 3, 0)</f>
        <v>Head Office Café</v>
      </c>
      <c r="I107">
        <f>C107*D107*(1-VLOOKUP(A107,Orders!$A:$G,7,0))</f>
        <v>52.032000000000004</v>
      </c>
      <c r="J107" t="str">
        <f>VLOOKUP(A107,Orders!$A:$G,6,0)</f>
        <v>Lunch</v>
      </c>
      <c r="K107" t="str">
        <f>VLOOKUP(A107,Orders!$A:$G,5,0)</f>
        <v>Card</v>
      </c>
    </row>
    <row r="108" spans="1:11" x14ac:dyDescent="0.3">
      <c r="A108" t="s">
        <v>79</v>
      </c>
      <c r="B108" t="s">
        <v>411</v>
      </c>
      <c r="C108">
        <v>1</v>
      </c>
      <c r="D108">
        <f>VLOOKUP(B108, Menu!$A:$F, 6, 0)</f>
        <v>22.2</v>
      </c>
      <c r="E108">
        <f>VLOOKUP(B108, Menu!$A:$F, 5, 0)</f>
        <v>9.3800000000000008</v>
      </c>
      <c r="F108" t="str">
        <f>VLOOKUP(B108, Menu!$A:$F, 3, 0)</f>
        <v>Beverage</v>
      </c>
      <c r="G108" s="5">
        <f>VLOOKUP(A108, Orders!$A:$B, 2, 0)</f>
        <v>45865.15425925926</v>
      </c>
      <c r="H108" t="str">
        <f>VLOOKUP(A108, Orders!$A:$C, 3, 0)</f>
        <v>Plant 1 Canteen</v>
      </c>
      <c r="I108">
        <f>C108*D108*(1-VLOOKUP(A108,Orders!$A:$G,7,0))</f>
        <v>21.533999999999999</v>
      </c>
      <c r="J108" t="str">
        <f>VLOOKUP(A108,Orders!$A:$G,6,0)</f>
        <v>Breakfast</v>
      </c>
      <c r="K108" t="str">
        <f>VLOOKUP(A108,Orders!$A:$G,5,0)</f>
        <v>Cash</v>
      </c>
    </row>
    <row r="109" spans="1:11" x14ac:dyDescent="0.3">
      <c r="A109" t="s">
        <v>80</v>
      </c>
      <c r="B109" t="s">
        <v>411</v>
      </c>
      <c r="C109">
        <v>1</v>
      </c>
      <c r="D109">
        <f>VLOOKUP(B109, Menu!$A:$F, 6, 0)</f>
        <v>22.2</v>
      </c>
      <c r="E109">
        <f>VLOOKUP(B109, Menu!$A:$F, 5, 0)</f>
        <v>9.3800000000000008</v>
      </c>
      <c r="F109" t="str">
        <f>VLOOKUP(B109, Menu!$A:$F, 3, 0)</f>
        <v>Beverage</v>
      </c>
      <c r="G109" s="5">
        <f>VLOOKUP(A109, Orders!$A:$B, 2, 0)</f>
        <v>45843.009780092587</v>
      </c>
      <c r="H109" t="str">
        <f>VLOOKUP(A109, Orders!$A:$C, 3, 0)</f>
        <v>Plant 2 Canteen</v>
      </c>
      <c r="I109">
        <f>C109*D109*(1-VLOOKUP(A109,Orders!$A:$G,7,0))</f>
        <v>21.311999999999998</v>
      </c>
      <c r="J109" t="str">
        <f>VLOOKUP(A109,Orders!$A:$G,6,0)</f>
        <v>Breakfast</v>
      </c>
      <c r="K109" t="str">
        <f>VLOOKUP(A109,Orders!$A:$G,5,0)</f>
        <v>Cash</v>
      </c>
    </row>
    <row r="110" spans="1:11" x14ac:dyDescent="0.3">
      <c r="A110" t="s">
        <v>80</v>
      </c>
      <c r="B110" t="s">
        <v>401</v>
      </c>
      <c r="C110">
        <v>1</v>
      </c>
      <c r="D110">
        <f>VLOOKUP(B110, Menu!$A:$F, 6, 0)</f>
        <v>52.45</v>
      </c>
      <c r="E110">
        <f>VLOOKUP(B110, Menu!$A:$F, 5, 0)</f>
        <v>25.8</v>
      </c>
      <c r="F110" t="str">
        <f>VLOOKUP(B110, Menu!$A:$F, 3, 0)</f>
        <v>Snack</v>
      </c>
      <c r="G110" s="5">
        <f>VLOOKUP(A110, Orders!$A:$B, 2, 0)</f>
        <v>45843.009780092587</v>
      </c>
      <c r="H110" t="str">
        <f>VLOOKUP(A110, Orders!$A:$C, 3, 0)</f>
        <v>Plant 2 Canteen</v>
      </c>
      <c r="I110">
        <f>C110*D110*(1-VLOOKUP(A110,Orders!$A:$G,7,0))</f>
        <v>50.352000000000004</v>
      </c>
      <c r="J110" t="str">
        <f>VLOOKUP(A110,Orders!$A:$G,6,0)</f>
        <v>Breakfast</v>
      </c>
      <c r="K110" t="str">
        <f>VLOOKUP(A110,Orders!$A:$G,5,0)</f>
        <v>Cash</v>
      </c>
    </row>
    <row r="111" spans="1:11" x14ac:dyDescent="0.3">
      <c r="A111" t="s">
        <v>80</v>
      </c>
      <c r="B111" t="s">
        <v>408</v>
      </c>
      <c r="C111">
        <v>1</v>
      </c>
      <c r="D111">
        <f>VLOOKUP(B111, Menu!$A:$F, 6, 0)</f>
        <v>70.540000000000006</v>
      </c>
      <c r="E111">
        <f>VLOOKUP(B111, Menu!$A:$F, 5, 0)</f>
        <v>35.81</v>
      </c>
      <c r="F111" t="str">
        <f>VLOOKUP(B111, Menu!$A:$F, 3, 0)</f>
        <v>Snack</v>
      </c>
      <c r="G111" s="5">
        <f>VLOOKUP(A111, Orders!$A:$B, 2, 0)</f>
        <v>45843.009780092587</v>
      </c>
      <c r="H111" t="str">
        <f>VLOOKUP(A111, Orders!$A:$C, 3, 0)</f>
        <v>Plant 2 Canteen</v>
      </c>
      <c r="I111">
        <f>C111*D111*(1-VLOOKUP(A111,Orders!$A:$G,7,0))</f>
        <v>67.718400000000003</v>
      </c>
      <c r="J111" t="str">
        <f>VLOOKUP(A111,Orders!$A:$G,6,0)</f>
        <v>Breakfast</v>
      </c>
      <c r="K111" t="str">
        <f>VLOOKUP(A111,Orders!$A:$G,5,0)</f>
        <v>Cash</v>
      </c>
    </row>
    <row r="112" spans="1:11" x14ac:dyDescent="0.3">
      <c r="A112" t="s">
        <v>81</v>
      </c>
      <c r="B112" t="s">
        <v>410</v>
      </c>
      <c r="C112">
        <v>3</v>
      </c>
      <c r="D112">
        <f>VLOOKUP(B112, Menu!$A:$F, 6, 0)</f>
        <v>20.11</v>
      </c>
      <c r="E112">
        <f>VLOOKUP(B112, Menu!$A:$F, 5, 0)</f>
        <v>8</v>
      </c>
      <c r="F112" t="str">
        <f>VLOOKUP(B112, Menu!$A:$F, 3, 0)</f>
        <v>Beverage</v>
      </c>
      <c r="G112" s="5">
        <f>VLOOKUP(A112, Orders!$A:$B, 2, 0)</f>
        <v>45873.198460648149</v>
      </c>
      <c r="H112" t="str">
        <f>VLOOKUP(A112, Orders!$A:$C, 3, 0)</f>
        <v>Plant 2 Canteen</v>
      </c>
      <c r="I112">
        <f>C112*D112*(1-VLOOKUP(A112,Orders!$A:$G,7,0))</f>
        <v>54.296999999999997</v>
      </c>
      <c r="J112" t="str">
        <f>VLOOKUP(A112,Orders!$A:$G,6,0)</f>
        <v>Breakfast</v>
      </c>
      <c r="K112" t="str">
        <f>VLOOKUP(A112,Orders!$A:$G,5,0)</f>
        <v>Cash</v>
      </c>
    </row>
    <row r="113" spans="1:11" x14ac:dyDescent="0.3">
      <c r="A113" t="s">
        <v>81</v>
      </c>
      <c r="B113" t="s">
        <v>404</v>
      </c>
      <c r="C113">
        <v>2</v>
      </c>
      <c r="D113">
        <f>VLOOKUP(B113, Menu!$A:$F, 6, 0)</f>
        <v>32.979999999999997</v>
      </c>
      <c r="E113">
        <f>VLOOKUP(B113, Menu!$A:$F, 5, 0)</f>
        <v>11.84</v>
      </c>
      <c r="F113" t="str">
        <f>VLOOKUP(B113, Menu!$A:$F, 3, 0)</f>
        <v>Beverage</v>
      </c>
      <c r="G113" s="5">
        <f>VLOOKUP(A113, Orders!$A:$B, 2, 0)</f>
        <v>45873.198460648149</v>
      </c>
      <c r="H113" t="str">
        <f>VLOOKUP(A113, Orders!$A:$C, 3, 0)</f>
        <v>Plant 2 Canteen</v>
      </c>
      <c r="I113">
        <f>C113*D113*(1-VLOOKUP(A113,Orders!$A:$G,7,0))</f>
        <v>59.363999999999997</v>
      </c>
      <c r="J113" t="str">
        <f>VLOOKUP(A113,Orders!$A:$G,6,0)</f>
        <v>Breakfast</v>
      </c>
      <c r="K113" t="str">
        <f>VLOOKUP(A113,Orders!$A:$G,5,0)</f>
        <v>Cash</v>
      </c>
    </row>
    <row r="114" spans="1:11" x14ac:dyDescent="0.3">
      <c r="A114" t="s">
        <v>81</v>
      </c>
      <c r="B114" t="s">
        <v>414</v>
      </c>
      <c r="C114">
        <v>2</v>
      </c>
      <c r="D114">
        <f>VLOOKUP(B114, Menu!$A:$F, 6, 0)</f>
        <v>116.8</v>
      </c>
      <c r="E114">
        <f>VLOOKUP(B114, Menu!$A:$F, 5, 0)</f>
        <v>48.97</v>
      </c>
      <c r="F114" t="str">
        <f>VLOOKUP(B114, Menu!$A:$F, 3, 0)</f>
        <v>Dessert</v>
      </c>
      <c r="G114" s="5">
        <f>VLOOKUP(A114, Orders!$A:$B, 2, 0)</f>
        <v>45873.198460648149</v>
      </c>
      <c r="H114" t="str">
        <f>VLOOKUP(A114, Orders!$A:$C, 3, 0)</f>
        <v>Plant 2 Canteen</v>
      </c>
      <c r="I114">
        <f>C114*D114*(1-VLOOKUP(A114,Orders!$A:$G,7,0))</f>
        <v>210.24</v>
      </c>
      <c r="J114" t="str">
        <f>VLOOKUP(A114,Orders!$A:$G,6,0)</f>
        <v>Breakfast</v>
      </c>
      <c r="K114" t="str">
        <f>VLOOKUP(A114,Orders!$A:$G,5,0)</f>
        <v>Cash</v>
      </c>
    </row>
    <row r="115" spans="1:11" x14ac:dyDescent="0.3">
      <c r="A115" t="s">
        <v>82</v>
      </c>
      <c r="B115" t="s">
        <v>418</v>
      </c>
      <c r="C115">
        <v>1</v>
      </c>
      <c r="D115">
        <f>VLOOKUP(B115, Menu!$A:$F, 6, 0)</f>
        <v>39.950000000000003</v>
      </c>
      <c r="E115">
        <f>VLOOKUP(B115, Menu!$A:$F, 5, 0)</f>
        <v>15.51</v>
      </c>
      <c r="F115" t="str">
        <f>VLOOKUP(B115, Menu!$A:$F, 3, 0)</f>
        <v>Snack</v>
      </c>
      <c r="G115" s="5">
        <f>VLOOKUP(A115, Orders!$A:$B, 2, 0)</f>
        <v>45858.00104166667</v>
      </c>
      <c r="H115" t="str">
        <f>VLOOKUP(A115, Orders!$A:$C, 3, 0)</f>
        <v>Plant 2 Canteen</v>
      </c>
      <c r="I115">
        <f>C115*D115*(1-VLOOKUP(A115,Orders!$A:$G,7,0))</f>
        <v>37.153500000000001</v>
      </c>
      <c r="J115" t="str">
        <f>VLOOKUP(A115,Orders!$A:$G,6,0)</f>
        <v>Breakfast</v>
      </c>
      <c r="K115" t="str">
        <f>VLOOKUP(A115,Orders!$A:$G,5,0)</f>
        <v>Card</v>
      </c>
    </row>
    <row r="116" spans="1:11" x14ac:dyDescent="0.3">
      <c r="A116" t="s">
        <v>83</v>
      </c>
      <c r="B116" t="s">
        <v>415</v>
      </c>
      <c r="C116">
        <v>2</v>
      </c>
      <c r="D116">
        <f>VLOOKUP(B116, Menu!$A:$F, 6, 0)</f>
        <v>256.91000000000003</v>
      </c>
      <c r="E116">
        <f>VLOOKUP(B116, Menu!$A:$F, 5, 0)</f>
        <v>121.24</v>
      </c>
      <c r="F116" t="str">
        <f>VLOOKUP(B116, Menu!$A:$F, 3, 0)</f>
        <v>Hot Meal</v>
      </c>
      <c r="G116" s="5">
        <f>VLOOKUP(A116, Orders!$A:$B, 2, 0)</f>
        <v>45866.350347222222</v>
      </c>
      <c r="H116" t="str">
        <f>VLOOKUP(A116, Orders!$A:$C, 3, 0)</f>
        <v>Plant 2 Canteen</v>
      </c>
      <c r="I116">
        <f>C116*D116*(1-VLOOKUP(A116,Orders!$A:$G,7,0))</f>
        <v>493.2672</v>
      </c>
      <c r="J116" t="str">
        <f>VLOOKUP(A116,Orders!$A:$G,6,0)</f>
        <v>Breakfast</v>
      </c>
      <c r="K116" t="str">
        <f>VLOOKUP(A116,Orders!$A:$G,5,0)</f>
        <v>UPI</v>
      </c>
    </row>
    <row r="117" spans="1:11" x14ac:dyDescent="0.3">
      <c r="A117" t="s">
        <v>83</v>
      </c>
      <c r="B117" t="s">
        <v>401</v>
      </c>
      <c r="C117">
        <v>1</v>
      </c>
      <c r="D117">
        <f>VLOOKUP(B117, Menu!$A:$F, 6, 0)</f>
        <v>52.45</v>
      </c>
      <c r="E117">
        <f>VLOOKUP(B117, Menu!$A:$F, 5, 0)</f>
        <v>25.8</v>
      </c>
      <c r="F117" t="str">
        <f>VLOOKUP(B117, Menu!$A:$F, 3, 0)</f>
        <v>Snack</v>
      </c>
      <c r="G117" s="5">
        <f>VLOOKUP(A117, Orders!$A:$B, 2, 0)</f>
        <v>45866.350347222222</v>
      </c>
      <c r="H117" t="str">
        <f>VLOOKUP(A117, Orders!$A:$C, 3, 0)</f>
        <v>Plant 2 Canteen</v>
      </c>
      <c r="I117">
        <f>C117*D117*(1-VLOOKUP(A117,Orders!$A:$G,7,0))</f>
        <v>50.352000000000004</v>
      </c>
      <c r="J117" t="str">
        <f>VLOOKUP(A117,Orders!$A:$G,6,0)</f>
        <v>Breakfast</v>
      </c>
      <c r="K117" t="str">
        <f>VLOOKUP(A117,Orders!$A:$G,5,0)</f>
        <v>UPI</v>
      </c>
    </row>
    <row r="118" spans="1:11" x14ac:dyDescent="0.3">
      <c r="A118" t="s">
        <v>83</v>
      </c>
      <c r="B118" t="s">
        <v>413</v>
      </c>
      <c r="C118">
        <v>1</v>
      </c>
      <c r="D118">
        <f>VLOOKUP(B118, Menu!$A:$F, 6, 0)</f>
        <v>54.2</v>
      </c>
      <c r="E118">
        <f>VLOOKUP(B118, Menu!$A:$F, 5, 0)</f>
        <v>21.95</v>
      </c>
      <c r="F118" t="str">
        <f>VLOOKUP(B118, Menu!$A:$F, 3, 0)</f>
        <v>Dessert</v>
      </c>
      <c r="G118" s="5">
        <f>VLOOKUP(A118, Orders!$A:$B, 2, 0)</f>
        <v>45866.350347222222</v>
      </c>
      <c r="H118" t="str">
        <f>VLOOKUP(A118, Orders!$A:$C, 3, 0)</f>
        <v>Plant 2 Canteen</v>
      </c>
      <c r="I118">
        <f>C118*D118*(1-VLOOKUP(A118,Orders!$A:$G,7,0))</f>
        <v>52.032000000000004</v>
      </c>
      <c r="J118" t="str">
        <f>VLOOKUP(A118,Orders!$A:$G,6,0)</f>
        <v>Breakfast</v>
      </c>
      <c r="K118" t="str">
        <f>VLOOKUP(A118,Orders!$A:$G,5,0)</f>
        <v>UPI</v>
      </c>
    </row>
    <row r="119" spans="1:11" x14ac:dyDescent="0.3">
      <c r="A119" t="s">
        <v>84</v>
      </c>
      <c r="B119" t="s">
        <v>406</v>
      </c>
      <c r="C119">
        <v>1</v>
      </c>
      <c r="D119">
        <f>VLOOKUP(B119, Menu!$A:$F, 6, 0)</f>
        <v>38.06</v>
      </c>
      <c r="E119">
        <f>VLOOKUP(B119, Menu!$A:$F, 5, 0)</f>
        <v>19.55</v>
      </c>
      <c r="F119" t="str">
        <f>VLOOKUP(B119, Menu!$A:$F, 3, 0)</f>
        <v>Snack</v>
      </c>
      <c r="G119" s="5">
        <f>VLOOKUP(A119, Orders!$A:$B, 2, 0)</f>
        <v>45891.311377314807</v>
      </c>
      <c r="H119" t="str">
        <f>VLOOKUP(A119, Orders!$A:$C, 3, 0)</f>
        <v>Plant 2 Canteen</v>
      </c>
      <c r="I119">
        <f>C119*D119*(1-VLOOKUP(A119,Orders!$A:$G,7,0))</f>
        <v>35.0152</v>
      </c>
      <c r="J119" t="str">
        <f>VLOOKUP(A119,Orders!$A:$G,6,0)</f>
        <v>Breakfast</v>
      </c>
      <c r="K119" t="str">
        <f>VLOOKUP(A119,Orders!$A:$G,5,0)</f>
        <v>Cash</v>
      </c>
    </row>
    <row r="120" spans="1:11" x14ac:dyDescent="0.3">
      <c r="A120" t="s">
        <v>84</v>
      </c>
      <c r="B120" t="s">
        <v>419</v>
      </c>
      <c r="C120">
        <v>2</v>
      </c>
      <c r="D120">
        <f>VLOOKUP(B120, Menu!$A:$F, 6, 0)</f>
        <v>50.19</v>
      </c>
      <c r="E120">
        <f>VLOOKUP(B120, Menu!$A:$F, 5, 0)</f>
        <v>22.61</v>
      </c>
      <c r="F120" t="str">
        <f>VLOOKUP(B120, Menu!$A:$F, 3, 0)</f>
        <v>Snack</v>
      </c>
      <c r="G120" s="5">
        <f>VLOOKUP(A120, Orders!$A:$B, 2, 0)</f>
        <v>45891.311377314807</v>
      </c>
      <c r="H120" t="str">
        <f>VLOOKUP(A120, Orders!$A:$C, 3, 0)</f>
        <v>Plant 2 Canteen</v>
      </c>
      <c r="I120">
        <f>C120*D120*(1-VLOOKUP(A120,Orders!$A:$G,7,0))</f>
        <v>92.349599999999995</v>
      </c>
      <c r="J120" t="str">
        <f>VLOOKUP(A120,Orders!$A:$G,6,0)</f>
        <v>Breakfast</v>
      </c>
      <c r="K120" t="str">
        <f>VLOOKUP(A120,Orders!$A:$G,5,0)</f>
        <v>Cash</v>
      </c>
    </row>
    <row r="121" spans="1:11" x14ac:dyDescent="0.3">
      <c r="A121" t="s">
        <v>84</v>
      </c>
      <c r="B121" t="s">
        <v>409</v>
      </c>
      <c r="C121">
        <v>2</v>
      </c>
      <c r="D121">
        <f>VLOOKUP(B121, Menu!$A:$F, 6, 0)</f>
        <v>28.43</v>
      </c>
      <c r="E121">
        <f>VLOOKUP(B121, Menu!$A:$F, 5, 0)</f>
        <v>13.89</v>
      </c>
      <c r="F121" t="str">
        <f>VLOOKUP(B121, Menu!$A:$F, 3, 0)</f>
        <v>Beverage</v>
      </c>
      <c r="G121" s="5">
        <f>VLOOKUP(A121, Orders!$A:$B, 2, 0)</f>
        <v>45891.311377314807</v>
      </c>
      <c r="H121" t="str">
        <f>VLOOKUP(A121, Orders!$A:$C, 3, 0)</f>
        <v>Plant 2 Canteen</v>
      </c>
      <c r="I121">
        <f>C121*D121*(1-VLOOKUP(A121,Orders!$A:$G,7,0))</f>
        <v>52.311199999999999</v>
      </c>
      <c r="J121" t="str">
        <f>VLOOKUP(A121,Orders!$A:$G,6,0)</f>
        <v>Breakfast</v>
      </c>
      <c r="K121" t="str">
        <f>VLOOKUP(A121,Orders!$A:$G,5,0)</f>
        <v>Cash</v>
      </c>
    </row>
    <row r="122" spans="1:11" x14ac:dyDescent="0.3">
      <c r="A122" t="s">
        <v>85</v>
      </c>
      <c r="B122" t="s">
        <v>416</v>
      </c>
      <c r="C122">
        <v>1</v>
      </c>
      <c r="D122">
        <f>VLOOKUP(B122, Menu!$A:$F, 6, 0)</f>
        <v>227.61</v>
      </c>
      <c r="E122">
        <f>VLOOKUP(B122, Menu!$A:$F, 5, 0)</f>
        <v>96.22</v>
      </c>
      <c r="F122" t="str">
        <f>VLOOKUP(B122, Menu!$A:$F, 3, 0)</f>
        <v>Hot Meal</v>
      </c>
      <c r="G122" s="5">
        <f>VLOOKUP(A122, Orders!$A:$B, 2, 0)</f>
        <v>45856.587210648147</v>
      </c>
      <c r="H122" t="str">
        <f>VLOOKUP(A122, Orders!$A:$C, 3, 0)</f>
        <v>Head Office Café</v>
      </c>
      <c r="I122">
        <f>C122*D122*(1-VLOOKUP(A122,Orders!$A:$G,7,0))</f>
        <v>213.95339999999999</v>
      </c>
      <c r="J122" t="str">
        <f>VLOOKUP(A122,Orders!$A:$G,6,0)</f>
        <v>Lunch</v>
      </c>
      <c r="K122" t="str">
        <f>VLOOKUP(A122,Orders!$A:$G,5,0)</f>
        <v>Cash</v>
      </c>
    </row>
    <row r="123" spans="1:11" x14ac:dyDescent="0.3">
      <c r="A123" t="s">
        <v>85</v>
      </c>
      <c r="B123" t="s">
        <v>404</v>
      </c>
      <c r="C123">
        <v>2</v>
      </c>
      <c r="D123">
        <f>VLOOKUP(B123, Menu!$A:$F, 6, 0)</f>
        <v>32.979999999999997</v>
      </c>
      <c r="E123">
        <f>VLOOKUP(B123, Menu!$A:$F, 5, 0)</f>
        <v>11.84</v>
      </c>
      <c r="F123" t="str">
        <f>VLOOKUP(B123, Menu!$A:$F, 3, 0)</f>
        <v>Beverage</v>
      </c>
      <c r="G123" s="5">
        <f>VLOOKUP(A123, Orders!$A:$B, 2, 0)</f>
        <v>45856.587210648147</v>
      </c>
      <c r="H123" t="str">
        <f>VLOOKUP(A123, Orders!$A:$C, 3, 0)</f>
        <v>Head Office Café</v>
      </c>
      <c r="I123">
        <f>C123*D123*(1-VLOOKUP(A123,Orders!$A:$G,7,0))</f>
        <v>62.002399999999987</v>
      </c>
      <c r="J123" t="str">
        <f>VLOOKUP(A123,Orders!$A:$G,6,0)</f>
        <v>Lunch</v>
      </c>
      <c r="K123" t="str">
        <f>VLOOKUP(A123,Orders!$A:$G,5,0)</f>
        <v>Cash</v>
      </c>
    </row>
    <row r="124" spans="1:11" x14ac:dyDescent="0.3">
      <c r="A124" t="s">
        <v>86</v>
      </c>
      <c r="B124" t="s">
        <v>403</v>
      </c>
      <c r="C124">
        <v>1</v>
      </c>
      <c r="D124">
        <f>VLOOKUP(B124, Menu!$A:$F, 6, 0)</f>
        <v>76.55</v>
      </c>
      <c r="E124">
        <f>VLOOKUP(B124, Menu!$A:$F, 5, 0)</f>
        <v>38.229999999999997</v>
      </c>
      <c r="F124" t="str">
        <f>VLOOKUP(B124, Menu!$A:$F, 3, 0)</f>
        <v>Dessert</v>
      </c>
      <c r="G124" s="5">
        <f>VLOOKUP(A124, Orders!$A:$B, 2, 0)</f>
        <v>45897.171319444453</v>
      </c>
      <c r="H124" t="str">
        <f>VLOOKUP(A124, Orders!$A:$C, 3, 0)</f>
        <v>Plant 2 Canteen</v>
      </c>
      <c r="I124">
        <f>C124*D124*(1-VLOOKUP(A124,Orders!$A:$G,7,0))</f>
        <v>68.894999999999996</v>
      </c>
      <c r="J124" t="str">
        <f>VLOOKUP(A124,Orders!$A:$G,6,0)</f>
        <v>Breakfast</v>
      </c>
      <c r="K124" t="str">
        <f>VLOOKUP(A124,Orders!$A:$G,5,0)</f>
        <v>UPI</v>
      </c>
    </row>
    <row r="125" spans="1:11" x14ac:dyDescent="0.3">
      <c r="A125" t="s">
        <v>86</v>
      </c>
      <c r="B125" t="s">
        <v>404</v>
      </c>
      <c r="C125">
        <v>1</v>
      </c>
      <c r="D125">
        <f>VLOOKUP(B125, Menu!$A:$F, 6, 0)</f>
        <v>32.979999999999997</v>
      </c>
      <c r="E125">
        <f>VLOOKUP(B125, Menu!$A:$F, 5, 0)</f>
        <v>11.84</v>
      </c>
      <c r="F125" t="str">
        <f>VLOOKUP(B125, Menu!$A:$F, 3, 0)</f>
        <v>Beverage</v>
      </c>
      <c r="G125" s="5">
        <f>VLOOKUP(A125, Orders!$A:$B, 2, 0)</f>
        <v>45897.171319444453</v>
      </c>
      <c r="H125" t="str">
        <f>VLOOKUP(A125, Orders!$A:$C, 3, 0)</f>
        <v>Plant 2 Canteen</v>
      </c>
      <c r="I125">
        <f>C125*D125*(1-VLOOKUP(A125,Orders!$A:$G,7,0))</f>
        <v>29.681999999999999</v>
      </c>
      <c r="J125" t="str">
        <f>VLOOKUP(A125,Orders!$A:$G,6,0)</f>
        <v>Breakfast</v>
      </c>
      <c r="K125" t="str">
        <f>VLOOKUP(A125,Orders!$A:$G,5,0)</f>
        <v>UPI</v>
      </c>
    </row>
    <row r="126" spans="1:11" x14ac:dyDescent="0.3">
      <c r="A126" t="s">
        <v>87</v>
      </c>
      <c r="B126" t="s">
        <v>407</v>
      </c>
      <c r="C126">
        <v>1</v>
      </c>
      <c r="D126">
        <f>VLOOKUP(B126, Menu!$A:$F, 6, 0)</f>
        <v>246.09</v>
      </c>
      <c r="E126">
        <f>VLOOKUP(B126, Menu!$A:$F, 5, 0)</f>
        <v>112.08</v>
      </c>
      <c r="F126" t="str">
        <f>VLOOKUP(B126, Menu!$A:$F, 3, 0)</f>
        <v>Hot Meal</v>
      </c>
      <c r="G126" s="5">
        <f>VLOOKUP(A126, Orders!$A:$B, 2, 0)</f>
        <v>45881.619641203702</v>
      </c>
      <c r="H126" t="str">
        <f>VLOOKUP(A126, Orders!$A:$C, 3, 0)</f>
        <v>Head Office Café</v>
      </c>
      <c r="I126">
        <f>C126*D126*(1-VLOOKUP(A126,Orders!$A:$G,7,0))</f>
        <v>238.7073</v>
      </c>
      <c r="J126" t="str">
        <f>VLOOKUP(A126,Orders!$A:$G,6,0)</f>
        <v>Lunch</v>
      </c>
      <c r="K126" t="str">
        <f>VLOOKUP(A126,Orders!$A:$G,5,0)</f>
        <v>Cash</v>
      </c>
    </row>
    <row r="127" spans="1:11" x14ac:dyDescent="0.3">
      <c r="A127" t="s">
        <v>87</v>
      </c>
      <c r="B127" t="s">
        <v>414</v>
      </c>
      <c r="C127">
        <v>1</v>
      </c>
      <c r="D127">
        <f>VLOOKUP(B127, Menu!$A:$F, 6, 0)</f>
        <v>116.8</v>
      </c>
      <c r="E127">
        <f>VLOOKUP(B127, Menu!$A:$F, 5, 0)</f>
        <v>48.97</v>
      </c>
      <c r="F127" t="str">
        <f>VLOOKUP(B127, Menu!$A:$F, 3, 0)</f>
        <v>Dessert</v>
      </c>
      <c r="G127" s="5">
        <f>VLOOKUP(A127, Orders!$A:$B, 2, 0)</f>
        <v>45881.619641203702</v>
      </c>
      <c r="H127" t="str">
        <f>VLOOKUP(A127, Orders!$A:$C, 3, 0)</f>
        <v>Head Office Café</v>
      </c>
      <c r="I127">
        <f>C127*D127*(1-VLOOKUP(A127,Orders!$A:$G,7,0))</f>
        <v>113.29599999999999</v>
      </c>
      <c r="J127" t="str">
        <f>VLOOKUP(A127,Orders!$A:$G,6,0)</f>
        <v>Lunch</v>
      </c>
      <c r="K127" t="str">
        <f>VLOOKUP(A127,Orders!$A:$G,5,0)</f>
        <v>Cash</v>
      </c>
    </row>
    <row r="128" spans="1:11" x14ac:dyDescent="0.3">
      <c r="A128" t="s">
        <v>87</v>
      </c>
      <c r="B128" t="s">
        <v>403</v>
      </c>
      <c r="C128">
        <v>3</v>
      </c>
      <c r="D128">
        <f>VLOOKUP(B128, Menu!$A:$F, 6, 0)</f>
        <v>76.55</v>
      </c>
      <c r="E128">
        <f>VLOOKUP(B128, Menu!$A:$F, 5, 0)</f>
        <v>38.229999999999997</v>
      </c>
      <c r="F128" t="str">
        <f>VLOOKUP(B128, Menu!$A:$F, 3, 0)</f>
        <v>Dessert</v>
      </c>
      <c r="G128" s="5">
        <f>VLOOKUP(A128, Orders!$A:$B, 2, 0)</f>
        <v>45881.619641203702</v>
      </c>
      <c r="H128" t="str">
        <f>VLOOKUP(A128, Orders!$A:$C, 3, 0)</f>
        <v>Head Office Café</v>
      </c>
      <c r="I128">
        <f>C128*D128*(1-VLOOKUP(A128,Orders!$A:$G,7,0))</f>
        <v>222.76049999999998</v>
      </c>
      <c r="J128" t="str">
        <f>VLOOKUP(A128,Orders!$A:$G,6,0)</f>
        <v>Lunch</v>
      </c>
      <c r="K128" t="str">
        <f>VLOOKUP(A128,Orders!$A:$G,5,0)</f>
        <v>Cash</v>
      </c>
    </row>
    <row r="129" spans="1:11" x14ac:dyDescent="0.3">
      <c r="A129" t="s">
        <v>88</v>
      </c>
      <c r="B129" t="s">
        <v>408</v>
      </c>
      <c r="C129">
        <v>2</v>
      </c>
      <c r="D129">
        <f>VLOOKUP(B129, Menu!$A:$F, 6, 0)</f>
        <v>70.540000000000006</v>
      </c>
      <c r="E129">
        <f>VLOOKUP(B129, Menu!$A:$F, 5, 0)</f>
        <v>35.81</v>
      </c>
      <c r="F129" t="str">
        <f>VLOOKUP(B129, Menu!$A:$F, 3, 0)</f>
        <v>Snack</v>
      </c>
      <c r="G129" s="5">
        <f>VLOOKUP(A129, Orders!$A:$B, 2, 0)</f>
        <v>45895.231145833342</v>
      </c>
      <c r="H129" t="str">
        <f>VLOOKUP(A129, Orders!$A:$C, 3, 0)</f>
        <v>Plant 1 Canteen</v>
      </c>
      <c r="I129">
        <f>C129*D129*(1-VLOOKUP(A129,Orders!$A:$G,7,0))</f>
        <v>134.02600000000001</v>
      </c>
      <c r="J129" t="str">
        <f>VLOOKUP(A129,Orders!$A:$G,6,0)</f>
        <v>Breakfast</v>
      </c>
      <c r="K129" t="str">
        <f>VLOOKUP(A129,Orders!$A:$G,5,0)</f>
        <v>Cash</v>
      </c>
    </row>
    <row r="130" spans="1:11" x14ac:dyDescent="0.3">
      <c r="A130" t="s">
        <v>88</v>
      </c>
      <c r="B130" t="s">
        <v>401</v>
      </c>
      <c r="C130">
        <v>1</v>
      </c>
      <c r="D130">
        <f>VLOOKUP(B130, Menu!$A:$F, 6, 0)</f>
        <v>52.45</v>
      </c>
      <c r="E130">
        <f>VLOOKUP(B130, Menu!$A:$F, 5, 0)</f>
        <v>25.8</v>
      </c>
      <c r="F130" t="str">
        <f>VLOOKUP(B130, Menu!$A:$F, 3, 0)</f>
        <v>Snack</v>
      </c>
      <c r="G130" s="5">
        <f>VLOOKUP(A130, Orders!$A:$B, 2, 0)</f>
        <v>45895.231145833342</v>
      </c>
      <c r="H130" t="str">
        <f>VLOOKUP(A130, Orders!$A:$C, 3, 0)</f>
        <v>Plant 1 Canteen</v>
      </c>
      <c r="I130">
        <f>C130*D130*(1-VLOOKUP(A130,Orders!$A:$G,7,0))</f>
        <v>49.827500000000001</v>
      </c>
      <c r="J130" t="str">
        <f>VLOOKUP(A130,Orders!$A:$G,6,0)</f>
        <v>Breakfast</v>
      </c>
      <c r="K130" t="str">
        <f>VLOOKUP(A130,Orders!$A:$G,5,0)</f>
        <v>Cash</v>
      </c>
    </row>
    <row r="131" spans="1:11" x14ac:dyDescent="0.3">
      <c r="A131" t="s">
        <v>89</v>
      </c>
      <c r="B131" t="s">
        <v>401</v>
      </c>
      <c r="C131">
        <v>2</v>
      </c>
      <c r="D131">
        <f>VLOOKUP(B131, Menu!$A:$F, 6, 0)</f>
        <v>52.45</v>
      </c>
      <c r="E131">
        <f>VLOOKUP(B131, Menu!$A:$F, 5, 0)</f>
        <v>25.8</v>
      </c>
      <c r="F131" t="str">
        <f>VLOOKUP(B131, Menu!$A:$F, 3, 0)</f>
        <v>Snack</v>
      </c>
      <c r="G131" s="5">
        <f>VLOOKUP(A131, Orders!$A:$B, 2, 0)</f>
        <v>45839.414201388892</v>
      </c>
      <c r="H131" t="str">
        <f>VLOOKUP(A131, Orders!$A:$C, 3, 0)</f>
        <v>Head Office Café</v>
      </c>
      <c r="I131">
        <f>C131*D131*(1-VLOOKUP(A131,Orders!$A:$G,7,0))</f>
        <v>100.70400000000001</v>
      </c>
      <c r="J131" t="str">
        <f>VLOOKUP(A131,Orders!$A:$G,6,0)</f>
        <v>Breakfast</v>
      </c>
      <c r="K131" t="str">
        <f>VLOOKUP(A131,Orders!$A:$G,5,0)</f>
        <v>UPI</v>
      </c>
    </row>
    <row r="132" spans="1:11" x14ac:dyDescent="0.3">
      <c r="A132" t="s">
        <v>90</v>
      </c>
      <c r="B132" t="s">
        <v>406</v>
      </c>
      <c r="C132">
        <v>1</v>
      </c>
      <c r="D132">
        <f>VLOOKUP(B132, Menu!$A:$F, 6, 0)</f>
        <v>38.06</v>
      </c>
      <c r="E132">
        <f>VLOOKUP(B132, Menu!$A:$F, 5, 0)</f>
        <v>19.55</v>
      </c>
      <c r="F132" t="str">
        <f>VLOOKUP(B132, Menu!$A:$F, 3, 0)</f>
        <v>Snack</v>
      </c>
      <c r="G132" s="5">
        <f>VLOOKUP(A132, Orders!$A:$B, 2, 0)</f>
        <v>45874.612395833326</v>
      </c>
      <c r="H132" t="str">
        <f>VLOOKUP(A132, Orders!$A:$C, 3, 0)</f>
        <v>Plant 2 Canteen</v>
      </c>
      <c r="I132">
        <f>C132*D132*(1-VLOOKUP(A132,Orders!$A:$G,7,0))</f>
        <v>38.06</v>
      </c>
      <c r="J132" t="str">
        <f>VLOOKUP(A132,Orders!$A:$G,6,0)</f>
        <v>Lunch</v>
      </c>
      <c r="K132" t="str">
        <f>VLOOKUP(A132,Orders!$A:$G,5,0)</f>
        <v>UPI</v>
      </c>
    </row>
    <row r="133" spans="1:11" x14ac:dyDescent="0.3">
      <c r="A133" t="s">
        <v>90</v>
      </c>
      <c r="B133" t="s">
        <v>414</v>
      </c>
      <c r="C133">
        <v>2</v>
      </c>
      <c r="D133">
        <f>VLOOKUP(B133, Menu!$A:$F, 6, 0)</f>
        <v>116.8</v>
      </c>
      <c r="E133">
        <f>VLOOKUP(B133, Menu!$A:$F, 5, 0)</f>
        <v>48.97</v>
      </c>
      <c r="F133" t="str">
        <f>VLOOKUP(B133, Menu!$A:$F, 3, 0)</f>
        <v>Dessert</v>
      </c>
      <c r="G133" s="5">
        <f>VLOOKUP(A133, Orders!$A:$B, 2, 0)</f>
        <v>45874.612395833326</v>
      </c>
      <c r="H133" t="str">
        <f>VLOOKUP(A133, Orders!$A:$C, 3, 0)</f>
        <v>Plant 2 Canteen</v>
      </c>
      <c r="I133">
        <f>C133*D133*(1-VLOOKUP(A133,Orders!$A:$G,7,0))</f>
        <v>233.6</v>
      </c>
      <c r="J133" t="str">
        <f>VLOOKUP(A133,Orders!$A:$G,6,0)</f>
        <v>Lunch</v>
      </c>
      <c r="K133" t="str">
        <f>VLOOKUP(A133,Orders!$A:$G,5,0)</f>
        <v>UPI</v>
      </c>
    </row>
    <row r="134" spans="1:11" x14ac:dyDescent="0.3">
      <c r="A134" t="s">
        <v>91</v>
      </c>
      <c r="B134" t="s">
        <v>415</v>
      </c>
      <c r="C134">
        <v>2</v>
      </c>
      <c r="D134">
        <f>VLOOKUP(B134, Menu!$A:$F, 6, 0)</f>
        <v>256.91000000000003</v>
      </c>
      <c r="E134">
        <f>VLOOKUP(B134, Menu!$A:$F, 5, 0)</f>
        <v>121.24</v>
      </c>
      <c r="F134" t="str">
        <f>VLOOKUP(B134, Menu!$A:$F, 3, 0)</f>
        <v>Hot Meal</v>
      </c>
      <c r="G134" s="5">
        <f>VLOOKUP(A134, Orders!$A:$B, 2, 0)</f>
        <v>45869.728182870371</v>
      </c>
      <c r="H134" t="str">
        <f>VLOOKUP(A134, Orders!$A:$C, 3, 0)</f>
        <v>Head Office Café</v>
      </c>
      <c r="I134">
        <f>C134*D134*(1-VLOOKUP(A134,Orders!$A:$G,7,0))</f>
        <v>477.8526</v>
      </c>
      <c r="J134" t="str">
        <f>VLOOKUP(A134,Orders!$A:$G,6,0)</f>
        <v>Dinner</v>
      </c>
      <c r="K134" t="str">
        <f>VLOOKUP(A134,Orders!$A:$G,5,0)</f>
        <v>UPI</v>
      </c>
    </row>
    <row r="135" spans="1:11" x14ac:dyDescent="0.3">
      <c r="A135" t="s">
        <v>91</v>
      </c>
      <c r="B135" t="s">
        <v>407</v>
      </c>
      <c r="C135">
        <v>1</v>
      </c>
      <c r="D135">
        <f>VLOOKUP(B135, Menu!$A:$F, 6, 0)</f>
        <v>246.09</v>
      </c>
      <c r="E135">
        <f>VLOOKUP(B135, Menu!$A:$F, 5, 0)</f>
        <v>112.08</v>
      </c>
      <c r="F135" t="str">
        <f>VLOOKUP(B135, Menu!$A:$F, 3, 0)</f>
        <v>Hot Meal</v>
      </c>
      <c r="G135" s="5">
        <f>VLOOKUP(A135, Orders!$A:$B, 2, 0)</f>
        <v>45869.728182870371</v>
      </c>
      <c r="H135" t="str">
        <f>VLOOKUP(A135, Orders!$A:$C, 3, 0)</f>
        <v>Head Office Café</v>
      </c>
      <c r="I135">
        <f>C135*D135*(1-VLOOKUP(A135,Orders!$A:$G,7,0))</f>
        <v>228.86369999999999</v>
      </c>
      <c r="J135" t="str">
        <f>VLOOKUP(A135,Orders!$A:$G,6,0)</f>
        <v>Dinner</v>
      </c>
      <c r="K135" t="str">
        <f>VLOOKUP(A135,Orders!$A:$G,5,0)</f>
        <v>UPI</v>
      </c>
    </row>
    <row r="136" spans="1:11" x14ac:dyDescent="0.3">
      <c r="A136" t="s">
        <v>92</v>
      </c>
      <c r="B136" t="s">
        <v>414</v>
      </c>
      <c r="C136">
        <v>3</v>
      </c>
      <c r="D136">
        <f>VLOOKUP(B136, Menu!$A:$F, 6, 0)</f>
        <v>116.8</v>
      </c>
      <c r="E136">
        <f>VLOOKUP(B136, Menu!$A:$F, 5, 0)</f>
        <v>48.97</v>
      </c>
      <c r="F136" t="str">
        <f>VLOOKUP(B136, Menu!$A:$F, 3, 0)</f>
        <v>Dessert</v>
      </c>
      <c r="G136" s="5">
        <f>VLOOKUP(A136, Orders!$A:$B, 2, 0)</f>
        <v>45888.486701388887</v>
      </c>
      <c r="H136" t="str">
        <f>VLOOKUP(A136, Orders!$A:$C, 3, 0)</f>
        <v>Plant 2 Canteen</v>
      </c>
      <c r="I136">
        <f>C136*D136*(1-VLOOKUP(A136,Orders!$A:$G,7,0))</f>
        <v>325.87199999999996</v>
      </c>
      <c r="J136" t="str">
        <f>VLOOKUP(A136,Orders!$A:$G,6,0)</f>
        <v>Lunch</v>
      </c>
      <c r="K136" t="str">
        <f>VLOOKUP(A136,Orders!$A:$G,5,0)</f>
        <v>Card</v>
      </c>
    </row>
    <row r="137" spans="1:11" x14ac:dyDescent="0.3">
      <c r="A137" t="s">
        <v>92</v>
      </c>
      <c r="B137" t="s">
        <v>417</v>
      </c>
      <c r="C137">
        <v>1</v>
      </c>
      <c r="D137">
        <f>VLOOKUP(B137, Menu!$A:$F, 6, 0)</f>
        <v>146.4</v>
      </c>
      <c r="E137">
        <f>VLOOKUP(B137, Menu!$A:$F, 5, 0)</f>
        <v>80.92</v>
      </c>
      <c r="F137" t="str">
        <f>VLOOKUP(B137, Menu!$A:$F, 3, 0)</f>
        <v>Hot Meal</v>
      </c>
      <c r="G137" s="5">
        <f>VLOOKUP(A137, Orders!$A:$B, 2, 0)</f>
        <v>45888.486701388887</v>
      </c>
      <c r="H137" t="str">
        <f>VLOOKUP(A137, Orders!$A:$C, 3, 0)</f>
        <v>Plant 2 Canteen</v>
      </c>
      <c r="I137">
        <f>C137*D137*(1-VLOOKUP(A137,Orders!$A:$G,7,0))</f>
        <v>136.15199999999999</v>
      </c>
      <c r="J137" t="str">
        <f>VLOOKUP(A137,Orders!$A:$G,6,0)</f>
        <v>Lunch</v>
      </c>
      <c r="K137" t="str">
        <f>VLOOKUP(A137,Orders!$A:$G,5,0)</f>
        <v>Card</v>
      </c>
    </row>
    <row r="138" spans="1:11" x14ac:dyDescent="0.3">
      <c r="A138" t="s">
        <v>93</v>
      </c>
      <c r="B138" t="s">
        <v>419</v>
      </c>
      <c r="C138">
        <v>1</v>
      </c>
      <c r="D138">
        <f>VLOOKUP(B138, Menu!$A:$F, 6, 0)</f>
        <v>50.19</v>
      </c>
      <c r="E138">
        <f>VLOOKUP(B138, Menu!$A:$F, 5, 0)</f>
        <v>22.61</v>
      </c>
      <c r="F138" t="str">
        <f>VLOOKUP(B138, Menu!$A:$F, 3, 0)</f>
        <v>Snack</v>
      </c>
      <c r="G138" s="5">
        <f>VLOOKUP(A138, Orders!$A:$B, 2, 0)</f>
        <v>45878.319201388891</v>
      </c>
      <c r="H138" t="str">
        <f>VLOOKUP(A138, Orders!$A:$C, 3, 0)</f>
        <v>Head Office Café</v>
      </c>
      <c r="I138">
        <f>C138*D138*(1-VLOOKUP(A138,Orders!$A:$G,7,0))</f>
        <v>47.178599999999996</v>
      </c>
      <c r="J138" t="str">
        <f>VLOOKUP(A138,Orders!$A:$G,6,0)</f>
        <v>Breakfast</v>
      </c>
      <c r="K138" t="str">
        <f>VLOOKUP(A138,Orders!$A:$G,5,0)</f>
        <v>UPI</v>
      </c>
    </row>
    <row r="139" spans="1:11" x14ac:dyDescent="0.3">
      <c r="A139" t="s">
        <v>93</v>
      </c>
      <c r="B139" t="s">
        <v>402</v>
      </c>
      <c r="C139">
        <v>3</v>
      </c>
      <c r="D139">
        <f>VLOOKUP(B139, Menu!$A:$F, 6, 0)</f>
        <v>30.34</v>
      </c>
      <c r="E139">
        <f>VLOOKUP(B139, Menu!$A:$F, 5, 0)</f>
        <v>14.18</v>
      </c>
      <c r="F139" t="str">
        <f>VLOOKUP(B139, Menu!$A:$F, 3, 0)</f>
        <v>Beverage</v>
      </c>
      <c r="G139" s="5">
        <f>VLOOKUP(A139, Orders!$A:$B, 2, 0)</f>
        <v>45878.319201388891</v>
      </c>
      <c r="H139" t="str">
        <f>VLOOKUP(A139, Orders!$A:$C, 3, 0)</f>
        <v>Head Office Café</v>
      </c>
      <c r="I139">
        <f>C139*D139*(1-VLOOKUP(A139,Orders!$A:$G,7,0))</f>
        <v>85.558799999999991</v>
      </c>
      <c r="J139" t="str">
        <f>VLOOKUP(A139,Orders!$A:$G,6,0)</f>
        <v>Breakfast</v>
      </c>
      <c r="K139" t="str">
        <f>VLOOKUP(A139,Orders!$A:$G,5,0)</f>
        <v>UPI</v>
      </c>
    </row>
    <row r="140" spans="1:11" x14ac:dyDescent="0.3">
      <c r="A140" t="s">
        <v>93</v>
      </c>
      <c r="B140" t="s">
        <v>406</v>
      </c>
      <c r="C140">
        <v>1</v>
      </c>
      <c r="D140">
        <f>VLOOKUP(B140, Menu!$A:$F, 6, 0)</f>
        <v>38.06</v>
      </c>
      <c r="E140">
        <f>VLOOKUP(B140, Menu!$A:$F, 5, 0)</f>
        <v>19.55</v>
      </c>
      <c r="F140" t="str">
        <f>VLOOKUP(B140, Menu!$A:$F, 3, 0)</f>
        <v>Snack</v>
      </c>
      <c r="G140" s="5">
        <f>VLOOKUP(A140, Orders!$A:$B, 2, 0)</f>
        <v>45878.319201388891</v>
      </c>
      <c r="H140" t="str">
        <f>VLOOKUP(A140, Orders!$A:$C, 3, 0)</f>
        <v>Head Office Café</v>
      </c>
      <c r="I140">
        <f>C140*D140*(1-VLOOKUP(A140,Orders!$A:$G,7,0))</f>
        <v>35.776400000000002</v>
      </c>
      <c r="J140" t="str">
        <f>VLOOKUP(A140,Orders!$A:$G,6,0)</f>
        <v>Breakfast</v>
      </c>
      <c r="K140" t="str">
        <f>VLOOKUP(A140,Orders!$A:$G,5,0)</f>
        <v>UPI</v>
      </c>
    </row>
    <row r="141" spans="1:11" x14ac:dyDescent="0.3">
      <c r="A141" t="s">
        <v>93</v>
      </c>
      <c r="B141" t="s">
        <v>403</v>
      </c>
      <c r="C141">
        <v>1</v>
      </c>
      <c r="D141">
        <f>VLOOKUP(B141, Menu!$A:$F, 6, 0)</f>
        <v>76.55</v>
      </c>
      <c r="E141">
        <f>VLOOKUP(B141, Menu!$A:$F, 5, 0)</f>
        <v>38.229999999999997</v>
      </c>
      <c r="F141" t="str">
        <f>VLOOKUP(B141, Menu!$A:$F, 3, 0)</f>
        <v>Dessert</v>
      </c>
      <c r="G141" s="5">
        <f>VLOOKUP(A141, Orders!$A:$B, 2, 0)</f>
        <v>45878.319201388891</v>
      </c>
      <c r="H141" t="str">
        <f>VLOOKUP(A141, Orders!$A:$C, 3, 0)</f>
        <v>Head Office Café</v>
      </c>
      <c r="I141">
        <f>C141*D141*(1-VLOOKUP(A141,Orders!$A:$G,7,0))</f>
        <v>71.956999999999994</v>
      </c>
      <c r="J141" t="str">
        <f>VLOOKUP(A141,Orders!$A:$G,6,0)</f>
        <v>Breakfast</v>
      </c>
      <c r="K141" t="str">
        <f>VLOOKUP(A141,Orders!$A:$G,5,0)</f>
        <v>UPI</v>
      </c>
    </row>
    <row r="142" spans="1:11" x14ac:dyDescent="0.3">
      <c r="A142" t="s">
        <v>94</v>
      </c>
      <c r="B142" t="s">
        <v>407</v>
      </c>
      <c r="C142">
        <v>1</v>
      </c>
      <c r="D142">
        <f>VLOOKUP(B142, Menu!$A:$F, 6, 0)</f>
        <v>246.09</v>
      </c>
      <c r="E142">
        <f>VLOOKUP(B142, Menu!$A:$F, 5, 0)</f>
        <v>112.08</v>
      </c>
      <c r="F142" t="str">
        <f>VLOOKUP(B142, Menu!$A:$F, 3, 0)</f>
        <v>Hot Meal</v>
      </c>
      <c r="G142" s="5">
        <f>VLOOKUP(A142, Orders!$A:$B, 2, 0)</f>
        <v>45857.875821759262</v>
      </c>
      <c r="H142" t="str">
        <f>VLOOKUP(A142, Orders!$A:$C, 3, 0)</f>
        <v>Plant 2 Canteen</v>
      </c>
      <c r="I142">
        <f>C142*D142*(1-VLOOKUP(A142,Orders!$A:$G,7,0))</f>
        <v>233.78549999999998</v>
      </c>
      <c r="J142" t="str">
        <f>VLOOKUP(A142,Orders!$A:$G,6,0)</f>
        <v>Dinner</v>
      </c>
      <c r="K142" t="str">
        <f>VLOOKUP(A142,Orders!$A:$G,5,0)</f>
        <v>Card</v>
      </c>
    </row>
    <row r="143" spans="1:11" x14ac:dyDescent="0.3">
      <c r="A143" t="s">
        <v>96</v>
      </c>
      <c r="B143" t="s">
        <v>403</v>
      </c>
      <c r="C143">
        <v>2</v>
      </c>
      <c r="D143">
        <f>VLOOKUP(B143, Menu!$A:$F, 6, 0)</f>
        <v>76.55</v>
      </c>
      <c r="E143">
        <f>VLOOKUP(B143, Menu!$A:$F, 5, 0)</f>
        <v>38.229999999999997</v>
      </c>
      <c r="F143" t="str">
        <f>VLOOKUP(B143, Menu!$A:$F, 3, 0)</f>
        <v>Dessert</v>
      </c>
      <c r="G143" s="5">
        <f>VLOOKUP(A143, Orders!$A:$B, 2, 0)</f>
        <v>45894.504629629628</v>
      </c>
      <c r="H143" t="str">
        <f>VLOOKUP(A143, Orders!$A:$C, 3, 0)</f>
        <v>Plant 2 Canteen</v>
      </c>
      <c r="I143">
        <f>C143*D143*(1-VLOOKUP(A143,Orders!$A:$G,7,0))</f>
        <v>153.1</v>
      </c>
      <c r="J143" t="str">
        <f>VLOOKUP(A143,Orders!$A:$G,6,0)</f>
        <v>Lunch</v>
      </c>
      <c r="K143" t="str">
        <f>VLOOKUP(A143,Orders!$A:$G,5,0)</f>
        <v>UPI</v>
      </c>
    </row>
    <row r="144" spans="1:11" x14ac:dyDescent="0.3">
      <c r="A144" t="s">
        <v>96</v>
      </c>
      <c r="B144" t="s">
        <v>413</v>
      </c>
      <c r="C144">
        <v>1</v>
      </c>
      <c r="D144">
        <f>VLOOKUP(B144, Menu!$A:$F, 6, 0)</f>
        <v>54.2</v>
      </c>
      <c r="E144">
        <f>VLOOKUP(B144, Menu!$A:$F, 5, 0)</f>
        <v>21.95</v>
      </c>
      <c r="F144" t="str">
        <f>VLOOKUP(B144, Menu!$A:$F, 3, 0)</f>
        <v>Dessert</v>
      </c>
      <c r="G144" s="5">
        <f>VLOOKUP(A144, Orders!$A:$B, 2, 0)</f>
        <v>45894.504629629628</v>
      </c>
      <c r="H144" t="str">
        <f>VLOOKUP(A144, Orders!$A:$C, 3, 0)</f>
        <v>Plant 2 Canteen</v>
      </c>
      <c r="I144">
        <f>C144*D144*(1-VLOOKUP(A144,Orders!$A:$G,7,0))</f>
        <v>54.2</v>
      </c>
      <c r="J144" t="str">
        <f>VLOOKUP(A144,Orders!$A:$G,6,0)</f>
        <v>Lunch</v>
      </c>
      <c r="K144" t="str">
        <f>VLOOKUP(A144,Orders!$A:$G,5,0)</f>
        <v>UPI</v>
      </c>
    </row>
    <row r="145" spans="1:11" x14ac:dyDescent="0.3">
      <c r="A145" t="s">
        <v>96</v>
      </c>
      <c r="B145" t="s">
        <v>416</v>
      </c>
      <c r="C145">
        <v>2</v>
      </c>
      <c r="D145">
        <f>VLOOKUP(B145, Menu!$A:$F, 6, 0)</f>
        <v>227.61</v>
      </c>
      <c r="E145">
        <f>VLOOKUP(B145, Menu!$A:$F, 5, 0)</f>
        <v>96.22</v>
      </c>
      <c r="F145" t="str">
        <f>VLOOKUP(B145, Menu!$A:$F, 3, 0)</f>
        <v>Hot Meal</v>
      </c>
      <c r="G145" s="5">
        <f>VLOOKUP(A145, Orders!$A:$B, 2, 0)</f>
        <v>45894.504629629628</v>
      </c>
      <c r="H145" t="str">
        <f>VLOOKUP(A145, Orders!$A:$C, 3, 0)</f>
        <v>Plant 2 Canteen</v>
      </c>
      <c r="I145">
        <f>C145*D145*(1-VLOOKUP(A145,Orders!$A:$G,7,0))</f>
        <v>455.22</v>
      </c>
      <c r="J145" t="str">
        <f>VLOOKUP(A145,Orders!$A:$G,6,0)</f>
        <v>Lunch</v>
      </c>
      <c r="K145" t="str">
        <f>VLOOKUP(A145,Orders!$A:$G,5,0)</f>
        <v>UPI</v>
      </c>
    </row>
    <row r="146" spans="1:11" x14ac:dyDescent="0.3">
      <c r="A146" t="s">
        <v>97</v>
      </c>
      <c r="B146" t="s">
        <v>405</v>
      </c>
      <c r="C146">
        <v>2</v>
      </c>
      <c r="D146">
        <f>VLOOKUP(B146, Menu!$A:$F, 6, 0)</f>
        <v>170.83</v>
      </c>
      <c r="E146">
        <f>VLOOKUP(B146, Menu!$A:$F, 5, 0)</f>
        <v>74.069999999999993</v>
      </c>
      <c r="F146" t="str">
        <f>VLOOKUP(B146, Menu!$A:$F, 3, 0)</f>
        <v>Hot Meal</v>
      </c>
      <c r="G146" s="5">
        <f>VLOOKUP(A146, Orders!$A:$B, 2, 0)</f>
        <v>45868.753321759257</v>
      </c>
      <c r="H146" t="str">
        <f>VLOOKUP(A146, Orders!$A:$C, 3, 0)</f>
        <v>Plant 2 Canteen</v>
      </c>
      <c r="I146">
        <f>C146*D146*(1-VLOOKUP(A146,Orders!$A:$G,7,0))</f>
        <v>327.99360000000001</v>
      </c>
      <c r="J146" t="str">
        <f>VLOOKUP(A146,Orders!$A:$G,6,0)</f>
        <v>Dinner</v>
      </c>
      <c r="K146" t="str">
        <f>VLOOKUP(A146,Orders!$A:$G,5,0)</f>
        <v>Card</v>
      </c>
    </row>
    <row r="147" spans="1:11" x14ac:dyDescent="0.3">
      <c r="A147" t="s">
        <v>97</v>
      </c>
      <c r="B147" t="s">
        <v>415</v>
      </c>
      <c r="C147">
        <v>1</v>
      </c>
      <c r="D147">
        <f>VLOOKUP(B147, Menu!$A:$F, 6, 0)</f>
        <v>256.91000000000003</v>
      </c>
      <c r="E147">
        <f>VLOOKUP(B147, Menu!$A:$F, 5, 0)</f>
        <v>121.24</v>
      </c>
      <c r="F147" t="str">
        <f>VLOOKUP(B147, Menu!$A:$F, 3, 0)</f>
        <v>Hot Meal</v>
      </c>
      <c r="G147" s="5">
        <f>VLOOKUP(A147, Orders!$A:$B, 2, 0)</f>
        <v>45868.753321759257</v>
      </c>
      <c r="H147" t="str">
        <f>VLOOKUP(A147, Orders!$A:$C, 3, 0)</f>
        <v>Plant 2 Canteen</v>
      </c>
      <c r="I147">
        <f>C147*D147*(1-VLOOKUP(A147,Orders!$A:$G,7,0))</f>
        <v>246.6336</v>
      </c>
      <c r="J147" t="str">
        <f>VLOOKUP(A147,Orders!$A:$G,6,0)</f>
        <v>Dinner</v>
      </c>
      <c r="K147" t="str">
        <f>VLOOKUP(A147,Orders!$A:$G,5,0)</f>
        <v>Card</v>
      </c>
    </row>
    <row r="148" spans="1:11" x14ac:dyDescent="0.3">
      <c r="A148" t="s">
        <v>97</v>
      </c>
      <c r="B148" t="s">
        <v>408</v>
      </c>
      <c r="C148">
        <v>2</v>
      </c>
      <c r="D148">
        <f>VLOOKUP(B148, Menu!$A:$F, 6, 0)</f>
        <v>70.540000000000006</v>
      </c>
      <c r="E148">
        <f>VLOOKUP(B148, Menu!$A:$F, 5, 0)</f>
        <v>35.81</v>
      </c>
      <c r="F148" t="str">
        <f>VLOOKUP(B148, Menu!$A:$F, 3, 0)</f>
        <v>Snack</v>
      </c>
      <c r="G148" s="5">
        <f>VLOOKUP(A148, Orders!$A:$B, 2, 0)</f>
        <v>45868.753321759257</v>
      </c>
      <c r="H148" t="str">
        <f>VLOOKUP(A148, Orders!$A:$C, 3, 0)</f>
        <v>Plant 2 Canteen</v>
      </c>
      <c r="I148">
        <f>C148*D148*(1-VLOOKUP(A148,Orders!$A:$G,7,0))</f>
        <v>135.43680000000001</v>
      </c>
      <c r="J148" t="str">
        <f>VLOOKUP(A148,Orders!$A:$G,6,0)</f>
        <v>Dinner</v>
      </c>
      <c r="K148" t="str">
        <f>VLOOKUP(A148,Orders!$A:$G,5,0)</f>
        <v>Card</v>
      </c>
    </row>
    <row r="149" spans="1:11" x14ac:dyDescent="0.3">
      <c r="A149" t="s">
        <v>98</v>
      </c>
      <c r="B149" t="s">
        <v>401</v>
      </c>
      <c r="C149">
        <v>1</v>
      </c>
      <c r="D149">
        <f>VLOOKUP(B149, Menu!$A:$F, 6, 0)</f>
        <v>52.45</v>
      </c>
      <c r="E149">
        <f>VLOOKUP(B149, Menu!$A:$F, 5, 0)</f>
        <v>25.8</v>
      </c>
      <c r="F149" t="str">
        <f>VLOOKUP(B149, Menu!$A:$F, 3, 0)</f>
        <v>Snack</v>
      </c>
      <c r="G149" s="5">
        <f>VLOOKUP(A149, Orders!$A:$B, 2, 0)</f>
        <v>45884.395868055559</v>
      </c>
      <c r="H149" t="str">
        <f>VLOOKUP(A149, Orders!$A:$C, 3, 0)</f>
        <v>Plant 2 Canteen</v>
      </c>
      <c r="I149">
        <f>C149*D149*(1-VLOOKUP(A149,Orders!$A:$G,7,0))</f>
        <v>49.827500000000001</v>
      </c>
      <c r="J149" t="str">
        <f>VLOOKUP(A149,Orders!$A:$G,6,0)</f>
        <v>Breakfast</v>
      </c>
      <c r="K149" t="str">
        <f>VLOOKUP(A149,Orders!$A:$G,5,0)</f>
        <v>UPI</v>
      </c>
    </row>
    <row r="150" spans="1:11" x14ac:dyDescent="0.3">
      <c r="A150" t="s">
        <v>98</v>
      </c>
      <c r="B150" t="s">
        <v>402</v>
      </c>
      <c r="C150">
        <v>2</v>
      </c>
      <c r="D150">
        <f>VLOOKUP(B150, Menu!$A:$F, 6, 0)</f>
        <v>30.34</v>
      </c>
      <c r="E150">
        <f>VLOOKUP(B150, Menu!$A:$F, 5, 0)</f>
        <v>14.18</v>
      </c>
      <c r="F150" t="str">
        <f>VLOOKUP(B150, Menu!$A:$F, 3, 0)</f>
        <v>Beverage</v>
      </c>
      <c r="G150" s="5">
        <f>VLOOKUP(A150, Orders!$A:$B, 2, 0)</f>
        <v>45884.395868055559</v>
      </c>
      <c r="H150" t="str">
        <f>VLOOKUP(A150, Orders!$A:$C, 3, 0)</f>
        <v>Plant 2 Canteen</v>
      </c>
      <c r="I150">
        <f>C150*D150*(1-VLOOKUP(A150,Orders!$A:$G,7,0))</f>
        <v>57.645999999999994</v>
      </c>
      <c r="J150" t="str">
        <f>VLOOKUP(A150,Orders!$A:$G,6,0)</f>
        <v>Breakfast</v>
      </c>
      <c r="K150" t="str">
        <f>VLOOKUP(A150,Orders!$A:$G,5,0)</f>
        <v>UPI</v>
      </c>
    </row>
    <row r="151" spans="1:11" x14ac:dyDescent="0.3">
      <c r="A151" t="s">
        <v>98</v>
      </c>
      <c r="B151" t="s">
        <v>418</v>
      </c>
      <c r="C151">
        <v>3</v>
      </c>
      <c r="D151">
        <f>VLOOKUP(B151, Menu!$A:$F, 6, 0)</f>
        <v>39.950000000000003</v>
      </c>
      <c r="E151">
        <f>VLOOKUP(B151, Menu!$A:$F, 5, 0)</f>
        <v>15.51</v>
      </c>
      <c r="F151" t="str">
        <f>VLOOKUP(B151, Menu!$A:$F, 3, 0)</f>
        <v>Snack</v>
      </c>
      <c r="G151" s="5">
        <f>VLOOKUP(A151, Orders!$A:$B, 2, 0)</f>
        <v>45884.395868055559</v>
      </c>
      <c r="H151" t="str">
        <f>VLOOKUP(A151, Orders!$A:$C, 3, 0)</f>
        <v>Plant 2 Canteen</v>
      </c>
      <c r="I151">
        <f>C151*D151*(1-VLOOKUP(A151,Orders!$A:$G,7,0))</f>
        <v>113.8575</v>
      </c>
      <c r="J151" t="str">
        <f>VLOOKUP(A151,Orders!$A:$G,6,0)</f>
        <v>Breakfast</v>
      </c>
      <c r="K151" t="str">
        <f>VLOOKUP(A151,Orders!$A:$G,5,0)</f>
        <v>UPI</v>
      </c>
    </row>
    <row r="152" spans="1:11" x14ac:dyDescent="0.3">
      <c r="A152" t="s">
        <v>98</v>
      </c>
      <c r="B152" t="s">
        <v>404</v>
      </c>
      <c r="C152">
        <v>1</v>
      </c>
      <c r="D152">
        <f>VLOOKUP(B152, Menu!$A:$F, 6, 0)</f>
        <v>32.979999999999997</v>
      </c>
      <c r="E152">
        <f>VLOOKUP(B152, Menu!$A:$F, 5, 0)</f>
        <v>11.84</v>
      </c>
      <c r="F152" t="str">
        <f>VLOOKUP(B152, Menu!$A:$F, 3, 0)</f>
        <v>Beverage</v>
      </c>
      <c r="G152" s="5">
        <f>VLOOKUP(A152, Orders!$A:$B, 2, 0)</f>
        <v>45884.395868055559</v>
      </c>
      <c r="H152" t="str">
        <f>VLOOKUP(A152, Orders!$A:$C, 3, 0)</f>
        <v>Plant 2 Canteen</v>
      </c>
      <c r="I152">
        <f>C152*D152*(1-VLOOKUP(A152,Orders!$A:$G,7,0))</f>
        <v>31.330999999999996</v>
      </c>
      <c r="J152" t="str">
        <f>VLOOKUP(A152,Orders!$A:$G,6,0)</f>
        <v>Breakfast</v>
      </c>
      <c r="K152" t="str">
        <f>VLOOKUP(A152,Orders!$A:$G,5,0)</f>
        <v>UPI</v>
      </c>
    </row>
    <row r="153" spans="1:11" x14ac:dyDescent="0.3">
      <c r="A153" t="s">
        <v>99</v>
      </c>
      <c r="B153" t="s">
        <v>414</v>
      </c>
      <c r="C153">
        <v>2</v>
      </c>
      <c r="D153">
        <f>VLOOKUP(B153, Menu!$A:$F, 6, 0)</f>
        <v>116.8</v>
      </c>
      <c r="E153">
        <f>VLOOKUP(B153, Menu!$A:$F, 5, 0)</f>
        <v>48.97</v>
      </c>
      <c r="F153" t="str">
        <f>VLOOKUP(B153, Menu!$A:$F, 3, 0)</f>
        <v>Dessert</v>
      </c>
      <c r="G153" s="5">
        <f>VLOOKUP(A153, Orders!$A:$B, 2, 0)</f>
        <v>45888.880069444444</v>
      </c>
      <c r="H153" t="str">
        <f>VLOOKUP(A153, Orders!$A:$C, 3, 0)</f>
        <v>Plant 2 Canteen</v>
      </c>
      <c r="I153">
        <f>C153*D153*(1-VLOOKUP(A153,Orders!$A:$G,7,0))</f>
        <v>226.59199999999998</v>
      </c>
      <c r="J153" t="str">
        <f>VLOOKUP(A153,Orders!$A:$G,6,0)</f>
        <v>Dinner</v>
      </c>
      <c r="K153" t="str">
        <f>VLOOKUP(A153,Orders!$A:$G,5,0)</f>
        <v>Cash</v>
      </c>
    </row>
    <row r="154" spans="1:11" x14ac:dyDescent="0.3">
      <c r="A154" t="s">
        <v>99</v>
      </c>
      <c r="B154" t="s">
        <v>402</v>
      </c>
      <c r="C154">
        <v>2</v>
      </c>
      <c r="D154">
        <f>VLOOKUP(B154, Menu!$A:$F, 6, 0)</f>
        <v>30.34</v>
      </c>
      <c r="E154">
        <f>VLOOKUP(B154, Menu!$A:$F, 5, 0)</f>
        <v>14.18</v>
      </c>
      <c r="F154" t="str">
        <f>VLOOKUP(B154, Menu!$A:$F, 3, 0)</f>
        <v>Beverage</v>
      </c>
      <c r="G154" s="5">
        <f>VLOOKUP(A154, Orders!$A:$B, 2, 0)</f>
        <v>45888.880069444444</v>
      </c>
      <c r="H154" t="str">
        <f>VLOOKUP(A154, Orders!$A:$C, 3, 0)</f>
        <v>Plant 2 Canteen</v>
      </c>
      <c r="I154">
        <f>C154*D154*(1-VLOOKUP(A154,Orders!$A:$G,7,0))</f>
        <v>58.8596</v>
      </c>
      <c r="J154" t="str">
        <f>VLOOKUP(A154,Orders!$A:$G,6,0)</f>
        <v>Dinner</v>
      </c>
      <c r="K154" t="str">
        <f>VLOOKUP(A154,Orders!$A:$G,5,0)</f>
        <v>Cash</v>
      </c>
    </row>
    <row r="155" spans="1:11" x14ac:dyDescent="0.3">
      <c r="A155" t="s">
        <v>100</v>
      </c>
      <c r="B155" t="s">
        <v>403</v>
      </c>
      <c r="C155">
        <v>2</v>
      </c>
      <c r="D155">
        <f>VLOOKUP(B155, Menu!$A:$F, 6, 0)</f>
        <v>76.55</v>
      </c>
      <c r="E155">
        <f>VLOOKUP(B155, Menu!$A:$F, 5, 0)</f>
        <v>38.229999999999997</v>
      </c>
      <c r="F155" t="str">
        <f>VLOOKUP(B155, Menu!$A:$F, 3, 0)</f>
        <v>Dessert</v>
      </c>
      <c r="G155" s="5">
        <f>VLOOKUP(A155, Orders!$A:$B, 2, 0)</f>
        <v>45866.802916666667</v>
      </c>
      <c r="H155" t="str">
        <f>VLOOKUP(A155, Orders!$A:$C, 3, 0)</f>
        <v>Head Office Café</v>
      </c>
      <c r="I155">
        <f>C155*D155*(1-VLOOKUP(A155,Orders!$A:$G,7,0))</f>
        <v>145.44499999999999</v>
      </c>
      <c r="J155" t="str">
        <f>VLOOKUP(A155,Orders!$A:$G,6,0)</f>
        <v>Dinner</v>
      </c>
      <c r="K155" t="str">
        <f>VLOOKUP(A155,Orders!$A:$G,5,0)</f>
        <v>UPI</v>
      </c>
    </row>
    <row r="156" spans="1:11" x14ac:dyDescent="0.3">
      <c r="A156" t="s">
        <v>101</v>
      </c>
      <c r="B156" t="s">
        <v>410</v>
      </c>
      <c r="C156">
        <v>1</v>
      </c>
      <c r="D156">
        <f>VLOOKUP(B156, Menu!$A:$F, 6, 0)</f>
        <v>20.11</v>
      </c>
      <c r="E156">
        <f>VLOOKUP(B156, Menu!$A:$F, 5, 0)</f>
        <v>8</v>
      </c>
      <c r="F156" t="str">
        <f>VLOOKUP(B156, Menu!$A:$F, 3, 0)</f>
        <v>Beverage</v>
      </c>
      <c r="G156" s="5">
        <f>VLOOKUP(A156, Orders!$A:$B, 2, 0)</f>
        <v>45848.316990740743</v>
      </c>
      <c r="H156" t="str">
        <f>VLOOKUP(A156, Orders!$A:$C, 3, 0)</f>
        <v>Plant 1 Canteen</v>
      </c>
      <c r="I156">
        <f>C156*D156*(1-VLOOKUP(A156,Orders!$A:$G,7,0))</f>
        <v>18.501200000000001</v>
      </c>
      <c r="J156" t="str">
        <f>VLOOKUP(A156,Orders!$A:$G,6,0)</f>
        <v>Breakfast</v>
      </c>
      <c r="K156" t="str">
        <f>VLOOKUP(A156,Orders!$A:$G,5,0)</f>
        <v>Card</v>
      </c>
    </row>
    <row r="157" spans="1:11" x14ac:dyDescent="0.3">
      <c r="A157" t="s">
        <v>102</v>
      </c>
      <c r="B157" t="s">
        <v>415</v>
      </c>
      <c r="C157">
        <v>2</v>
      </c>
      <c r="D157">
        <f>VLOOKUP(B157, Menu!$A:$F, 6, 0)</f>
        <v>256.91000000000003</v>
      </c>
      <c r="E157">
        <f>VLOOKUP(B157, Menu!$A:$F, 5, 0)</f>
        <v>121.24</v>
      </c>
      <c r="F157" t="str">
        <f>VLOOKUP(B157, Menu!$A:$F, 3, 0)</f>
        <v>Hot Meal</v>
      </c>
      <c r="G157" s="5">
        <f>VLOOKUP(A157, Orders!$A:$B, 2, 0)</f>
        <v>45858.583587962959</v>
      </c>
      <c r="H157" t="str">
        <f>VLOOKUP(A157, Orders!$A:$C, 3, 0)</f>
        <v>Plant 1 Canteen</v>
      </c>
      <c r="I157">
        <f>C157*D157*(1-VLOOKUP(A157,Orders!$A:$G,7,0))</f>
        <v>441.88520000000005</v>
      </c>
      <c r="J157" t="str">
        <f>VLOOKUP(A157,Orders!$A:$G,6,0)</f>
        <v>Lunch</v>
      </c>
      <c r="K157" t="str">
        <f>VLOOKUP(A157,Orders!$A:$G,5,0)</f>
        <v>Cash</v>
      </c>
    </row>
    <row r="158" spans="1:11" x14ac:dyDescent="0.3">
      <c r="A158" t="s">
        <v>102</v>
      </c>
      <c r="B158" t="s">
        <v>408</v>
      </c>
      <c r="C158">
        <v>2</v>
      </c>
      <c r="D158">
        <f>VLOOKUP(B158, Menu!$A:$F, 6, 0)</f>
        <v>70.540000000000006</v>
      </c>
      <c r="E158">
        <f>VLOOKUP(B158, Menu!$A:$F, 5, 0)</f>
        <v>35.81</v>
      </c>
      <c r="F158" t="str">
        <f>VLOOKUP(B158, Menu!$A:$F, 3, 0)</f>
        <v>Snack</v>
      </c>
      <c r="G158" s="5">
        <f>VLOOKUP(A158, Orders!$A:$B, 2, 0)</f>
        <v>45858.583587962959</v>
      </c>
      <c r="H158" t="str">
        <f>VLOOKUP(A158, Orders!$A:$C, 3, 0)</f>
        <v>Plant 1 Canteen</v>
      </c>
      <c r="I158">
        <f>C158*D158*(1-VLOOKUP(A158,Orders!$A:$G,7,0))</f>
        <v>121.32880000000002</v>
      </c>
      <c r="J158" t="str">
        <f>VLOOKUP(A158,Orders!$A:$G,6,0)</f>
        <v>Lunch</v>
      </c>
      <c r="K158" t="str">
        <f>VLOOKUP(A158,Orders!$A:$G,5,0)</f>
        <v>Cash</v>
      </c>
    </row>
    <row r="159" spans="1:11" x14ac:dyDescent="0.3">
      <c r="A159" t="s">
        <v>102</v>
      </c>
      <c r="B159" t="s">
        <v>409</v>
      </c>
      <c r="C159">
        <v>1</v>
      </c>
      <c r="D159">
        <f>VLOOKUP(B159, Menu!$A:$F, 6, 0)</f>
        <v>28.43</v>
      </c>
      <c r="E159">
        <f>VLOOKUP(B159, Menu!$A:$F, 5, 0)</f>
        <v>13.89</v>
      </c>
      <c r="F159" t="str">
        <f>VLOOKUP(B159, Menu!$A:$F, 3, 0)</f>
        <v>Beverage</v>
      </c>
      <c r="G159" s="5">
        <f>VLOOKUP(A159, Orders!$A:$B, 2, 0)</f>
        <v>45858.583587962959</v>
      </c>
      <c r="H159" t="str">
        <f>VLOOKUP(A159, Orders!$A:$C, 3, 0)</f>
        <v>Plant 1 Canteen</v>
      </c>
      <c r="I159">
        <f>C159*D159*(1-VLOOKUP(A159,Orders!$A:$G,7,0))</f>
        <v>24.4498</v>
      </c>
      <c r="J159" t="str">
        <f>VLOOKUP(A159,Orders!$A:$G,6,0)</f>
        <v>Lunch</v>
      </c>
      <c r="K159" t="str">
        <f>VLOOKUP(A159,Orders!$A:$G,5,0)</f>
        <v>Cash</v>
      </c>
    </row>
    <row r="160" spans="1:11" x14ac:dyDescent="0.3">
      <c r="A160" t="s">
        <v>103</v>
      </c>
      <c r="B160" t="s">
        <v>406</v>
      </c>
      <c r="C160">
        <v>1</v>
      </c>
      <c r="D160">
        <f>VLOOKUP(B160, Menu!$A:$F, 6, 0)</f>
        <v>38.06</v>
      </c>
      <c r="E160">
        <f>VLOOKUP(B160, Menu!$A:$F, 5, 0)</f>
        <v>19.55</v>
      </c>
      <c r="F160" t="str">
        <f>VLOOKUP(B160, Menu!$A:$F, 3, 0)</f>
        <v>Snack</v>
      </c>
      <c r="G160" s="5">
        <f>VLOOKUP(A160, Orders!$A:$B, 2, 0)</f>
        <v>45885.381157407413</v>
      </c>
      <c r="H160" t="str">
        <f>VLOOKUP(A160, Orders!$A:$C, 3, 0)</f>
        <v>Head Office Café</v>
      </c>
      <c r="I160">
        <f>C160*D160*(1-VLOOKUP(A160,Orders!$A:$G,7,0))</f>
        <v>35.395800000000001</v>
      </c>
      <c r="J160" t="str">
        <f>VLOOKUP(A160,Orders!$A:$G,6,0)</f>
        <v>Breakfast</v>
      </c>
      <c r="K160" t="str">
        <f>VLOOKUP(A160,Orders!$A:$G,5,0)</f>
        <v>Card</v>
      </c>
    </row>
    <row r="161" spans="1:11" x14ac:dyDescent="0.3">
      <c r="A161" t="s">
        <v>103</v>
      </c>
      <c r="B161" t="s">
        <v>417</v>
      </c>
      <c r="C161">
        <v>3</v>
      </c>
      <c r="D161">
        <f>VLOOKUP(B161, Menu!$A:$F, 6, 0)</f>
        <v>146.4</v>
      </c>
      <c r="E161">
        <f>VLOOKUP(B161, Menu!$A:$F, 5, 0)</f>
        <v>80.92</v>
      </c>
      <c r="F161" t="str">
        <f>VLOOKUP(B161, Menu!$A:$F, 3, 0)</f>
        <v>Hot Meal</v>
      </c>
      <c r="G161" s="5">
        <f>VLOOKUP(A161, Orders!$A:$B, 2, 0)</f>
        <v>45885.381157407413</v>
      </c>
      <c r="H161" t="str">
        <f>VLOOKUP(A161, Orders!$A:$C, 3, 0)</f>
        <v>Head Office Café</v>
      </c>
      <c r="I161">
        <f>C161*D161*(1-VLOOKUP(A161,Orders!$A:$G,7,0))</f>
        <v>408.45600000000002</v>
      </c>
      <c r="J161" t="str">
        <f>VLOOKUP(A161,Orders!$A:$G,6,0)</f>
        <v>Breakfast</v>
      </c>
      <c r="K161" t="str">
        <f>VLOOKUP(A161,Orders!$A:$G,5,0)</f>
        <v>Card</v>
      </c>
    </row>
    <row r="162" spans="1:11" x14ac:dyDescent="0.3">
      <c r="A162" t="s">
        <v>103</v>
      </c>
      <c r="B162" t="s">
        <v>403</v>
      </c>
      <c r="C162">
        <v>2</v>
      </c>
      <c r="D162">
        <f>VLOOKUP(B162, Menu!$A:$F, 6, 0)</f>
        <v>76.55</v>
      </c>
      <c r="E162">
        <f>VLOOKUP(B162, Menu!$A:$F, 5, 0)</f>
        <v>38.229999999999997</v>
      </c>
      <c r="F162" t="str">
        <f>VLOOKUP(B162, Menu!$A:$F, 3, 0)</f>
        <v>Dessert</v>
      </c>
      <c r="G162" s="5">
        <f>VLOOKUP(A162, Orders!$A:$B, 2, 0)</f>
        <v>45885.381157407413</v>
      </c>
      <c r="H162" t="str">
        <f>VLOOKUP(A162, Orders!$A:$C, 3, 0)</f>
        <v>Head Office Café</v>
      </c>
      <c r="I162">
        <f>C162*D162*(1-VLOOKUP(A162,Orders!$A:$G,7,0))</f>
        <v>142.38299999999998</v>
      </c>
      <c r="J162" t="str">
        <f>VLOOKUP(A162,Orders!$A:$G,6,0)</f>
        <v>Breakfast</v>
      </c>
      <c r="K162" t="str">
        <f>VLOOKUP(A162,Orders!$A:$G,5,0)</f>
        <v>Card</v>
      </c>
    </row>
    <row r="163" spans="1:11" x14ac:dyDescent="0.3">
      <c r="A163" t="s">
        <v>103</v>
      </c>
      <c r="B163" t="s">
        <v>416</v>
      </c>
      <c r="C163">
        <v>2</v>
      </c>
      <c r="D163">
        <f>VLOOKUP(B163, Menu!$A:$F, 6, 0)</f>
        <v>227.61</v>
      </c>
      <c r="E163">
        <f>VLOOKUP(B163, Menu!$A:$F, 5, 0)</f>
        <v>96.22</v>
      </c>
      <c r="F163" t="str">
        <f>VLOOKUP(B163, Menu!$A:$F, 3, 0)</f>
        <v>Hot Meal</v>
      </c>
      <c r="G163" s="5">
        <f>VLOOKUP(A163, Orders!$A:$B, 2, 0)</f>
        <v>45885.381157407413</v>
      </c>
      <c r="H163" t="str">
        <f>VLOOKUP(A163, Orders!$A:$C, 3, 0)</f>
        <v>Head Office Café</v>
      </c>
      <c r="I163">
        <f>C163*D163*(1-VLOOKUP(A163,Orders!$A:$G,7,0))</f>
        <v>423.3546</v>
      </c>
      <c r="J163" t="str">
        <f>VLOOKUP(A163,Orders!$A:$G,6,0)</f>
        <v>Breakfast</v>
      </c>
      <c r="K163" t="str">
        <f>VLOOKUP(A163,Orders!$A:$G,5,0)</f>
        <v>Card</v>
      </c>
    </row>
    <row r="164" spans="1:11" x14ac:dyDescent="0.3">
      <c r="A164" t="s">
        <v>104</v>
      </c>
      <c r="B164" t="s">
        <v>408</v>
      </c>
      <c r="C164">
        <v>1</v>
      </c>
      <c r="D164">
        <f>VLOOKUP(B164, Menu!$A:$F, 6, 0)</f>
        <v>70.540000000000006</v>
      </c>
      <c r="E164">
        <f>VLOOKUP(B164, Menu!$A:$F, 5, 0)</f>
        <v>35.81</v>
      </c>
      <c r="F164" t="str">
        <f>VLOOKUP(B164, Menu!$A:$F, 3, 0)</f>
        <v>Snack</v>
      </c>
      <c r="G164" s="5">
        <f>VLOOKUP(A164, Orders!$A:$B, 2, 0)</f>
        <v>45895.142094907409</v>
      </c>
      <c r="H164" t="str">
        <f>VLOOKUP(A164, Orders!$A:$C, 3, 0)</f>
        <v>Plant 1 Canteen</v>
      </c>
      <c r="I164">
        <f>C164*D164*(1-VLOOKUP(A164,Orders!$A:$G,7,0))</f>
        <v>65.602199999999996</v>
      </c>
      <c r="J164" t="str">
        <f>VLOOKUP(A164,Orders!$A:$G,6,0)</f>
        <v>Breakfast</v>
      </c>
      <c r="K164" t="str">
        <f>VLOOKUP(A164,Orders!$A:$G,5,0)</f>
        <v>UPI</v>
      </c>
    </row>
    <row r="165" spans="1:11" x14ac:dyDescent="0.3">
      <c r="A165" t="s">
        <v>104</v>
      </c>
      <c r="B165" t="s">
        <v>409</v>
      </c>
      <c r="C165">
        <v>1</v>
      </c>
      <c r="D165">
        <f>VLOOKUP(B165, Menu!$A:$F, 6, 0)</f>
        <v>28.43</v>
      </c>
      <c r="E165">
        <f>VLOOKUP(B165, Menu!$A:$F, 5, 0)</f>
        <v>13.89</v>
      </c>
      <c r="F165" t="str">
        <f>VLOOKUP(B165, Menu!$A:$F, 3, 0)</f>
        <v>Beverage</v>
      </c>
      <c r="G165" s="5">
        <f>VLOOKUP(A165, Orders!$A:$B, 2, 0)</f>
        <v>45895.142094907409</v>
      </c>
      <c r="H165" t="str">
        <f>VLOOKUP(A165, Orders!$A:$C, 3, 0)</f>
        <v>Plant 1 Canteen</v>
      </c>
      <c r="I165">
        <f>C165*D165*(1-VLOOKUP(A165,Orders!$A:$G,7,0))</f>
        <v>26.439899999999998</v>
      </c>
      <c r="J165" t="str">
        <f>VLOOKUP(A165,Orders!$A:$G,6,0)</f>
        <v>Breakfast</v>
      </c>
      <c r="K165" t="str">
        <f>VLOOKUP(A165,Orders!$A:$G,5,0)</f>
        <v>UPI</v>
      </c>
    </row>
    <row r="166" spans="1:11" x14ac:dyDescent="0.3">
      <c r="A166" t="s">
        <v>104</v>
      </c>
      <c r="B166" t="s">
        <v>402</v>
      </c>
      <c r="C166">
        <v>1</v>
      </c>
      <c r="D166">
        <f>VLOOKUP(B166, Menu!$A:$F, 6, 0)</f>
        <v>30.34</v>
      </c>
      <c r="E166">
        <f>VLOOKUP(B166, Menu!$A:$F, 5, 0)</f>
        <v>14.18</v>
      </c>
      <c r="F166" t="str">
        <f>VLOOKUP(B166, Menu!$A:$F, 3, 0)</f>
        <v>Beverage</v>
      </c>
      <c r="G166" s="5">
        <f>VLOOKUP(A166, Orders!$A:$B, 2, 0)</f>
        <v>45895.142094907409</v>
      </c>
      <c r="H166" t="str">
        <f>VLOOKUP(A166, Orders!$A:$C, 3, 0)</f>
        <v>Plant 1 Canteen</v>
      </c>
      <c r="I166">
        <f>C166*D166*(1-VLOOKUP(A166,Orders!$A:$G,7,0))</f>
        <v>28.216199999999997</v>
      </c>
      <c r="J166" t="str">
        <f>VLOOKUP(A166,Orders!$A:$G,6,0)</f>
        <v>Breakfast</v>
      </c>
      <c r="K166" t="str">
        <f>VLOOKUP(A166,Orders!$A:$G,5,0)</f>
        <v>UPI</v>
      </c>
    </row>
    <row r="167" spans="1:11" x14ac:dyDescent="0.3">
      <c r="A167" t="s">
        <v>104</v>
      </c>
      <c r="B167" t="s">
        <v>414</v>
      </c>
      <c r="C167">
        <v>2</v>
      </c>
      <c r="D167">
        <f>VLOOKUP(B167, Menu!$A:$F, 6, 0)</f>
        <v>116.8</v>
      </c>
      <c r="E167">
        <f>VLOOKUP(B167, Menu!$A:$F, 5, 0)</f>
        <v>48.97</v>
      </c>
      <c r="F167" t="str">
        <f>VLOOKUP(B167, Menu!$A:$F, 3, 0)</f>
        <v>Dessert</v>
      </c>
      <c r="G167" s="5">
        <f>VLOOKUP(A167, Orders!$A:$B, 2, 0)</f>
        <v>45895.142094907409</v>
      </c>
      <c r="H167" t="str">
        <f>VLOOKUP(A167, Orders!$A:$C, 3, 0)</f>
        <v>Plant 1 Canteen</v>
      </c>
      <c r="I167">
        <f>C167*D167*(1-VLOOKUP(A167,Orders!$A:$G,7,0))</f>
        <v>217.24799999999999</v>
      </c>
      <c r="J167" t="str">
        <f>VLOOKUP(A167,Orders!$A:$G,6,0)</f>
        <v>Breakfast</v>
      </c>
      <c r="K167" t="str">
        <f>VLOOKUP(A167,Orders!$A:$G,5,0)</f>
        <v>UPI</v>
      </c>
    </row>
    <row r="168" spans="1:11" x14ac:dyDescent="0.3">
      <c r="A168" t="s">
        <v>105</v>
      </c>
      <c r="B168" t="s">
        <v>405</v>
      </c>
      <c r="C168">
        <v>1</v>
      </c>
      <c r="D168">
        <f>VLOOKUP(B168, Menu!$A:$F, 6, 0)</f>
        <v>170.83</v>
      </c>
      <c r="E168">
        <f>VLOOKUP(B168, Menu!$A:$F, 5, 0)</f>
        <v>74.069999999999993</v>
      </c>
      <c r="F168" t="str">
        <f>VLOOKUP(B168, Menu!$A:$F, 3, 0)</f>
        <v>Hot Meal</v>
      </c>
      <c r="G168" s="5">
        <f>VLOOKUP(A168, Orders!$A:$B, 2, 0)</f>
        <v>45887.249259259261</v>
      </c>
      <c r="H168" t="str">
        <f>VLOOKUP(A168, Orders!$A:$C, 3, 0)</f>
        <v>Plant 2 Canteen</v>
      </c>
      <c r="I168">
        <f>C168*D168*(1-VLOOKUP(A168,Orders!$A:$G,7,0))</f>
        <v>160.58019999999999</v>
      </c>
      <c r="J168" t="str">
        <f>VLOOKUP(A168,Orders!$A:$G,6,0)</f>
        <v>Breakfast</v>
      </c>
      <c r="K168" t="str">
        <f>VLOOKUP(A168,Orders!$A:$G,5,0)</f>
        <v>Cash</v>
      </c>
    </row>
    <row r="169" spans="1:11" x14ac:dyDescent="0.3">
      <c r="A169" t="s">
        <v>105</v>
      </c>
      <c r="B169" t="s">
        <v>419</v>
      </c>
      <c r="C169">
        <v>1</v>
      </c>
      <c r="D169">
        <f>VLOOKUP(B169, Menu!$A:$F, 6, 0)</f>
        <v>50.19</v>
      </c>
      <c r="E169">
        <f>VLOOKUP(B169, Menu!$A:$F, 5, 0)</f>
        <v>22.61</v>
      </c>
      <c r="F169" t="str">
        <f>VLOOKUP(B169, Menu!$A:$F, 3, 0)</f>
        <v>Snack</v>
      </c>
      <c r="G169" s="5">
        <f>VLOOKUP(A169, Orders!$A:$B, 2, 0)</f>
        <v>45887.249259259261</v>
      </c>
      <c r="H169" t="str">
        <f>VLOOKUP(A169, Orders!$A:$C, 3, 0)</f>
        <v>Plant 2 Canteen</v>
      </c>
      <c r="I169">
        <f>C169*D169*(1-VLOOKUP(A169,Orders!$A:$G,7,0))</f>
        <v>47.178599999999996</v>
      </c>
      <c r="J169" t="str">
        <f>VLOOKUP(A169,Orders!$A:$G,6,0)</f>
        <v>Breakfast</v>
      </c>
      <c r="K169" t="str">
        <f>VLOOKUP(A169,Orders!$A:$G,5,0)</f>
        <v>Cash</v>
      </c>
    </row>
    <row r="170" spans="1:11" x14ac:dyDescent="0.3">
      <c r="A170" t="s">
        <v>105</v>
      </c>
      <c r="B170" t="s">
        <v>402</v>
      </c>
      <c r="C170">
        <v>1</v>
      </c>
      <c r="D170">
        <f>VLOOKUP(B170, Menu!$A:$F, 6, 0)</f>
        <v>30.34</v>
      </c>
      <c r="E170">
        <f>VLOOKUP(B170, Menu!$A:$F, 5, 0)</f>
        <v>14.18</v>
      </c>
      <c r="F170" t="str">
        <f>VLOOKUP(B170, Menu!$A:$F, 3, 0)</f>
        <v>Beverage</v>
      </c>
      <c r="G170" s="5">
        <f>VLOOKUP(A170, Orders!$A:$B, 2, 0)</f>
        <v>45887.249259259261</v>
      </c>
      <c r="H170" t="str">
        <f>VLOOKUP(A170, Orders!$A:$C, 3, 0)</f>
        <v>Plant 2 Canteen</v>
      </c>
      <c r="I170">
        <f>C170*D170*(1-VLOOKUP(A170,Orders!$A:$G,7,0))</f>
        <v>28.519599999999997</v>
      </c>
      <c r="J170" t="str">
        <f>VLOOKUP(A170,Orders!$A:$G,6,0)</f>
        <v>Breakfast</v>
      </c>
      <c r="K170" t="str">
        <f>VLOOKUP(A170,Orders!$A:$G,5,0)</f>
        <v>Cash</v>
      </c>
    </row>
    <row r="171" spans="1:11" x14ac:dyDescent="0.3">
      <c r="A171" t="s">
        <v>105</v>
      </c>
      <c r="B171" t="s">
        <v>417</v>
      </c>
      <c r="C171">
        <v>1</v>
      </c>
      <c r="D171">
        <f>VLOOKUP(B171, Menu!$A:$F, 6, 0)</f>
        <v>146.4</v>
      </c>
      <c r="E171">
        <f>VLOOKUP(B171, Menu!$A:$F, 5, 0)</f>
        <v>80.92</v>
      </c>
      <c r="F171" t="str">
        <f>VLOOKUP(B171, Menu!$A:$F, 3, 0)</f>
        <v>Hot Meal</v>
      </c>
      <c r="G171" s="5">
        <f>VLOOKUP(A171, Orders!$A:$B, 2, 0)</f>
        <v>45887.249259259261</v>
      </c>
      <c r="H171" t="str">
        <f>VLOOKUP(A171, Orders!$A:$C, 3, 0)</f>
        <v>Plant 2 Canteen</v>
      </c>
      <c r="I171">
        <f>C171*D171*(1-VLOOKUP(A171,Orders!$A:$G,7,0))</f>
        <v>137.61599999999999</v>
      </c>
      <c r="J171" t="str">
        <f>VLOOKUP(A171,Orders!$A:$G,6,0)</f>
        <v>Breakfast</v>
      </c>
      <c r="K171" t="str">
        <f>VLOOKUP(A171,Orders!$A:$G,5,0)</f>
        <v>Cash</v>
      </c>
    </row>
    <row r="172" spans="1:11" x14ac:dyDescent="0.3">
      <c r="A172" t="s">
        <v>106</v>
      </c>
      <c r="B172" t="s">
        <v>407</v>
      </c>
      <c r="C172">
        <v>3</v>
      </c>
      <c r="D172">
        <f>VLOOKUP(B172, Menu!$A:$F, 6, 0)</f>
        <v>246.09</v>
      </c>
      <c r="E172">
        <f>VLOOKUP(B172, Menu!$A:$F, 5, 0)</f>
        <v>112.08</v>
      </c>
      <c r="F172" t="str">
        <f>VLOOKUP(B172, Menu!$A:$F, 3, 0)</f>
        <v>Hot Meal</v>
      </c>
      <c r="G172" s="5">
        <f>VLOOKUP(A172, Orders!$A:$B, 2, 0)</f>
        <v>45849.598599537043</v>
      </c>
      <c r="H172" t="str">
        <f>VLOOKUP(A172, Orders!$A:$C, 3, 0)</f>
        <v>Plant 2 Canteen</v>
      </c>
      <c r="I172">
        <f>C172*D172*(1-VLOOKUP(A172,Orders!$A:$G,7,0))</f>
        <v>738.27</v>
      </c>
      <c r="J172" t="str">
        <f>VLOOKUP(A172,Orders!$A:$G,6,0)</f>
        <v>Lunch</v>
      </c>
      <c r="K172" t="str">
        <f>VLOOKUP(A172,Orders!$A:$G,5,0)</f>
        <v>Cash</v>
      </c>
    </row>
    <row r="173" spans="1:11" x14ac:dyDescent="0.3">
      <c r="A173" t="s">
        <v>106</v>
      </c>
      <c r="B173" t="s">
        <v>415</v>
      </c>
      <c r="C173">
        <v>2</v>
      </c>
      <c r="D173">
        <f>VLOOKUP(B173, Menu!$A:$F, 6, 0)</f>
        <v>256.91000000000003</v>
      </c>
      <c r="E173">
        <f>VLOOKUP(B173, Menu!$A:$F, 5, 0)</f>
        <v>121.24</v>
      </c>
      <c r="F173" t="str">
        <f>VLOOKUP(B173, Menu!$A:$F, 3, 0)</f>
        <v>Hot Meal</v>
      </c>
      <c r="G173" s="5">
        <f>VLOOKUP(A173, Orders!$A:$B, 2, 0)</f>
        <v>45849.598599537043</v>
      </c>
      <c r="H173" t="str">
        <f>VLOOKUP(A173, Orders!$A:$C, 3, 0)</f>
        <v>Plant 2 Canteen</v>
      </c>
      <c r="I173">
        <f>C173*D173*(1-VLOOKUP(A173,Orders!$A:$G,7,0))</f>
        <v>513.82000000000005</v>
      </c>
      <c r="J173" t="str">
        <f>VLOOKUP(A173,Orders!$A:$G,6,0)</f>
        <v>Lunch</v>
      </c>
      <c r="K173" t="str">
        <f>VLOOKUP(A173,Orders!$A:$G,5,0)</f>
        <v>Cash</v>
      </c>
    </row>
    <row r="174" spans="1:11" x14ac:dyDescent="0.3">
      <c r="A174" t="s">
        <v>106</v>
      </c>
      <c r="B174" t="s">
        <v>408</v>
      </c>
      <c r="C174">
        <v>2</v>
      </c>
      <c r="D174">
        <f>VLOOKUP(B174, Menu!$A:$F, 6, 0)</f>
        <v>70.540000000000006</v>
      </c>
      <c r="E174">
        <f>VLOOKUP(B174, Menu!$A:$F, 5, 0)</f>
        <v>35.81</v>
      </c>
      <c r="F174" t="str">
        <f>VLOOKUP(B174, Menu!$A:$F, 3, 0)</f>
        <v>Snack</v>
      </c>
      <c r="G174" s="5">
        <f>VLOOKUP(A174, Orders!$A:$B, 2, 0)</f>
        <v>45849.598599537043</v>
      </c>
      <c r="H174" t="str">
        <f>VLOOKUP(A174, Orders!$A:$C, 3, 0)</f>
        <v>Plant 2 Canteen</v>
      </c>
      <c r="I174">
        <f>C174*D174*(1-VLOOKUP(A174,Orders!$A:$G,7,0))</f>
        <v>141.08000000000001</v>
      </c>
      <c r="J174" t="str">
        <f>VLOOKUP(A174,Orders!$A:$G,6,0)</f>
        <v>Lunch</v>
      </c>
      <c r="K174" t="str">
        <f>VLOOKUP(A174,Orders!$A:$G,5,0)</f>
        <v>Cash</v>
      </c>
    </row>
    <row r="175" spans="1:11" x14ac:dyDescent="0.3">
      <c r="A175" t="s">
        <v>106</v>
      </c>
      <c r="B175" t="s">
        <v>417</v>
      </c>
      <c r="C175">
        <v>1</v>
      </c>
      <c r="D175">
        <f>VLOOKUP(B175, Menu!$A:$F, 6, 0)</f>
        <v>146.4</v>
      </c>
      <c r="E175">
        <f>VLOOKUP(B175, Menu!$A:$F, 5, 0)</f>
        <v>80.92</v>
      </c>
      <c r="F175" t="str">
        <f>VLOOKUP(B175, Menu!$A:$F, 3, 0)</f>
        <v>Hot Meal</v>
      </c>
      <c r="G175" s="5">
        <f>VLOOKUP(A175, Orders!$A:$B, 2, 0)</f>
        <v>45849.598599537043</v>
      </c>
      <c r="H175" t="str">
        <f>VLOOKUP(A175, Orders!$A:$C, 3, 0)</f>
        <v>Plant 2 Canteen</v>
      </c>
      <c r="I175">
        <f>C175*D175*(1-VLOOKUP(A175,Orders!$A:$G,7,0))</f>
        <v>146.4</v>
      </c>
      <c r="J175" t="str">
        <f>VLOOKUP(A175,Orders!$A:$G,6,0)</f>
        <v>Lunch</v>
      </c>
      <c r="K175" t="str">
        <f>VLOOKUP(A175,Orders!$A:$G,5,0)</f>
        <v>Cash</v>
      </c>
    </row>
    <row r="176" spans="1:11" x14ac:dyDescent="0.3">
      <c r="A176" t="s">
        <v>107</v>
      </c>
      <c r="B176" t="s">
        <v>410</v>
      </c>
      <c r="C176">
        <v>3</v>
      </c>
      <c r="D176">
        <f>VLOOKUP(B176, Menu!$A:$F, 6, 0)</f>
        <v>20.11</v>
      </c>
      <c r="E176">
        <f>VLOOKUP(B176, Menu!$A:$F, 5, 0)</f>
        <v>8</v>
      </c>
      <c r="F176" t="str">
        <f>VLOOKUP(B176, Menu!$A:$F, 3, 0)</f>
        <v>Beverage</v>
      </c>
      <c r="G176" s="5">
        <f>VLOOKUP(A176, Orders!$A:$B, 2, 0)</f>
        <v>45884.353310185194</v>
      </c>
      <c r="H176" t="str">
        <f>VLOOKUP(A176, Orders!$A:$C, 3, 0)</f>
        <v>Plant 1 Canteen</v>
      </c>
      <c r="I176">
        <f>C176*D176*(1-VLOOKUP(A176,Orders!$A:$G,7,0))</f>
        <v>56.710199999999993</v>
      </c>
      <c r="J176" t="str">
        <f>VLOOKUP(A176,Orders!$A:$G,6,0)</f>
        <v>Breakfast</v>
      </c>
      <c r="K176" t="str">
        <f>VLOOKUP(A176,Orders!$A:$G,5,0)</f>
        <v>Cash</v>
      </c>
    </row>
    <row r="177" spans="1:11" x14ac:dyDescent="0.3">
      <c r="A177" t="s">
        <v>108</v>
      </c>
      <c r="B177" t="s">
        <v>405</v>
      </c>
      <c r="C177">
        <v>1</v>
      </c>
      <c r="D177">
        <f>VLOOKUP(B177, Menu!$A:$F, 6, 0)</f>
        <v>170.83</v>
      </c>
      <c r="E177">
        <f>VLOOKUP(B177, Menu!$A:$F, 5, 0)</f>
        <v>74.069999999999993</v>
      </c>
      <c r="F177" t="str">
        <f>VLOOKUP(B177, Menu!$A:$F, 3, 0)</f>
        <v>Hot Meal</v>
      </c>
      <c r="G177" s="5">
        <f>VLOOKUP(A177, Orders!$A:$B, 2, 0)</f>
        <v>45883.568043981482</v>
      </c>
      <c r="H177" t="str">
        <f>VLOOKUP(A177, Orders!$A:$C, 3, 0)</f>
        <v>Plant 1 Canteen</v>
      </c>
      <c r="I177">
        <f>C177*D177*(1-VLOOKUP(A177,Orders!$A:$G,7,0))</f>
        <v>160.58019999999999</v>
      </c>
      <c r="J177" t="str">
        <f>VLOOKUP(A177,Orders!$A:$G,6,0)</f>
        <v>Lunch</v>
      </c>
      <c r="K177" t="str">
        <f>VLOOKUP(A177,Orders!$A:$G,5,0)</f>
        <v>UPI</v>
      </c>
    </row>
    <row r="178" spans="1:11" x14ac:dyDescent="0.3">
      <c r="A178" t="s">
        <v>108</v>
      </c>
      <c r="B178" t="s">
        <v>403</v>
      </c>
      <c r="C178">
        <v>2</v>
      </c>
      <c r="D178">
        <f>VLOOKUP(B178, Menu!$A:$F, 6, 0)</f>
        <v>76.55</v>
      </c>
      <c r="E178">
        <f>VLOOKUP(B178, Menu!$A:$F, 5, 0)</f>
        <v>38.229999999999997</v>
      </c>
      <c r="F178" t="str">
        <f>VLOOKUP(B178, Menu!$A:$F, 3, 0)</f>
        <v>Dessert</v>
      </c>
      <c r="G178" s="5">
        <f>VLOOKUP(A178, Orders!$A:$B, 2, 0)</f>
        <v>45883.568043981482</v>
      </c>
      <c r="H178" t="str">
        <f>VLOOKUP(A178, Orders!$A:$C, 3, 0)</f>
        <v>Plant 1 Canteen</v>
      </c>
      <c r="I178">
        <f>C178*D178*(1-VLOOKUP(A178,Orders!$A:$G,7,0))</f>
        <v>143.91399999999999</v>
      </c>
      <c r="J178" t="str">
        <f>VLOOKUP(A178,Orders!$A:$G,6,0)</f>
        <v>Lunch</v>
      </c>
      <c r="K178" t="str">
        <f>VLOOKUP(A178,Orders!$A:$G,5,0)</f>
        <v>UPI</v>
      </c>
    </row>
    <row r="179" spans="1:11" x14ac:dyDescent="0.3">
      <c r="A179" t="s">
        <v>109</v>
      </c>
      <c r="B179" t="s">
        <v>405</v>
      </c>
      <c r="C179">
        <v>2</v>
      </c>
      <c r="D179">
        <f>VLOOKUP(B179, Menu!$A:$F, 6, 0)</f>
        <v>170.83</v>
      </c>
      <c r="E179">
        <f>VLOOKUP(B179, Menu!$A:$F, 5, 0)</f>
        <v>74.069999999999993</v>
      </c>
      <c r="F179" t="str">
        <f>VLOOKUP(B179, Menu!$A:$F, 3, 0)</f>
        <v>Hot Meal</v>
      </c>
      <c r="G179" s="5">
        <f>VLOOKUP(A179, Orders!$A:$B, 2, 0)</f>
        <v>45893.516261574077</v>
      </c>
      <c r="H179" t="str">
        <f>VLOOKUP(A179, Orders!$A:$C, 3, 0)</f>
        <v>Head Office Café</v>
      </c>
      <c r="I179">
        <f>C179*D179*(1-VLOOKUP(A179,Orders!$A:$G,7,0))</f>
        <v>286.99439999999998</v>
      </c>
      <c r="J179" t="str">
        <f>VLOOKUP(A179,Orders!$A:$G,6,0)</f>
        <v>Lunch</v>
      </c>
      <c r="K179" t="str">
        <f>VLOOKUP(A179,Orders!$A:$G,5,0)</f>
        <v>Card</v>
      </c>
    </row>
    <row r="180" spans="1:11" x14ac:dyDescent="0.3">
      <c r="A180" t="s">
        <v>109</v>
      </c>
      <c r="B180" t="s">
        <v>402</v>
      </c>
      <c r="C180">
        <v>1</v>
      </c>
      <c r="D180">
        <f>VLOOKUP(B180, Menu!$A:$F, 6, 0)</f>
        <v>30.34</v>
      </c>
      <c r="E180">
        <f>VLOOKUP(B180, Menu!$A:$F, 5, 0)</f>
        <v>14.18</v>
      </c>
      <c r="F180" t="str">
        <f>VLOOKUP(B180, Menu!$A:$F, 3, 0)</f>
        <v>Beverage</v>
      </c>
      <c r="G180" s="5">
        <f>VLOOKUP(A180, Orders!$A:$B, 2, 0)</f>
        <v>45893.516261574077</v>
      </c>
      <c r="H180" t="str">
        <f>VLOOKUP(A180, Orders!$A:$C, 3, 0)</f>
        <v>Head Office Café</v>
      </c>
      <c r="I180">
        <f>C180*D180*(1-VLOOKUP(A180,Orders!$A:$G,7,0))</f>
        <v>25.485599999999998</v>
      </c>
      <c r="J180" t="str">
        <f>VLOOKUP(A180,Orders!$A:$G,6,0)</f>
        <v>Lunch</v>
      </c>
      <c r="K180" t="str">
        <f>VLOOKUP(A180,Orders!$A:$G,5,0)</f>
        <v>Card</v>
      </c>
    </row>
    <row r="181" spans="1:11" x14ac:dyDescent="0.3">
      <c r="A181" t="s">
        <v>109</v>
      </c>
      <c r="B181" t="s">
        <v>409</v>
      </c>
      <c r="C181">
        <v>1</v>
      </c>
      <c r="D181">
        <f>VLOOKUP(B181, Menu!$A:$F, 6, 0)</f>
        <v>28.43</v>
      </c>
      <c r="E181">
        <f>VLOOKUP(B181, Menu!$A:$F, 5, 0)</f>
        <v>13.89</v>
      </c>
      <c r="F181" t="str">
        <f>VLOOKUP(B181, Menu!$A:$F, 3, 0)</f>
        <v>Beverage</v>
      </c>
      <c r="G181" s="5">
        <f>VLOOKUP(A181, Orders!$A:$B, 2, 0)</f>
        <v>45893.516261574077</v>
      </c>
      <c r="H181" t="str">
        <f>VLOOKUP(A181, Orders!$A:$C, 3, 0)</f>
        <v>Head Office Café</v>
      </c>
      <c r="I181">
        <f>C181*D181*(1-VLOOKUP(A181,Orders!$A:$G,7,0))</f>
        <v>23.8812</v>
      </c>
      <c r="J181" t="str">
        <f>VLOOKUP(A181,Orders!$A:$G,6,0)</f>
        <v>Lunch</v>
      </c>
      <c r="K181" t="str">
        <f>VLOOKUP(A181,Orders!$A:$G,5,0)</f>
        <v>Card</v>
      </c>
    </row>
    <row r="182" spans="1:11" x14ac:dyDescent="0.3">
      <c r="A182" t="s">
        <v>110</v>
      </c>
      <c r="B182" t="s">
        <v>419</v>
      </c>
      <c r="C182">
        <v>2</v>
      </c>
      <c r="D182">
        <f>VLOOKUP(B182, Menu!$A:$F, 6, 0)</f>
        <v>50.19</v>
      </c>
      <c r="E182">
        <f>VLOOKUP(B182, Menu!$A:$F, 5, 0)</f>
        <v>22.61</v>
      </c>
      <c r="F182" t="str">
        <f>VLOOKUP(B182, Menu!$A:$F, 3, 0)</f>
        <v>Snack</v>
      </c>
      <c r="G182" s="5">
        <f>VLOOKUP(A182, Orders!$A:$B, 2, 0)</f>
        <v>45880.68240740741</v>
      </c>
      <c r="H182" t="str">
        <f>VLOOKUP(A182, Orders!$A:$C, 3, 0)</f>
        <v>Head Office Café</v>
      </c>
      <c r="I182">
        <f>C182*D182*(1-VLOOKUP(A182,Orders!$A:$G,7,0))</f>
        <v>95.36099999999999</v>
      </c>
      <c r="J182" t="str">
        <f>VLOOKUP(A182,Orders!$A:$G,6,0)</f>
        <v>Dinner</v>
      </c>
      <c r="K182" t="str">
        <f>VLOOKUP(A182,Orders!$A:$G,5,0)</f>
        <v>Cash</v>
      </c>
    </row>
    <row r="183" spans="1:11" x14ac:dyDescent="0.3">
      <c r="A183" t="s">
        <v>111</v>
      </c>
      <c r="B183" t="s">
        <v>411</v>
      </c>
      <c r="C183">
        <v>1</v>
      </c>
      <c r="D183">
        <f>VLOOKUP(B183, Menu!$A:$F, 6, 0)</f>
        <v>22.2</v>
      </c>
      <c r="E183">
        <f>VLOOKUP(B183, Menu!$A:$F, 5, 0)</f>
        <v>9.3800000000000008</v>
      </c>
      <c r="F183" t="str">
        <f>VLOOKUP(B183, Menu!$A:$F, 3, 0)</f>
        <v>Beverage</v>
      </c>
      <c r="G183" s="5">
        <f>VLOOKUP(A183, Orders!$A:$B, 2, 0)</f>
        <v>45882.947430555563</v>
      </c>
      <c r="H183" t="str">
        <f>VLOOKUP(A183, Orders!$A:$C, 3, 0)</f>
        <v>Plant 2 Canteen</v>
      </c>
      <c r="I183">
        <f>C183*D183*(1-VLOOKUP(A183,Orders!$A:$G,7,0))</f>
        <v>20.645999999999997</v>
      </c>
      <c r="J183" t="str">
        <f>VLOOKUP(A183,Orders!$A:$G,6,0)</f>
        <v>Dinner</v>
      </c>
      <c r="K183" t="str">
        <f>VLOOKUP(A183,Orders!$A:$G,5,0)</f>
        <v>UPI</v>
      </c>
    </row>
    <row r="184" spans="1:11" x14ac:dyDescent="0.3">
      <c r="A184" t="s">
        <v>111</v>
      </c>
      <c r="B184" t="s">
        <v>401</v>
      </c>
      <c r="C184">
        <v>1</v>
      </c>
      <c r="D184">
        <f>VLOOKUP(B184, Menu!$A:$F, 6, 0)</f>
        <v>52.45</v>
      </c>
      <c r="E184">
        <f>VLOOKUP(B184, Menu!$A:$F, 5, 0)</f>
        <v>25.8</v>
      </c>
      <c r="F184" t="str">
        <f>VLOOKUP(B184, Menu!$A:$F, 3, 0)</f>
        <v>Snack</v>
      </c>
      <c r="G184" s="5">
        <f>VLOOKUP(A184, Orders!$A:$B, 2, 0)</f>
        <v>45882.947430555563</v>
      </c>
      <c r="H184" t="str">
        <f>VLOOKUP(A184, Orders!$A:$C, 3, 0)</f>
        <v>Plant 2 Canteen</v>
      </c>
      <c r="I184">
        <f>C184*D184*(1-VLOOKUP(A184,Orders!$A:$G,7,0))</f>
        <v>48.778500000000001</v>
      </c>
      <c r="J184" t="str">
        <f>VLOOKUP(A184,Orders!$A:$G,6,0)</f>
        <v>Dinner</v>
      </c>
      <c r="K184" t="str">
        <f>VLOOKUP(A184,Orders!$A:$G,5,0)</f>
        <v>UPI</v>
      </c>
    </row>
    <row r="185" spans="1:11" x14ac:dyDescent="0.3">
      <c r="A185" t="s">
        <v>111</v>
      </c>
      <c r="B185" t="s">
        <v>408</v>
      </c>
      <c r="C185">
        <v>2</v>
      </c>
      <c r="D185">
        <f>VLOOKUP(B185, Menu!$A:$F, 6, 0)</f>
        <v>70.540000000000006</v>
      </c>
      <c r="E185">
        <f>VLOOKUP(B185, Menu!$A:$F, 5, 0)</f>
        <v>35.81</v>
      </c>
      <c r="F185" t="str">
        <f>VLOOKUP(B185, Menu!$A:$F, 3, 0)</f>
        <v>Snack</v>
      </c>
      <c r="G185" s="5">
        <f>VLOOKUP(A185, Orders!$A:$B, 2, 0)</f>
        <v>45882.947430555563</v>
      </c>
      <c r="H185" t="str">
        <f>VLOOKUP(A185, Orders!$A:$C, 3, 0)</f>
        <v>Plant 2 Canteen</v>
      </c>
      <c r="I185">
        <f>C185*D185*(1-VLOOKUP(A185,Orders!$A:$G,7,0))</f>
        <v>131.20439999999999</v>
      </c>
      <c r="J185" t="str">
        <f>VLOOKUP(A185,Orders!$A:$G,6,0)</f>
        <v>Dinner</v>
      </c>
      <c r="K185" t="str">
        <f>VLOOKUP(A185,Orders!$A:$G,5,0)</f>
        <v>UPI</v>
      </c>
    </row>
    <row r="186" spans="1:11" x14ac:dyDescent="0.3">
      <c r="A186" t="s">
        <v>111</v>
      </c>
      <c r="B186" t="s">
        <v>416</v>
      </c>
      <c r="C186">
        <v>3</v>
      </c>
      <c r="D186">
        <f>VLOOKUP(B186, Menu!$A:$F, 6, 0)</f>
        <v>227.61</v>
      </c>
      <c r="E186">
        <f>VLOOKUP(B186, Menu!$A:$F, 5, 0)</f>
        <v>96.22</v>
      </c>
      <c r="F186" t="str">
        <f>VLOOKUP(B186, Menu!$A:$F, 3, 0)</f>
        <v>Hot Meal</v>
      </c>
      <c r="G186" s="5">
        <f>VLOOKUP(A186, Orders!$A:$B, 2, 0)</f>
        <v>45882.947430555563</v>
      </c>
      <c r="H186" t="str">
        <f>VLOOKUP(A186, Orders!$A:$C, 3, 0)</f>
        <v>Plant 2 Canteen</v>
      </c>
      <c r="I186">
        <f>C186*D186*(1-VLOOKUP(A186,Orders!$A:$G,7,0))</f>
        <v>635.03189999999995</v>
      </c>
      <c r="J186" t="str">
        <f>VLOOKUP(A186,Orders!$A:$G,6,0)</f>
        <v>Dinner</v>
      </c>
      <c r="K186" t="str">
        <f>VLOOKUP(A186,Orders!$A:$G,5,0)</f>
        <v>UPI</v>
      </c>
    </row>
    <row r="187" spans="1:11" x14ac:dyDescent="0.3">
      <c r="A187" t="s">
        <v>112</v>
      </c>
      <c r="B187" t="s">
        <v>409</v>
      </c>
      <c r="C187">
        <v>2</v>
      </c>
      <c r="D187">
        <f>VLOOKUP(B187, Menu!$A:$F, 6, 0)</f>
        <v>28.43</v>
      </c>
      <c r="E187">
        <f>VLOOKUP(B187, Menu!$A:$F, 5, 0)</f>
        <v>13.89</v>
      </c>
      <c r="F187" t="str">
        <f>VLOOKUP(B187, Menu!$A:$F, 3, 0)</f>
        <v>Beverage</v>
      </c>
      <c r="G187" s="5">
        <f>VLOOKUP(A187, Orders!$A:$B, 2, 0)</f>
        <v>45889.863182870373</v>
      </c>
      <c r="H187" t="str">
        <f>VLOOKUP(A187, Orders!$A:$C, 3, 0)</f>
        <v>Plant 2 Canteen</v>
      </c>
      <c r="I187">
        <f>C187*D187*(1-VLOOKUP(A187,Orders!$A:$G,7,0))</f>
        <v>53.448399999999999</v>
      </c>
      <c r="J187" t="str">
        <f>VLOOKUP(A187,Orders!$A:$G,6,0)</f>
        <v>Dinner</v>
      </c>
      <c r="K187" t="str">
        <f>VLOOKUP(A187,Orders!$A:$G,5,0)</f>
        <v>Cash</v>
      </c>
    </row>
    <row r="188" spans="1:11" x14ac:dyDescent="0.3">
      <c r="A188" t="s">
        <v>112</v>
      </c>
      <c r="B188" t="s">
        <v>417</v>
      </c>
      <c r="C188">
        <v>2</v>
      </c>
      <c r="D188">
        <f>VLOOKUP(B188, Menu!$A:$F, 6, 0)</f>
        <v>146.4</v>
      </c>
      <c r="E188">
        <f>VLOOKUP(B188, Menu!$A:$F, 5, 0)</f>
        <v>80.92</v>
      </c>
      <c r="F188" t="str">
        <f>VLOOKUP(B188, Menu!$A:$F, 3, 0)</f>
        <v>Hot Meal</v>
      </c>
      <c r="G188" s="5">
        <f>VLOOKUP(A188, Orders!$A:$B, 2, 0)</f>
        <v>45889.863182870373</v>
      </c>
      <c r="H188" t="str">
        <f>VLOOKUP(A188, Orders!$A:$C, 3, 0)</f>
        <v>Plant 2 Canteen</v>
      </c>
      <c r="I188">
        <f>C188*D188*(1-VLOOKUP(A188,Orders!$A:$G,7,0))</f>
        <v>275.23199999999997</v>
      </c>
      <c r="J188" t="str">
        <f>VLOOKUP(A188,Orders!$A:$G,6,0)</f>
        <v>Dinner</v>
      </c>
      <c r="K188" t="str">
        <f>VLOOKUP(A188,Orders!$A:$G,5,0)</f>
        <v>Cash</v>
      </c>
    </row>
    <row r="189" spans="1:11" x14ac:dyDescent="0.3">
      <c r="A189" t="s">
        <v>112</v>
      </c>
      <c r="B189" t="s">
        <v>406</v>
      </c>
      <c r="C189">
        <v>2</v>
      </c>
      <c r="D189">
        <f>VLOOKUP(B189, Menu!$A:$F, 6, 0)</f>
        <v>38.06</v>
      </c>
      <c r="E189">
        <f>VLOOKUP(B189, Menu!$A:$F, 5, 0)</f>
        <v>19.55</v>
      </c>
      <c r="F189" t="str">
        <f>VLOOKUP(B189, Menu!$A:$F, 3, 0)</f>
        <v>Snack</v>
      </c>
      <c r="G189" s="5">
        <f>VLOOKUP(A189, Orders!$A:$B, 2, 0)</f>
        <v>45889.863182870373</v>
      </c>
      <c r="H189" t="str">
        <f>VLOOKUP(A189, Orders!$A:$C, 3, 0)</f>
        <v>Plant 2 Canteen</v>
      </c>
      <c r="I189">
        <f>C189*D189*(1-VLOOKUP(A189,Orders!$A:$G,7,0))</f>
        <v>71.552800000000005</v>
      </c>
      <c r="J189" t="str">
        <f>VLOOKUP(A189,Orders!$A:$G,6,0)</f>
        <v>Dinner</v>
      </c>
      <c r="K189" t="str">
        <f>VLOOKUP(A189,Orders!$A:$G,5,0)</f>
        <v>Cash</v>
      </c>
    </row>
    <row r="190" spans="1:11" x14ac:dyDescent="0.3">
      <c r="A190" t="s">
        <v>112</v>
      </c>
      <c r="B190" t="s">
        <v>418</v>
      </c>
      <c r="C190">
        <v>3</v>
      </c>
      <c r="D190">
        <f>VLOOKUP(B190, Menu!$A:$F, 6, 0)</f>
        <v>39.950000000000003</v>
      </c>
      <c r="E190">
        <f>VLOOKUP(B190, Menu!$A:$F, 5, 0)</f>
        <v>15.51</v>
      </c>
      <c r="F190" t="str">
        <f>VLOOKUP(B190, Menu!$A:$F, 3, 0)</f>
        <v>Snack</v>
      </c>
      <c r="G190" s="5">
        <f>VLOOKUP(A190, Orders!$A:$B, 2, 0)</f>
        <v>45889.863182870373</v>
      </c>
      <c r="H190" t="str">
        <f>VLOOKUP(A190, Orders!$A:$C, 3, 0)</f>
        <v>Plant 2 Canteen</v>
      </c>
      <c r="I190">
        <f>C190*D190*(1-VLOOKUP(A190,Orders!$A:$G,7,0))</f>
        <v>112.65900000000001</v>
      </c>
      <c r="J190" t="str">
        <f>VLOOKUP(A190,Orders!$A:$G,6,0)</f>
        <v>Dinner</v>
      </c>
      <c r="K190" t="str">
        <f>VLOOKUP(A190,Orders!$A:$G,5,0)</f>
        <v>Cash</v>
      </c>
    </row>
    <row r="191" spans="1:11" x14ac:dyDescent="0.3">
      <c r="A191" t="s">
        <v>113</v>
      </c>
      <c r="B191" t="s">
        <v>413</v>
      </c>
      <c r="C191">
        <v>1</v>
      </c>
      <c r="D191">
        <f>VLOOKUP(B191, Menu!$A:$F, 6, 0)</f>
        <v>54.2</v>
      </c>
      <c r="E191">
        <f>VLOOKUP(B191, Menu!$A:$F, 5, 0)</f>
        <v>21.95</v>
      </c>
      <c r="F191" t="str">
        <f>VLOOKUP(B191, Menu!$A:$F, 3, 0)</f>
        <v>Dessert</v>
      </c>
      <c r="G191" s="5">
        <f>VLOOKUP(A191, Orders!$A:$B, 2, 0)</f>
        <v>45881.957384259258</v>
      </c>
      <c r="H191" t="str">
        <f>VLOOKUP(A191, Orders!$A:$C, 3, 0)</f>
        <v>Plant 1 Canteen</v>
      </c>
      <c r="I191">
        <f>C191*D191*(1-VLOOKUP(A191,Orders!$A:$G,7,0))</f>
        <v>53.658000000000001</v>
      </c>
      <c r="J191" t="str">
        <f>VLOOKUP(A191,Orders!$A:$G,6,0)</f>
        <v>Dinner</v>
      </c>
      <c r="K191" t="str">
        <f>VLOOKUP(A191,Orders!$A:$G,5,0)</f>
        <v>Card</v>
      </c>
    </row>
    <row r="192" spans="1:11" x14ac:dyDescent="0.3">
      <c r="A192" t="s">
        <v>113</v>
      </c>
      <c r="B192" t="s">
        <v>419</v>
      </c>
      <c r="C192">
        <v>1</v>
      </c>
      <c r="D192">
        <f>VLOOKUP(B192, Menu!$A:$F, 6, 0)</f>
        <v>50.19</v>
      </c>
      <c r="E192">
        <f>VLOOKUP(B192, Menu!$A:$F, 5, 0)</f>
        <v>22.61</v>
      </c>
      <c r="F192" t="str">
        <f>VLOOKUP(B192, Menu!$A:$F, 3, 0)</f>
        <v>Snack</v>
      </c>
      <c r="G192" s="5">
        <f>VLOOKUP(A192, Orders!$A:$B, 2, 0)</f>
        <v>45881.957384259258</v>
      </c>
      <c r="H192" t="str">
        <f>VLOOKUP(A192, Orders!$A:$C, 3, 0)</f>
        <v>Plant 1 Canteen</v>
      </c>
      <c r="I192">
        <f>C192*D192*(1-VLOOKUP(A192,Orders!$A:$G,7,0))</f>
        <v>49.688099999999999</v>
      </c>
      <c r="J192" t="str">
        <f>VLOOKUP(A192,Orders!$A:$G,6,0)</f>
        <v>Dinner</v>
      </c>
      <c r="K192" t="str">
        <f>VLOOKUP(A192,Orders!$A:$G,5,0)</f>
        <v>Card</v>
      </c>
    </row>
    <row r="193" spans="1:11" x14ac:dyDescent="0.3">
      <c r="A193" t="s">
        <v>113</v>
      </c>
      <c r="B193" t="s">
        <v>417</v>
      </c>
      <c r="C193">
        <v>2</v>
      </c>
      <c r="D193">
        <f>VLOOKUP(B193, Menu!$A:$F, 6, 0)</f>
        <v>146.4</v>
      </c>
      <c r="E193">
        <f>VLOOKUP(B193, Menu!$A:$F, 5, 0)</f>
        <v>80.92</v>
      </c>
      <c r="F193" t="str">
        <f>VLOOKUP(B193, Menu!$A:$F, 3, 0)</f>
        <v>Hot Meal</v>
      </c>
      <c r="G193" s="5">
        <f>VLOOKUP(A193, Orders!$A:$B, 2, 0)</f>
        <v>45881.957384259258</v>
      </c>
      <c r="H193" t="str">
        <f>VLOOKUP(A193, Orders!$A:$C, 3, 0)</f>
        <v>Plant 1 Canteen</v>
      </c>
      <c r="I193">
        <f>C193*D193*(1-VLOOKUP(A193,Orders!$A:$G,7,0))</f>
        <v>289.87200000000001</v>
      </c>
      <c r="J193" t="str">
        <f>VLOOKUP(A193,Orders!$A:$G,6,0)</f>
        <v>Dinner</v>
      </c>
      <c r="K193" t="str">
        <f>VLOOKUP(A193,Orders!$A:$G,5,0)</f>
        <v>Card</v>
      </c>
    </row>
    <row r="194" spans="1:11" x14ac:dyDescent="0.3">
      <c r="A194" t="s">
        <v>114</v>
      </c>
      <c r="B194" t="s">
        <v>404</v>
      </c>
      <c r="C194">
        <v>1</v>
      </c>
      <c r="D194">
        <f>VLOOKUP(B194, Menu!$A:$F, 6, 0)</f>
        <v>32.979999999999997</v>
      </c>
      <c r="E194">
        <f>VLOOKUP(B194, Menu!$A:$F, 5, 0)</f>
        <v>11.84</v>
      </c>
      <c r="F194" t="str">
        <f>VLOOKUP(B194, Menu!$A:$F, 3, 0)</f>
        <v>Beverage</v>
      </c>
      <c r="G194" s="5">
        <f>VLOOKUP(A194, Orders!$A:$B, 2, 0)</f>
        <v>45865.630914351852</v>
      </c>
      <c r="H194" t="str">
        <f>VLOOKUP(A194, Orders!$A:$C, 3, 0)</f>
        <v>Plant 2 Canteen</v>
      </c>
      <c r="I194">
        <f>C194*D194*(1-VLOOKUP(A194,Orders!$A:$G,7,0))</f>
        <v>29.352199999999996</v>
      </c>
      <c r="J194" t="str">
        <f>VLOOKUP(A194,Orders!$A:$G,6,0)</f>
        <v>Lunch</v>
      </c>
      <c r="K194" t="str">
        <f>VLOOKUP(A194,Orders!$A:$G,5,0)</f>
        <v>UPI</v>
      </c>
    </row>
    <row r="195" spans="1:11" x14ac:dyDescent="0.3">
      <c r="A195" t="s">
        <v>114</v>
      </c>
      <c r="B195" t="s">
        <v>408</v>
      </c>
      <c r="C195">
        <v>1</v>
      </c>
      <c r="D195">
        <f>VLOOKUP(B195, Menu!$A:$F, 6, 0)</f>
        <v>70.540000000000006</v>
      </c>
      <c r="E195">
        <f>VLOOKUP(B195, Menu!$A:$F, 5, 0)</f>
        <v>35.81</v>
      </c>
      <c r="F195" t="str">
        <f>VLOOKUP(B195, Menu!$A:$F, 3, 0)</f>
        <v>Snack</v>
      </c>
      <c r="G195" s="5">
        <f>VLOOKUP(A195, Orders!$A:$B, 2, 0)</f>
        <v>45865.630914351852</v>
      </c>
      <c r="H195" t="str">
        <f>VLOOKUP(A195, Orders!$A:$C, 3, 0)</f>
        <v>Plant 2 Canteen</v>
      </c>
      <c r="I195">
        <f>C195*D195*(1-VLOOKUP(A195,Orders!$A:$G,7,0))</f>
        <v>62.780600000000007</v>
      </c>
      <c r="J195" t="str">
        <f>VLOOKUP(A195,Orders!$A:$G,6,0)</f>
        <v>Lunch</v>
      </c>
      <c r="K195" t="str">
        <f>VLOOKUP(A195,Orders!$A:$G,5,0)</f>
        <v>UPI</v>
      </c>
    </row>
    <row r="196" spans="1:11" x14ac:dyDescent="0.3">
      <c r="A196" t="s">
        <v>115</v>
      </c>
      <c r="B196" t="s">
        <v>419</v>
      </c>
      <c r="C196">
        <v>1</v>
      </c>
      <c r="D196">
        <f>VLOOKUP(B196, Menu!$A:$F, 6, 0)</f>
        <v>50.19</v>
      </c>
      <c r="E196">
        <f>VLOOKUP(B196, Menu!$A:$F, 5, 0)</f>
        <v>22.61</v>
      </c>
      <c r="F196" t="str">
        <f>VLOOKUP(B196, Menu!$A:$F, 3, 0)</f>
        <v>Snack</v>
      </c>
      <c r="G196" s="5">
        <f>VLOOKUP(A196, Orders!$A:$B, 2, 0)</f>
        <v>45852.68478009259</v>
      </c>
      <c r="H196" t="str">
        <f>VLOOKUP(A196, Orders!$A:$C, 3, 0)</f>
        <v>Plant 1 Canteen</v>
      </c>
      <c r="I196">
        <f>C196*D196*(1-VLOOKUP(A196,Orders!$A:$G,7,0))</f>
        <v>45.672899999999998</v>
      </c>
      <c r="J196" t="str">
        <f>VLOOKUP(A196,Orders!$A:$G,6,0)</f>
        <v>Dinner</v>
      </c>
      <c r="K196" t="str">
        <f>VLOOKUP(A196,Orders!$A:$G,5,0)</f>
        <v>Card</v>
      </c>
    </row>
    <row r="197" spans="1:11" x14ac:dyDescent="0.3">
      <c r="A197" t="s">
        <v>115</v>
      </c>
      <c r="B197" t="s">
        <v>404</v>
      </c>
      <c r="C197">
        <v>3</v>
      </c>
      <c r="D197">
        <f>VLOOKUP(B197, Menu!$A:$F, 6, 0)</f>
        <v>32.979999999999997</v>
      </c>
      <c r="E197">
        <f>VLOOKUP(B197, Menu!$A:$F, 5, 0)</f>
        <v>11.84</v>
      </c>
      <c r="F197" t="str">
        <f>VLOOKUP(B197, Menu!$A:$F, 3, 0)</f>
        <v>Beverage</v>
      </c>
      <c r="G197" s="5">
        <f>VLOOKUP(A197, Orders!$A:$B, 2, 0)</f>
        <v>45852.68478009259</v>
      </c>
      <c r="H197" t="str">
        <f>VLOOKUP(A197, Orders!$A:$C, 3, 0)</f>
        <v>Plant 1 Canteen</v>
      </c>
      <c r="I197">
        <f>C197*D197*(1-VLOOKUP(A197,Orders!$A:$G,7,0))</f>
        <v>90.035399999999996</v>
      </c>
      <c r="J197" t="str">
        <f>VLOOKUP(A197,Orders!$A:$G,6,0)</f>
        <v>Dinner</v>
      </c>
      <c r="K197" t="str">
        <f>VLOOKUP(A197,Orders!$A:$G,5,0)</f>
        <v>Card</v>
      </c>
    </row>
    <row r="198" spans="1:11" x14ac:dyDescent="0.3">
      <c r="A198" t="s">
        <v>116</v>
      </c>
      <c r="B198" t="s">
        <v>406</v>
      </c>
      <c r="C198">
        <v>1</v>
      </c>
      <c r="D198">
        <f>VLOOKUP(B198, Menu!$A:$F, 6, 0)</f>
        <v>38.06</v>
      </c>
      <c r="E198">
        <f>VLOOKUP(B198, Menu!$A:$F, 5, 0)</f>
        <v>19.55</v>
      </c>
      <c r="F198" t="str">
        <f>VLOOKUP(B198, Menu!$A:$F, 3, 0)</f>
        <v>Snack</v>
      </c>
      <c r="G198" s="5">
        <f>VLOOKUP(A198, Orders!$A:$B, 2, 0)</f>
        <v>45860.02275462963</v>
      </c>
      <c r="H198" t="str">
        <f>VLOOKUP(A198, Orders!$A:$C, 3, 0)</f>
        <v>Plant 1 Canteen</v>
      </c>
      <c r="I198">
        <f>C198*D198*(1-VLOOKUP(A198,Orders!$A:$G,7,0))</f>
        <v>34.634600000000006</v>
      </c>
      <c r="J198" t="str">
        <f>VLOOKUP(A198,Orders!$A:$G,6,0)</f>
        <v>Breakfast</v>
      </c>
      <c r="K198" t="str">
        <f>VLOOKUP(A198,Orders!$A:$G,5,0)</f>
        <v>Card</v>
      </c>
    </row>
    <row r="199" spans="1:11" x14ac:dyDescent="0.3">
      <c r="A199" t="s">
        <v>116</v>
      </c>
      <c r="B199" t="s">
        <v>409</v>
      </c>
      <c r="C199">
        <v>2</v>
      </c>
      <c r="D199">
        <f>VLOOKUP(B199, Menu!$A:$F, 6, 0)</f>
        <v>28.43</v>
      </c>
      <c r="E199">
        <f>VLOOKUP(B199, Menu!$A:$F, 5, 0)</f>
        <v>13.89</v>
      </c>
      <c r="F199" t="str">
        <f>VLOOKUP(B199, Menu!$A:$F, 3, 0)</f>
        <v>Beverage</v>
      </c>
      <c r="G199" s="5">
        <f>VLOOKUP(A199, Orders!$A:$B, 2, 0)</f>
        <v>45860.02275462963</v>
      </c>
      <c r="H199" t="str">
        <f>VLOOKUP(A199, Orders!$A:$C, 3, 0)</f>
        <v>Plant 1 Canteen</v>
      </c>
      <c r="I199">
        <f>C199*D199*(1-VLOOKUP(A199,Orders!$A:$G,7,0))</f>
        <v>51.742600000000003</v>
      </c>
      <c r="J199" t="str">
        <f>VLOOKUP(A199,Orders!$A:$G,6,0)</f>
        <v>Breakfast</v>
      </c>
      <c r="K199" t="str">
        <f>VLOOKUP(A199,Orders!$A:$G,5,0)</f>
        <v>Card</v>
      </c>
    </row>
    <row r="200" spans="1:11" x14ac:dyDescent="0.3">
      <c r="A200" t="s">
        <v>117</v>
      </c>
      <c r="B200" t="s">
        <v>411</v>
      </c>
      <c r="C200">
        <v>2</v>
      </c>
      <c r="D200">
        <f>VLOOKUP(B200, Menu!$A:$F, 6, 0)</f>
        <v>22.2</v>
      </c>
      <c r="E200">
        <f>VLOOKUP(B200, Menu!$A:$F, 5, 0)</f>
        <v>9.3800000000000008</v>
      </c>
      <c r="F200" t="str">
        <f>VLOOKUP(B200, Menu!$A:$F, 3, 0)</f>
        <v>Beverage</v>
      </c>
      <c r="G200" s="5">
        <f>VLOOKUP(A200, Orders!$A:$B, 2, 0)</f>
        <v>45891.932314814818</v>
      </c>
      <c r="H200" t="str">
        <f>VLOOKUP(A200, Orders!$A:$C, 3, 0)</f>
        <v>Plant 2 Canteen</v>
      </c>
      <c r="I200">
        <f>C200*D200*(1-VLOOKUP(A200,Orders!$A:$G,7,0))</f>
        <v>43.512</v>
      </c>
      <c r="J200" t="str">
        <f>VLOOKUP(A200,Orders!$A:$G,6,0)</f>
        <v>Dinner</v>
      </c>
      <c r="K200" t="str">
        <f>VLOOKUP(A200,Orders!$A:$G,5,0)</f>
        <v>Cash</v>
      </c>
    </row>
    <row r="201" spans="1:11" x14ac:dyDescent="0.3">
      <c r="A201" t="s">
        <v>117</v>
      </c>
      <c r="B201" t="s">
        <v>404</v>
      </c>
      <c r="C201">
        <v>2</v>
      </c>
      <c r="D201">
        <f>VLOOKUP(B201, Menu!$A:$F, 6, 0)</f>
        <v>32.979999999999997</v>
      </c>
      <c r="E201">
        <f>VLOOKUP(B201, Menu!$A:$F, 5, 0)</f>
        <v>11.84</v>
      </c>
      <c r="F201" t="str">
        <f>VLOOKUP(B201, Menu!$A:$F, 3, 0)</f>
        <v>Beverage</v>
      </c>
      <c r="G201" s="5">
        <f>VLOOKUP(A201, Orders!$A:$B, 2, 0)</f>
        <v>45891.932314814818</v>
      </c>
      <c r="H201" t="str">
        <f>VLOOKUP(A201, Orders!$A:$C, 3, 0)</f>
        <v>Plant 2 Canteen</v>
      </c>
      <c r="I201">
        <f>C201*D201*(1-VLOOKUP(A201,Orders!$A:$G,7,0))</f>
        <v>64.640799999999999</v>
      </c>
      <c r="J201" t="str">
        <f>VLOOKUP(A201,Orders!$A:$G,6,0)</f>
        <v>Dinner</v>
      </c>
      <c r="K201" t="str">
        <f>VLOOKUP(A201,Orders!$A:$G,5,0)</f>
        <v>Cash</v>
      </c>
    </row>
    <row r="202" spans="1:11" x14ac:dyDescent="0.3">
      <c r="A202" t="s">
        <v>117</v>
      </c>
      <c r="B202" t="s">
        <v>415</v>
      </c>
      <c r="C202">
        <v>1</v>
      </c>
      <c r="D202">
        <f>VLOOKUP(B202, Menu!$A:$F, 6, 0)</f>
        <v>256.91000000000003</v>
      </c>
      <c r="E202">
        <f>VLOOKUP(B202, Menu!$A:$F, 5, 0)</f>
        <v>121.24</v>
      </c>
      <c r="F202" t="str">
        <f>VLOOKUP(B202, Menu!$A:$F, 3, 0)</f>
        <v>Hot Meal</v>
      </c>
      <c r="G202" s="5">
        <f>VLOOKUP(A202, Orders!$A:$B, 2, 0)</f>
        <v>45891.932314814818</v>
      </c>
      <c r="H202" t="str">
        <f>VLOOKUP(A202, Orders!$A:$C, 3, 0)</f>
        <v>Plant 2 Canteen</v>
      </c>
      <c r="I202">
        <f>C202*D202*(1-VLOOKUP(A202,Orders!$A:$G,7,0))</f>
        <v>251.77180000000001</v>
      </c>
      <c r="J202" t="str">
        <f>VLOOKUP(A202,Orders!$A:$G,6,0)</f>
        <v>Dinner</v>
      </c>
      <c r="K202" t="str">
        <f>VLOOKUP(A202,Orders!$A:$G,5,0)</f>
        <v>Cash</v>
      </c>
    </row>
    <row r="203" spans="1:11" x14ac:dyDescent="0.3">
      <c r="A203" t="s">
        <v>117</v>
      </c>
      <c r="B203" t="s">
        <v>402</v>
      </c>
      <c r="C203">
        <v>2</v>
      </c>
      <c r="D203">
        <f>VLOOKUP(B203, Menu!$A:$F, 6, 0)</f>
        <v>30.34</v>
      </c>
      <c r="E203">
        <f>VLOOKUP(B203, Menu!$A:$F, 5, 0)</f>
        <v>14.18</v>
      </c>
      <c r="F203" t="str">
        <f>VLOOKUP(B203, Menu!$A:$F, 3, 0)</f>
        <v>Beverage</v>
      </c>
      <c r="G203" s="5">
        <f>VLOOKUP(A203, Orders!$A:$B, 2, 0)</f>
        <v>45891.932314814818</v>
      </c>
      <c r="H203" t="str">
        <f>VLOOKUP(A203, Orders!$A:$C, 3, 0)</f>
        <v>Plant 2 Canteen</v>
      </c>
      <c r="I203">
        <f>C203*D203*(1-VLOOKUP(A203,Orders!$A:$G,7,0))</f>
        <v>59.4664</v>
      </c>
      <c r="J203" t="str">
        <f>VLOOKUP(A203,Orders!$A:$G,6,0)</f>
        <v>Dinner</v>
      </c>
      <c r="K203" t="str">
        <f>VLOOKUP(A203,Orders!$A:$G,5,0)</f>
        <v>Cash</v>
      </c>
    </row>
    <row r="204" spans="1:11" x14ac:dyDescent="0.3">
      <c r="A204" t="s">
        <v>118</v>
      </c>
      <c r="B204" t="s">
        <v>419</v>
      </c>
      <c r="C204">
        <v>1</v>
      </c>
      <c r="D204">
        <f>VLOOKUP(B204, Menu!$A:$F, 6, 0)</f>
        <v>50.19</v>
      </c>
      <c r="E204">
        <f>VLOOKUP(B204, Menu!$A:$F, 5, 0)</f>
        <v>22.61</v>
      </c>
      <c r="F204" t="str">
        <f>VLOOKUP(B204, Menu!$A:$F, 3, 0)</f>
        <v>Snack</v>
      </c>
      <c r="G204" s="5">
        <f>VLOOKUP(A204, Orders!$A:$B, 2, 0)</f>
        <v>45880.041886574072</v>
      </c>
      <c r="H204" t="str">
        <f>VLOOKUP(A204, Orders!$A:$C, 3, 0)</f>
        <v>Plant 2 Canteen</v>
      </c>
      <c r="I204">
        <f>C204*D204*(1-VLOOKUP(A204,Orders!$A:$G,7,0))</f>
        <v>44.167200000000001</v>
      </c>
      <c r="J204" t="str">
        <f>VLOOKUP(A204,Orders!$A:$G,6,0)</f>
        <v>Breakfast</v>
      </c>
      <c r="K204" t="str">
        <f>VLOOKUP(A204,Orders!$A:$G,5,0)</f>
        <v>UPI</v>
      </c>
    </row>
    <row r="205" spans="1:11" x14ac:dyDescent="0.3">
      <c r="A205" t="s">
        <v>119</v>
      </c>
      <c r="B205" t="s">
        <v>418</v>
      </c>
      <c r="C205">
        <v>3</v>
      </c>
      <c r="D205">
        <f>VLOOKUP(B205, Menu!$A:$F, 6, 0)</f>
        <v>39.950000000000003</v>
      </c>
      <c r="E205">
        <f>VLOOKUP(B205, Menu!$A:$F, 5, 0)</f>
        <v>15.51</v>
      </c>
      <c r="F205" t="str">
        <f>VLOOKUP(B205, Menu!$A:$F, 3, 0)</f>
        <v>Snack</v>
      </c>
      <c r="G205" s="5">
        <f>VLOOKUP(A205, Orders!$A:$B, 2, 0)</f>
        <v>45895.14398148148</v>
      </c>
      <c r="H205" t="str">
        <f>VLOOKUP(A205, Orders!$A:$C, 3, 0)</f>
        <v>Plant 2 Canteen</v>
      </c>
      <c r="I205">
        <f>C205*D205*(1-VLOOKUP(A205,Orders!$A:$G,7,0))</f>
        <v>119.85000000000001</v>
      </c>
      <c r="J205" t="str">
        <f>VLOOKUP(A205,Orders!$A:$G,6,0)</f>
        <v>Breakfast</v>
      </c>
      <c r="K205" t="str">
        <f>VLOOKUP(A205,Orders!$A:$G,5,0)</f>
        <v>Cash</v>
      </c>
    </row>
    <row r="206" spans="1:11" x14ac:dyDescent="0.3">
      <c r="A206" t="s">
        <v>120</v>
      </c>
      <c r="B206" t="s">
        <v>402</v>
      </c>
      <c r="C206">
        <v>1</v>
      </c>
      <c r="D206">
        <f>VLOOKUP(B206, Menu!$A:$F, 6, 0)</f>
        <v>30.34</v>
      </c>
      <c r="E206">
        <f>VLOOKUP(B206, Menu!$A:$F, 5, 0)</f>
        <v>14.18</v>
      </c>
      <c r="F206" t="str">
        <f>VLOOKUP(B206, Menu!$A:$F, 3, 0)</f>
        <v>Beverage</v>
      </c>
      <c r="G206" s="5">
        <f>VLOOKUP(A206, Orders!$A:$B, 2, 0)</f>
        <v>45868.242407407408</v>
      </c>
      <c r="H206" t="str">
        <f>VLOOKUP(A206, Orders!$A:$C, 3, 0)</f>
        <v>Plant 2 Canteen</v>
      </c>
      <c r="I206">
        <f>C206*D206*(1-VLOOKUP(A206,Orders!$A:$G,7,0))</f>
        <v>27.912800000000001</v>
      </c>
      <c r="J206" t="str">
        <f>VLOOKUP(A206,Orders!$A:$G,6,0)</f>
        <v>Breakfast</v>
      </c>
      <c r="K206" t="str">
        <f>VLOOKUP(A206,Orders!$A:$G,5,0)</f>
        <v>UPI</v>
      </c>
    </row>
    <row r="207" spans="1:11" x14ac:dyDescent="0.3">
      <c r="A207" t="s">
        <v>120</v>
      </c>
      <c r="B207" t="s">
        <v>417</v>
      </c>
      <c r="C207">
        <v>2</v>
      </c>
      <c r="D207">
        <f>VLOOKUP(B207, Menu!$A:$F, 6, 0)</f>
        <v>146.4</v>
      </c>
      <c r="E207">
        <f>VLOOKUP(B207, Menu!$A:$F, 5, 0)</f>
        <v>80.92</v>
      </c>
      <c r="F207" t="str">
        <f>VLOOKUP(B207, Menu!$A:$F, 3, 0)</f>
        <v>Hot Meal</v>
      </c>
      <c r="G207" s="5">
        <f>VLOOKUP(A207, Orders!$A:$B, 2, 0)</f>
        <v>45868.242407407408</v>
      </c>
      <c r="H207" t="str">
        <f>VLOOKUP(A207, Orders!$A:$C, 3, 0)</f>
        <v>Plant 2 Canteen</v>
      </c>
      <c r="I207">
        <f>C207*D207*(1-VLOOKUP(A207,Orders!$A:$G,7,0))</f>
        <v>269.37600000000003</v>
      </c>
      <c r="J207" t="str">
        <f>VLOOKUP(A207,Orders!$A:$G,6,0)</f>
        <v>Breakfast</v>
      </c>
      <c r="K207" t="str">
        <f>VLOOKUP(A207,Orders!$A:$G,5,0)</f>
        <v>UPI</v>
      </c>
    </row>
    <row r="208" spans="1:11" x14ac:dyDescent="0.3">
      <c r="A208" t="s">
        <v>121</v>
      </c>
      <c r="B208" t="s">
        <v>402</v>
      </c>
      <c r="C208">
        <v>1</v>
      </c>
      <c r="D208">
        <f>VLOOKUP(B208, Menu!$A:$F, 6, 0)</f>
        <v>30.34</v>
      </c>
      <c r="E208">
        <f>VLOOKUP(B208, Menu!$A:$F, 5, 0)</f>
        <v>14.18</v>
      </c>
      <c r="F208" t="str">
        <f>VLOOKUP(B208, Menu!$A:$F, 3, 0)</f>
        <v>Beverage</v>
      </c>
      <c r="G208" s="5">
        <f>VLOOKUP(A208, Orders!$A:$B, 2, 0)</f>
        <v>45897.820011574076</v>
      </c>
      <c r="H208" t="str">
        <f>VLOOKUP(A208, Orders!$A:$C, 3, 0)</f>
        <v>Plant 1 Canteen</v>
      </c>
      <c r="I208">
        <f>C208*D208*(1-VLOOKUP(A208,Orders!$A:$G,7,0))</f>
        <v>25.788999999999998</v>
      </c>
      <c r="J208" t="str">
        <f>VLOOKUP(A208,Orders!$A:$G,6,0)</f>
        <v>Dinner</v>
      </c>
      <c r="K208" t="str">
        <f>VLOOKUP(A208,Orders!$A:$G,5,0)</f>
        <v>Cash</v>
      </c>
    </row>
    <row r="209" spans="1:11" x14ac:dyDescent="0.3">
      <c r="A209" t="s">
        <v>121</v>
      </c>
      <c r="B209" t="s">
        <v>403</v>
      </c>
      <c r="C209">
        <v>2</v>
      </c>
      <c r="D209">
        <f>VLOOKUP(B209, Menu!$A:$F, 6, 0)</f>
        <v>76.55</v>
      </c>
      <c r="E209">
        <f>VLOOKUP(B209, Menu!$A:$F, 5, 0)</f>
        <v>38.229999999999997</v>
      </c>
      <c r="F209" t="str">
        <f>VLOOKUP(B209, Menu!$A:$F, 3, 0)</f>
        <v>Dessert</v>
      </c>
      <c r="G209" s="5">
        <f>VLOOKUP(A209, Orders!$A:$B, 2, 0)</f>
        <v>45897.820011574076</v>
      </c>
      <c r="H209" t="str">
        <f>VLOOKUP(A209, Orders!$A:$C, 3, 0)</f>
        <v>Plant 1 Canteen</v>
      </c>
      <c r="I209">
        <f>C209*D209*(1-VLOOKUP(A209,Orders!$A:$G,7,0))</f>
        <v>130.13499999999999</v>
      </c>
      <c r="J209" t="str">
        <f>VLOOKUP(A209,Orders!$A:$G,6,0)</f>
        <v>Dinner</v>
      </c>
      <c r="K209" t="str">
        <f>VLOOKUP(A209,Orders!$A:$G,5,0)</f>
        <v>Cash</v>
      </c>
    </row>
    <row r="210" spans="1:11" x14ac:dyDescent="0.3">
      <c r="A210" t="s">
        <v>121</v>
      </c>
      <c r="B210" t="s">
        <v>401</v>
      </c>
      <c r="C210">
        <v>1</v>
      </c>
      <c r="D210">
        <f>VLOOKUP(B210, Menu!$A:$F, 6, 0)</f>
        <v>52.45</v>
      </c>
      <c r="E210">
        <f>VLOOKUP(B210, Menu!$A:$F, 5, 0)</f>
        <v>25.8</v>
      </c>
      <c r="F210" t="str">
        <f>VLOOKUP(B210, Menu!$A:$F, 3, 0)</f>
        <v>Snack</v>
      </c>
      <c r="G210" s="5">
        <f>VLOOKUP(A210, Orders!$A:$B, 2, 0)</f>
        <v>45897.820011574076</v>
      </c>
      <c r="H210" t="str">
        <f>VLOOKUP(A210, Orders!$A:$C, 3, 0)</f>
        <v>Plant 1 Canteen</v>
      </c>
      <c r="I210">
        <f>C210*D210*(1-VLOOKUP(A210,Orders!$A:$G,7,0))</f>
        <v>44.582500000000003</v>
      </c>
      <c r="J210" t="str">
        <f>VLOOKUP(A210,Orders!$A:$G,6,0)</f>
        <v>Dinner</v>
      </c>
      <c r="K210" t="str">
        <f>VLOOKUP(A210,Orders!$A:$G,5,0)</f>
        <v>Cash</v>
      </c>
    </row>
    <row r="211" spans="1:11" x14ac:dyDescent="0.3">
      <c r="A211" t="s">
        <v>122</v>
      </c>
      <c r="B211" t="s">
        <v>413</v>
      </c>
      <c r="C211">
        <v>1</v>
      </c>
      <c r="D211">
        <f>VLOOKUP(B211, Menu!$A:$F, 6, 0)</f>
        <v>54.2</v>
      </c>
      <c r="E211">
        <f>VLOOKUP(B211, Menu!$A:$F, 5, 0)</f>
        <v>21.95</v>
      </c>
      <c r="F211" t="str">
        <f>VLOOKUP(B211, Menu!$A:$F, 3, 0)</f>
        <v>Dessert</v>
      </c>
      <c r="G211" s="5">
        <f>VLOOKUP(A211, Orders!$A:$B, 2, 0)</f>
        <v>45881.565474537027</v>
      </c>
      <c r="H211" t="str">
        <f>VLOOKUP(A211, Orders!$A:$C, 3, 0)</f>
        <v>Plant 2 Canteen</v>
      </c>
      <c r="I211">
        <f>C211*D211*(1-VLOOKUP(A211,Orders!$A:$G,7,0))</f>
        <v>53.116</v>
      </c>
      <c r="J211" t="str">
        <f>VLOOKUP(A211,Orders!$A:$G,6,0)</f>
        <v>Lunch</v>
      </c>
      <c r="K211" t="str">
        <f>VLOOKUP(A211,Orders!$A:$G,5,0)</f>
        <v>Card</v>
      </c>
    </row>
    <row r="212" spans="1:11" x14ac:dyDescent="0.3">
      <c r="A212" t="s">
        <v>122</v>
      </c>
      <c r="B212" t="s">
        <v>419</v>
      </c>
      <c r="C212">
        <v>2</v>
      </c>
      <c r="D212">
        <f>VLOOKUP(B212, Menu!$A:$F, 6, 0)</f>
        <v>50.19</v>
      </c>
      <c r="E212">
        <f>VLOOKUP(B212, Menu!$A:$F, 5, 0)</f>
        <v>22.61</v>
      </c>
      <c r="F212" t="str">
        <f>VLOOKUP(B212, Menu!$A:$F, 3, 0)</f>
        <v>Snack</v>
      </c>
      <c r="G212" s="5">
        <f>VLOOKUP(A212, Orders!$A:$B, 2, 0)</f>
        <v>45881.565474537027</v>
      </c>
      <c r="H212" t="str">
        <f>VLOOKUP(A212, Orders!$A:$C, 3, 0)</f>
        <v>Plant 2 Canteen</v>
      </c>
      <c r="I212">
        <f>C212*D212*(1-VLOOKUP(A212,Orders!$A:$G,7,0))</f>
        <v>98.372399999999999</v>
      </c>
      <c r="J212" t="str">
        <f>VLOOKUP(A212,Orders!$A:$G,6,0)</f>
        <v>Lunch</v>
      </c>
      <c r="K212" t="str">
        <f>VLOOKUP(A212,Orders!$A:$G,5,0)</f>
        <v>Card</v>
      </c>
    </row>
    <row r="213" spans="1:11" x14ac:dyDescent="0.3">
      <c r="A213" t="s">
        <v>123</v>
      </c>
      <c r="B213" t="s">
        <v>404</v>
      </c>
      <c r="C213">
        <v>1</v>
      </c>
      <c r="D213">
        <f>VLOOKUP(B213, Menu!$A:$F, 6, 0)</f>
        <v>32.979999999999997</v>
      </c>
      <c r="E213">
        <f>VLOOKUP(B213, Menu!$A:$F, 5, 0)</f>
        <v>11.84</v>
      </c>
      <c r="F213" t="str">
        <f>VLOOKUP(B213, Menu!$A:$F, 3, 0)</f>
        <v>Beverage</v>
      </c>
      <c r="G213" s="5">
        <f>VLOOKUP(A213, Orders!$A:$B, 2, 0)</f>
        <v>45878.505254629628</v>
      </c>
      <c r="H213" t="str">
        <f>VLOOKUP(A213, Orders!$A:$C, 3, 0)</f>
        <v>Head Office Café</v>
      </c>
      <c r="I213">
        <f>C213*D213*(1-VLOOKUP(A213,Orders!$A:$G,7,0))</f>
        <v>31.660799999999995</v>
      </c>
      <c r="J213" t="str">
        <f>VLOOKUP(A213,Orders!$A:$G,6,0)</f>
        <v>Lunch</v>
      </c>
      <c r="K213" t="str">
        <f>VLOOKUP(A213,Orders!$A:$G,5,0)</f>
        <v>Card</v>
      </c>
    </row>
    <row r="214" spans="1:11" x14ac:dyDescent="0.3">
      <c r="A214" t="s">
        <v>123</v>
      </c>
      <c r="B214" t="s">
        <v>403</v>
      </c>
      <c r="C214">
        <v>2</v>
      </c>
      <c r="D214">
        <f>VLOOKUP(B214, Menu!$A:$F, 6, 0)</f>
        <v>76.55</v>
      </c>
      <c r="E214">
        <f>VLOOKUP(B214, Menu!$A:$F, 5, 0)</f>
        <v>38.229999999999997</v>
      </c>
      <c r="F214" t="str">
        <f>VLOOKUP(B214, Menu!$A:$F, 3, 0)</f>
        <v>Dessert</v>
      </c>
      <c r="G214" s="5">
        <f>VLOOKUP(A214, Orders!$A:$B, 2, 0)</f>
        <v>45878.505254629628</v>
      </c>
      <c r="H214" t="str">
        <f>VLOOKUP(A214, Orders!$A:$C, 3, 0)</f>
        <v>Head Office Café</v>
      </c>
      <c r="I214">
        <f>C214*D214*(1-VLOOKUP(A214,Orders!$A:$G,7,0))</f>
        <v>146.976</v>
      </c>
      <c r="J214" t="str">
        <f>VLOOKUP(A214,Orders!$A:$G,6,0)</f>
        <v>Lunch</v>
      </c>
      <c r="K214" t="str">
        <f>VLOOKUP(A214,Orders!$A:$G,5,0)</f>
        <v>Card</v>
      </c>
    </row>
    <row r="215" spans="1:11" x14ac:dyDescent="0.3">
      <c r="A215" t="s">
        <v>124</v>
      </c>
      <c r="B215" t="s">
        <v>401</v>
      </c>
      <c r="C215">
        <v>2</v>
      </c>
      <c r="D215">
        <f>VLOOKUP(B215, Menu!$A:$F, 6, 0)</f>
        <v>52.45</v>
      </c>
      <c r="E215">
        <f>VLOOKUP(B215, Menu!$A:$F, 5, 0)</f>
        <v>25.8</v>
      </c>
      <c r="F215" t="str">
        <f>VLOOKUP(B215, Menu!$A:$F, 3, 0)</f>
        <v>Snack</v>
      </c>
      <c r="G215" s="5">
        <f>VLOOKUP(A215, Orders!$A:$B, 2, 0)</f>
        <v>45891.108252314807</v>
      </c>
      <c r="H215" t="str">
        <f>VLOOKUP(A215, Orders!$A:$C, 3, 0)</f>
        <v>Plant 1 Canteen</v>
      </c>
      <c r="I215">
        <f>C215*D215*(1-VLOOKUP(A215,Orders!$A:$G,7,0))</f>
        <v>98.605999999999995</v>
      </c>
      <c r="J215" t="str">
        <f>VLOOKUP(A215,Orders!$A:$G,6,0)</f>
        <v>Breakfast</v>
      </c>
      <c r="K215" t="str">
        <f>VLOOKUP(A215,Orders!$A:$G,5,0)</f>
        <v>UPI</v>
      </c>
    </row>
    <row r="216" spans="1:11" x14ac:dyDescent="0.3">
      <c r="A216" t="s">
        <v>124</v>
      </c>
      <c r="B216" t="s">
        <v>411</v>
      </c>
      <c r="C216">
        <v>1</v>
      </c>
      <c r="D216">
        <f>VLOOKUP(B216, Menu!$A:$F, 6, 0)</f>
        <v>22.2</v>
      </c>
      <c r="E216">
        <f>VLOOKUP(B216, Menu!$A:$F, 5, 0)</f>
        <v>9.3800000000000008</v>
      </c>
      <c r="F216" t="str">
        <f>VLOOKUP(B216, Menu!$A:$F, 3, 0)</f>
        <v>Beverage</v>
      </c>
      <c r="G216" s="5">
        <f>VLOOKUP(A216, Orders!$A:$B, 2, 0)</f>
        <v>45891.108252314807</v>
      </c>
      <c r="H216" t="str">
        <f>VLOOKUP(A216, Orders!$A:$C, 3, 0)</f>
        <v>Plant 1 Canteen</v>
      </c>
      <c r="I216">
        <f>C216*D216*(1-VLOOKUP(A216,Orders!$A:$G,7,0))</f>
        <v>20.867999999999999</v>
      </c>
      <c r="J216" t="str">
        <f>VLOOKUP(A216,Orders!$A:$G,6,0)</f>
        <v>Breakfast</v>
      </c>
      <c r="K216" t="str">
        <f>VLOOKUP(A216,Orders!$A:$G,5,0)</f>
        <v>UPI</v>
      </c>
    </row>
    <row r="217" spans="1:11" x14ac:dyDescent="0.3">
      <c r="A217" t="s">
        <v>124</v>
      </c>
      <c r="B217" t="s">
        <v>408</v>
      </c>
      <c r="C217">
        <v>2</v>
      </c>
      <c r="D217">
        <f>VLOOKUP(B217, Menu!$A:$F, 6, 0)</f>
        <v>70.540000000000006</v>
      </c>
      <c r="E217">
        <f>VLOOKUP(B217, Menu!$A:$F, 5, 0)</f>
        <v>35.81</v>
      </c>
      <c r="F217" t="str">
        <f>VLOOKUP(B217, Menu!$A:$F, 3, 0)</f>
        <v>Snack</v>
      </c>
      <c r="G217" s="5">
        <f>VLOOKUP(A217, Orders!$A:$B, 2, 0)</f>
        <v>45891.108252314807</v>
      </c>
      <c r="H217" t="str">
        <f>VLOOKUP(A217, Orders!$A:$C, 3, 0)</f>
        <v>Plant 1 Canteen</v>
      </c>
      <c r="I217">
        <f>C217*D217*(1-VLOOKUP(A217,Orders!$A:$G,7,0))</f>
        <v>132.61520000000002</v>
      </c>
      <c r="J217" t="str">
        <f>VLOOKUP(A217,Orders!$A:$G,6,0)</f>
        <v>Breakfast</v>
      </c>
      <c r="K217" t="str">
        <f>VLOOKUP(A217,Orders!$A:$G,5,0)</f>
        <v>UPI</v>
      </c>
    </row>
    <row r="218" spans="1:11" x14ac:dyDescent="0.3">
      <c r="A218" t="s">
        <v>125</v>
      </c>
      <c r="B218" t="s">
        <v>416</v>
      </c>
      <c r="C218">
        <v>1</v>
      </c>
      <c r="D218">
        <f>VLOOKUP(B218, Menu!$A:$F, 6, 0)</f>
        <v>227.61</v>
      </c>
      <c r="E218">
        <f>VLOOKUP(B218, Menu!$A:$F, 5, 0)</f>
        <v>96.22</v>
      </c>
      <c r="F218" t="str">
        <f>VLOOKUP(B218, Menu!$A:$F, 3, 0)</f>
        <v>Hot Meal</v>
      </c>
      <c r="G218" s="5">
        <f>VLOOKUP(A218, Orders!$A:$B, 2, 0)</f>
        <v>45847.40048611111</v>
      </c>
      <c r="H218" t="str">
        <f>VLOOKUP(A218, Orders!$A:$C, 3, 0)</f>
        <v>Head Office Café</v>
      </c>
      <c r="I218">
        <f>C218*D218*(1-VLOOKUP(A218,Orders!$A:$G,7,0))</f>
        <v>218.50560000000002</v>
      </c>
      <c r="J218" t="str">
        <f>VLOOKUP(A218,Orders!$A:$G,6,0)</f>
        <v>Breakfast</v>
      </c>
      <c r="K218" t="str">
        <f>VLOOKUP(A218,Orders!$A:$G,5,0)</f>
        <v>Cash</v>
      </c>
    </row>
    <row r="219" spans="1:11" x14ac:dyDescent="0.3">
      <c r="A219" t="s">
        <v>125</v>
      </c>
      <c r="B219" t="s">
        <v>403</v>
      </c>
      <c r="C219">
        <v>1</v>
      </c>
      <c r="D219">
        <f>VLOOKUP(B219, Menu!$A:$F, 6, 0)</f>
        <v>76.55</v>
      </c>
      <c r="E219">
        <f>VLOOKUP(B219, Menu!$A:$F, 5, 0)</f>
        <v>38.229999999999997</v>
      </c>
      <c r="F219" t="str">
        <f>VLOOKUP(B219, Menu!$A:$F, 3, 0)</f>
        <v>Dessert</v>
      </c>
      <c r="G219" s="5">
        <f>VLOOKUP(A219, Orders!$A:$B, 2, 0)</f>
        <v>45847.40048611111</v>
      </c>
      <c r="H219" t="str">
        <f>VLOOKUP(A219, Orders!$A:$C, 3, 0)</f>
        <v>Head Office Café</v>
      </c>
      <c r="I219">
        <f>C219*D219*(1-VLOOKUP(A219,Orders!$A:$G,7,0))</f>
        <v>73.488</v>
      </c>
      <c r="J219" t="str">
        <f>VLOOKUP(A219,Orders!$A:$G,6,0)</f>
        <v>Breakfast</v>
      </c>
      <c r="K219" t="str">
        <f>VLOOKUP(A219,Orders!$A:$G,5,0)</f>
        <v>Cash</v>
      </c>
    </row>
    <row r="220" spans="1:11" x14ac:dyDescent="0.3">
      <c r="A220" t="s">
        <v>126</v>
      </c>
      <c r="B220" t="s">
        <v>418</v>
      </c>
      <c r="C220">
        <v>1</v>
      </c>
      <c r="D220">
        <f>VLOOKUP(B220, Menu!$A:$F, 6, 0)</f>
        <v>39.950000000000003</v>
      </c>
      <c r="E220">
        <f>VLOOKUP(B220, Menu!$A:$F, 5, 0)</f>
        <v>15.51</v>
      </c>
      <c r="F220" t="str">
        <f>VLOOKUP(B220, Menu!$A:$F, 3, 0)</f>
        <v>Snack</v>
      </c>
      <c r="G220" s="5">
        <f>VLOOKUP(A220, Orders!$A:$B, 2, 0)</f>
        <v>45856.894131944442</v>
      </c>
      <c r="H220" t="str">
        <f>VLOOKUP(A220, Orders!$A:$C, 3, 0)</f>
        <v>Plant 1 Canteen</v>
      </c>
      <c r="I220">
        <f>C220*D220*(1-VLOOKUP(A220,Orders!$A:$G,7,0))</f>
        <v>39.950000000000003</v>
      </c>
      <c r="J220" t="str">
        <f>VLOOKUP(A220,Orders!$A:$G,6,0)</f>
        <v>Dinner</v>
      </c>
      <c r="K220" t="str">
        <f>VLOOKUP(A220,Orders!$A:$G,5,0)</f>
        <v>Card</v>
      </c>
    </row>
    <row r="221" spans="1:11" x14ac:dyDescent="0.3">
      <c r="A221" t="s">
        <v>126</v>
      </c>
      <c r="B221" t="s">
        <v>415</v>
      </c>
      <c r="C221">
        <v>2</v>
      </c>
      <c r="D221">
        <f>VLOOKUP(B221, Menu!$A:$F, 6, 0)</f>
        <v>256.91000000000003</v>
      </c>
      <c r="E221">
        <f>VLOOKUP(B221, Menu!$A:$F, 5, 0)</f>
        <v>121.24</v>
      </c>
      <c r="F221" t="str">
        <f>VLOOKUP(B221, Menu!$A:$F, 3, 0)</f>
        <v>Hot Meal</v>
      </c>
      <c r="G221" s="5">
        <f>VLOOKUP(A221, Orders!$A:$B, 2, 0)</f>
        <v>45856.894131944442</v>
      </c>
      <c r="H221" t="str">
        <f>VLOOKUP(A221, Orders!$A:$C, 3, 0)</f>
        <v>Plant 1 Canteen</v>
      </c>
      <c r="I221">
        <f>C221*D221*(1-VLOOKUP(A221,Orders!$A:$G,7,0))</f>
        <v>513.82000000000005</v>
      </c>
      <c r="J221" t="str">
        <f>VLOOKUP(A221,Orders!$A:$G,6,0)</f>
        <v>Dinner</v>
      </c>
      <c r="K221" t="str">
        <f>VLOOKUP(A221,Orders!$A:$G,5,0)</f>
        <v>Card</v>
      </c>
    </row>
    <row r="222" spans="1:11" x14ac:dyDescent="0.3">
      <c r="A222" t="s">
        <v>126</v>
      </c>
      <c r="B222" t="s">
        <v>401</v>
      </c>
      <c r="C222">
        <v>2</v>
      </c>
      <c r="D222">
        <f>VLOOKUP(B222, Menu!$A:$F, 6, 0)</f>
        <v>52.45</v>
      </c>
      <c r="E222">
        <f>VLOOKUP(B222, Menu!$A:$F, 5, 0)</f>
        <v>25.8</v>
      </c>
      <c r="F222" t="str">
        <f>VLOOKUP(B222, Menu!$A:$F, 3, 0)</f>
        <v>Snack</v>
      </c>
      <c r="G222" s="5">
        <f>VLOOKUP(A222, Orders!$A:$B, 2, 0)</f>
        <v>45856.894131944442</v>
      </c>
      <c r="H222" t="str">
        <f>VLOOKUP(A222, Orders!$A:$C, 3, 0)</f>
        <v>Plant 1 Canteen</v>
      </c>
      <c r="I222">
        <f>C222*D222*(1-VLOOKUP(A222,Orders!$A:$G,7,0))</f>
        <v>104.9</v>
      </c>
      <c r="J222" t="str">
        <f>VLOOKUP(A222,Orders!$A:$G,6,0)</f>
        <v>Dinner</v>
      </c>
      <c r="K222" t="str">
        <f>VLOOKUP(A222,Orders!$A:$G,5,0)</f>
        <v>Card</v>
      </c>
    </row>
    <row r="223" spans="1:11" x14ac:dyDescent="0.3">
      <c r="A223" t="s">
        <v>127</v>
      </c>
      <c r="B223" t="s">
        <v>416</v>
      </c>
      <c r="C223">
        <v>3</v>
      </c>
      <c r="D223">
        <f>VLOOKUP(B223, Menu!$A:$F, 6, 0)</f>
        <v>227.61</v>
      </c>
      <c r="E223">
        <f>VLOOKUP(B223, Menu!$A:$F, 5, 0)</f>
        <v>96.22</v>
      </c>
      <c r="F223" t="str">
        <f>VLOOKUP(B223, Menu!$A:$F, 3, 0)</f>
        <v>Hot Meal</v>
      </c>
      <c r="G223" s="5">
        <f>VLOOKUP(A223, Orders!$A:$B, 2, 0)</f>
        <v>45859.800173611111</v>
      </c>
      <c r="H223" t="str">
        <f>VLOOKUP(A223, Orders!$A:$C, 3, 0)</f>
        <v>Plant 2 Canteen</v>
      </c>
      <c r="I223">
        <f>C223*D223*(1-VLOOKUP(A223,Orders!$A:$G,7,0))</f>
        <v>641.86019999999996</v>
      </c>
      <c r="J223" t="str">
        <f>VLOOKUP(A223,Orders!$A:$G,6,0)</f>
        <v>Dinner</v>
      </c>
      <c r="K223" t="str">
        <f>VLOOKUP(A223,Orders!$A:$G,5,0)</f>
        <v>Card</v>
      </c>
    </row>
    <row r="224" spans="1:11" x14ac:dyDescent="0.3">
      <c r="A224" t="s">
        <v>127</v>
      </c>
      <c r="B224" t="s">
        <v>404</v>
      </c>
      <c r="C224">
        <v>1</v>
      </c>
      <c r="D224">
        <f>VLOOKUP(B224, Menu!$A:$F, 6, 0)</f>
        <v>32.979999999999997</v>
      </c>
      <c r="E224">
        <f>VLOOKUP(B224, Menu!$A:$F, 5, 0)</f>
        <v>11.84</v>
      </c>
      <c r="F224" t="str">
        <f>VLOOKUP(B224, Menu!$A:$F, 3, 0)</f>
        <v>Beverage</v>
      </c>
      <c r="G224" s="5">
        <f>VLOOKUP(A224, Orders!$A:$B, 2, 0)</f>
        <v>45859.800173611111</v>
      </c>
      <c r="H224" t="str">
        <f>VLOOKUP(A224, Orders!$A:$C, 3, 0)</f>
        <v>Plant 2 Canteen</v>
      </c>
      <c r="I224">
        <f>C224*D224*(1-VLOOKUP(A224,Orders!$A:$G,7,0))</f>
        <v>31.001199999999994</v>
      </c>
      <c r="J224" t="str">
        <f>VLOOKUP(A224,Orders!$A:$G,6,0)</f>
        <v>Dinner</v>
      </c>
      <c r="K224" t="str">
        <f>VLOOKUP(A224,Orders!$A:$G,5,0)</f>
        <v>Card</v>
      </c>
    </row>
    <row r="225" spans="1:11" x14ac:dyDescent="0.3">
      <c r="A225" t="s">
        <v>127</v>
      </c>
      <c r="B225" t="s">
        <v>411</v>
      </c>
      <c r="C225">
        <v>2</v>
      </c>
      <c r="D225">
        <f>VLOOKUP(B225, Menu!$A:$F, 6, 0)</f>
        <v>22.2</v>
      </c>
      <c r="E225">
        <f>VLOOKUP(B225, Menu!$A:$F, 5, 0)</f>
        <v>9.3800000000000008</v>
      </c>
      <c r="F225" t="str">
        <f>VLOOKUP(B225, Menu!$A:$F, 3, 0)</f>
        <v>Beverage</v>
      </c>
      <c r="G225" s="5">
        <f>VLOOKUP(A225, Orders!$A:$B, 2, 0)</f>
        <v>45859.800173611111</v>
      </c>
      <c r="H225" t="str">
        <f>VLOOKUP(A225, Orders!$A:$C, 3, 0)</f>
        <v>Plant 2 Canteen</v>
      </c>
      <c r="I225">
        <f>C225*D225*(1-VLOOKUP(A225,Orders!$A:$G,7,0))</f>
        <v>41.735999999999997</v>
      </c>
      <c r="J225" t="str">
        <f>VLOOKUP(A225,Orders!$A:$G,6,0)</f>
        <v>Dinner</v>
      </c>
      <c r="K225" t="str">
        <f>VLOOKUP(A225,Orders!$A:$G,5,0)</f>
        <v>Card</v>
      </c>
    </row>
    <row r="226" spans="1:11" x14ac:dyDescent="0.3">
      <c r="A226" t="s">
        <v>128</v>
      </c>
      <c r="B226" t="s">
        <v>417</v>
      </c>
      <c r="C226">
        <v>2</v>
      </c>
      <c r="D226">
        <f>VLOOKUP(B226, Menu!$A:$F, 6, 0)</f>
        <v>146.4</v>
      </c>
      <c r="E226">
        <f>VLOOKUP(B226, Menu!$A:$F, 5, 0)</f>
        <v>80.92</v>
      </c>
      <c r="F226" t="str">
        <f>VLOOKUP(B226, Menu!$A:$F, 3, 0)</f>
        <v>Hot Meal</v>
      </c>
      <c r="G226" s="5">
        <f>VLOOKUP(A226, Orders!$A:$B, 2, 0)</f>
        <v>45866.266030092593</v>
      </c>
      <c r="H226" t="str">
        <f>VLOOKUP(A226, Orders!$A:$C, 3, 0)</f>
        <v>Plant 2 Canteen</v>
      </c>
      <c r="I226">
        <f>C226*D226*(1-VLOOKUP(A226,Orders!$A:$G,7,0))</f>
        <v>286.94400000000002</v>
      </c>
      <c r="J226" t="str">
        <f>VLOOKUP(A226,Orders!$A:$G,6,0)</f>
        <v>Breakfast</v>
      </c>
      <c r="K226" t="str">
        <f>VLOOKUP(A226,Orders!$A:$G,5,0)</f>
        <v>Cash</v>
      </c>
    </row>
    <row r="227" spans="1:11" x14ac:dyDescent="0.3">
      <c r="A227" t="s">
        <v>129</v>
      </c>
      <c r="B227" t="s">
        <v>409</v>
      </c>
      <c r="C227">
        <v>2</v>
      </c>
      <c r="D227">
        <f>VLOOKUP(B227, Menu!$A:$F, 6, 0)</f>
        <v>28.43</v>
      </c>
      <c r="E227">
        <f>VLOOKUP(B227, Menu!$A:$F, 5, 0)</f>
        <v>13.89</v>
      </c>
      <c r="F227" t="str">
        <f>VLOOKUP(B227, Menu!$A:$F, 3, 0)</f>
        <v>Beverage</v>
      </c>
      <c r="G227" s="5">
        <f>VLOOKUP(A227, Orders!$A:$B, 2, 0)</f>
        <v>45841.131921296299</v>
      </c>
      <c r="H227" t="str">
        <f>VLOOKUP(A227, Orders!$A:$C, 3, 0)</f>
        <v>Head Office Café</v>
      </c>
      <c r="I227">
        <f>C227*D227*(1-VLOOKUP(A227,Orders!$A:$G,7,0))</f>
        <v>52.311199999999999</v>
      </c>
      <c r="J227" t="str">
        <f>VLOOKUP(A227,Orders!$A:$G,6,0)</f>
        <v>Breakfast</v>
      </c>
      <c r="K227" t="str">
        <f>VLOOKUP(A227,Orders!$A:$G,5,0)</f>
        <v>Cash</v>
      </c>
    </row>
    <row r="228" spans="1:11" x14ac:dyDescent="0.3">
      <c r="A228" t="s">
        <v>129</v>
      </c>
      <c r="B228" t="s">
        <v>416</v>
      </c>
      <c r="C228">
        <v>2</v>
      </c>
      <c r="D228">
        <f>VLOOKUP(B228, Menu!$A:$F, 6, 0)</f>
        <v>227.61</v>
      </c>
      <c r="E228">
        <f>VLOOKUP(B228, Menu!$A:$F, 5, 0)</f>
        <v>96.22</v>
      </c>
      <c r="F228" t="str">
        <f>VLOOKUP(B228, Menu!$A:$F, 3, 0)</f>
        <v>Hot Meal</v>
      </c>
      <c r="G228" s="5">
        <f>VLOOKUP(A228, Orders!$A:$B, 2, 0)</f>
        <v>45841.131921296299</v>
      </c>
      <c r="H228" t="str">
        <f>VLOOKUP(A228, Orders!$A:$C, 3, 0)</f>
        <v>Head Office Café</v>
      </c>
      <c r="I228">
        <f>C228*D228*(1-VLOOKUP(A228,Orders!$A:$G,7,0))</f>
        <v>418.80240000000003</v>
      </c>
      <c r="J228" t="str">
        <f>VLOOKUP(A228,Orders!$A:$G,6,0)</f>
        <v>Breakfast</v>
      </c>
      <c r="K228" t="str">
        <f>VLOOKUP(A228,Orders!$A:$G,5,0)</f>
        <v>Cash</v>
      </c>
    </row>
    <row r="229" spans="1:11" x14ac:dyDescent="0.3">
      <c r="A229" t="s">
        <v>129</v>
      </c>
      <c r="B229" t="s">
        <v>414</v>
      </c>
      <c r="C229">
        <v>2</v>
      </c>
      <c r="D229">
        <f>VLOOKUP(B229, Menu!$A:$F, 6, 0)</f>
        <v>116.8</v>
      </c>
      <c r="E229">
        <f>VLOOKUP(B229, Menu!$A:$F, 5, 0)</f>
        <v>48.97</v>
      </c>
      <c r="F229" t="str">
        <f>VLOOKUP(B229, Menu!$A:$F, 3, 0)</f>
        <v>Dessert</v>
      </c>
      <c r="G229" s="5">
        <f>VLOOKUP(A229, Orders!$A:$B, 2, 0)</f>
        <v>45841.131921296299</v>
      </c>
      <c r="H229" t="str">
        <f>VLOOKUP(A229, Orders!$A:$C, 3, 0)</f>
        <v>Head Office Café</v>
      </c>
      <c r="I229">
        <f>C229*D229*(1-VLOOKUP(A229,Orders!$A:$G,7,0))</f>
        <v>214.91200000000001</v>
      </c>
      <c r="J229" t="str">
        <f>VLOOKUP(A229,Orders!$A:$G,6,0)</f>
        <v>Breakfast</v>
      </c>
      <c r="K229" t="str">
        <f>VLOOKUP(A229,Orders!$A:$G,5,0)</f>
        <v>Cash</v>
      </c>
    </row>
    <row r="230" spans="1:11" x14ac:dyDescent="0.3">
      <c r="A230" t="s">
        <v>130</v>
      </c>
      <c r="B230" t="s">
        <v>412</v>
      </c>
      <c r="C230">
        <v>2</v>
      </c>
      <c r="D230">
        <f>VLOOKUP(B230, Menu!$A:$F, 6, 0)</f>
        <v>57.07</v>
      </c>
      <c r="E230">
        <f>VLOOKUP(B230, Menu!$A:$F, 5, 0)</f>
        <v>29.14</v>
      </c>
      <c r="F230" t="str">
        <f>VLOOKUP(B230, Menu!$A:$F, 3, 0)</f>
        <v>Dessert</v>
      </c>
      <c r="G230" s="5">
        <f>VLOOKUP(A230, Orders!$A:$B, 2, 0)</f>
        <v>45861.019803240742</v>
      </c>
      <c r="H230" t="str">
        <f>VLOOKUP(A230, Orders!$A:$C, 3, 0)</f>
        <v>Head Office Café</v>
      </c>
      <c r="I230">
        <f>C230*D230*(1-VLOOKUP(A230,Orders!$A:$G,7,0))</f>
        <v>111.85719999999999</v>
      </c>
      <c r="J230" t="str">
        <f>VLOOKUP(A230,Orders!$A:$G,6,0)</f>
        <v>Breakfast</v>
      </c>
      <c r="K230" t="str">
        <f>VLOOKUP(A230,Orders!$A:$G,5,0)</f>
        <v>UPI</v>
      </c>
    </row>
    <row r="231" spans="1:11" x14ac:dyDescent="0.3">
      <c r="A231" t="s">
        <v>130</v>
      </c>
      <c r="B231" t="s">
        <v>417</v>
      </c>
      <c r="C231">
        <v>2</v>
      </c>
      <c r="D231">
        <f>VLOOKUP(B231, Menu!$A:$F, 6, 0)</f>
        <v>146.4</v>
      </c>
      <c r="E231">
        <f>VLOOKUP(B231, Menu!$A:$F, 5, 0)</f>
        <v>80.92</v>
      </c>
      <c r="F231" t="str">
        <f>VLOOKUP(B231, Menu!$A:$F, 3, 0)</f>
        <v>Hot Meal</v>
      </c>
      <c r="G231" s="5">
        <f>VLOOKUP(A231, Orders!$A:$B, 2, 0)</f>
        <v>45861.019803240742</v>
      </c>
      <c r="H231" t="str">
        <f>VLOOKUP(A231, Orders!$A:$C, 3, 0)</f>
        <v>Head Office Café</v>
      </c>
      <c r="I231">
        <f>C231*D231*(1-VLOOKUP(A231,Orders!$A:$G,7,0))</f>
        <v>286.94400000000002</v>
      </c>
      <c r="J231" t="str">
        <f>VLOOKUP(A231,Orders!$A:$G,6,0)</f>
        <v>Breakfast</v>
      </c>
      <c r="K231" t="str">
        <f>VLOOKUP(A231,Orders!$A:$G,5,0)</f>
        <v>UPI</v>
      </c>
    </row>
    <row r="232" spans="1:11" x14ac:dyDescent="0.3">
      <c r="A232" t="s">
        <v>131</v>
      </c>
      <c r="B232" t="s">
        <v>419</v>
      </c>
      <c r="C232">
        <v>1</v>
      </c>
      <c r="D232">
        <f>VLOOKUP(B232, Menu!$A:$F, 6, 0)</f>
        <v>50.19</v>
      </c>
      <c r="E232">
        <f>VLOOKUP(B232, Menu!$A:$F, 5, 0)</f>
        <v>22.61</v>
      </c>
      <c r="F232" t="str">
        <f>VLOOKUP(B232, Menu!$A:$F, 3, 0)</f>
        <v>Snack</v>
      </c>
      <c r="G232" s="5">
        <f>VLOOKUP(A232, Orders!$A:$B, 2, 0)</f>
        <v>45842.262708333343</v>
      </c>
      <c r="H232" t="str">
        <f>VLOOKUP(A232, Orders!$A:$C, 3, 0)</f>
        <v>Plant 1 Canteen</v>
      </c>
      <c r="I232">
        <f>C232*D232*(1-VLOOKUP(A232,Orders!$A:$G,7,0))</f>
        <v>44.167200000000001</v>
      </c>
      <c r="J232" t="str">
        <f>VLOOKUP(A232,Orders!$A:$G,6,0)</f>
        <v>Breakfast</v>
      </c>
      <c r="K232" t="str">
        <f>VLOOKUP(A232,Orders!$A:$G,5,0)</f>
        <v>Cash</v>
      </c>
    </row>
    <row r="233" spans="1:11" x14ac:dyDescent="0.3">
      <c r="A233" t="s">
        <v>131</v>
      </c>
      <c r="B233" t="s">
        <v>414</v>
      </c>
      <c r="C233">
        <v>1</v>
      </c>
      <c r="D233">
        <f>VLOOKUP(B233, Menu!$A:$F, 6, 0)</f>
        <v>116.8</v>
      </c>
      <c r="E233">
        <f>VLOOKUP(B233, Menu!$A:$F, 5, 0)</f>
        <v>48.97</v>
      </c>
      <c r="F233" t="str">
        <f>VLOOKUP(B233, Menu!$A:$F, 3, 0)</f>
        <v>Dessert</v>
      </c>
      <c r="G233" s="5">
        <f>VLOOKUP(A233, Orders!$A:$B, 2, 0)</f>
        <v>45842.262708333343</v>
      </c>
      <c r="H233" t="str">
        <f>VLOOKUP(A233, Orders!$A:$C, 3, 0)</f>
        <v>Plant 1 Canteen</v>
      </c>
      <c r="I233">
        <f>C233*D233*(1-VLOOKUP(A233,Orders!$A:$G,7,0))</f>
        <v>102.78399999999999</v>
      </c>
      <c r="J233" t="str">
        <f>VLOOKUP(A233,Orders!$A:$G,6,0)</f>
        <v>Breakfast</v>
      </c>
      <c r="K233" t="str">
        <f>VLOOKUP(A233,Orders!$A:$G,5,0)</f>
        <v>Cash</v>
      </c>
    </row>
    <row r="234" spans="1:11" x14ac:dyDescent="0.3">
      <c r="A234" t="s">
        <v>131</v>
      </c>
      <c r="B234" t="s">
        <v>409</v>
      </c>
      <c r="C234">
        <v>1</v>
      </c>
      <c r="D234">
        <f>VLOOKUP(B234, Menu!$A:$F, 6, 0)</f>
        <v>28.43</v>
      </c>
      <c r="E234">
        <f>VLOOKUP(B234, Menu!$A:$F, 5, 0)</f>
        <v>13.89</v>
      </c>
      <c r="F234" t="str">
        <f>VLOOKUP(B234, Menu!$A:$F, 3, 0)</f>
        <v>Beverage</v>
      </c>
      <c r="G234" s="5">
        <f>VLOOKUP(A234, Orders!$A:$B, 2, 0)</f>
        <v>45842.262708333343</v>
      </c>
      <c r="H234" t="str">
        <f>VLOOKUP(A234, Orders!$A:$C, 3, 0)</f>
        <v>Plant 1 Canteen</v>
      </c>
      <c r="I234">
        <f>C234*D234*(1-VLOOKUP(A234,Orders!$A:$G,7,0))</f>
        <v>25.0184</v>
      </c>
      <c r="J234" t="str">
        <f>VLOOKUP(A234,Orders!$A:$G,6,0)</f>
        <v>Breakfast</v>
      </c>
      <c r="K234" t="str">
        <f>VLOOKUP(A234,Orders!$A:$G,5,0)</f>
        <v>Cash</v>
      </c>
    </row>
    <row r="235" spans="1:11" x14ac:dyDescent="0.3">
      <c r="A235" t="s">
        <v>132</v>
      </c>
      <c r="B235" t="s">
        <v>418</v>
      </c>
      <c r="C235">
        <v>2</v>
      </c>
      <c r="D235">
        <f>VLOOKUP(B235, Menu!$A:$F, 6, 0)</f>
        <v>39.950000000000003</v>
      </c>
      <c r="E235">
        <f>VLOOKUP(B235, Menu!$A:$F, 5, 0)</f>
        <v>15.51</v>
      </c>
      <c r="F235" t="str">
        <f>VLOOKUP(B235, Menu!$A:$F, 3, 0)</f>
        <v>Snack</v>
      </c>
      <c r="G235" s="5">
        <f>VLOOKUP(A235, Orders!$A:$B, 2, 0)</f>
        <v>45862.410416666673</v>
      </c>
      <c r="H235" t="str">
        <f>VLOOKUP(A235, Orders!$A:$C, 3, 0)</f>
        <v>Plant 1 Canteen</v>
      </c>
      <c r="I235">
        <f>C235*D235*(1-VLOOKUP(A235,Orders!$A:$G,7,0))</f>
        <v>77.503</v>
      </c>
      <c r="J235" t="str">
        <f>VLOOKUP(A235,Orders!$A:$G,6,0)</f>
        <v>Breakfast</v>
      </c>
      <c r="K235" t="str">
        <f>VLOOKUP(A235,Orders!$A:$G,5,0)</f>
        <v>UPI</v>
      </c>
    </row>
    <row r="236" spans="1:11" x14ac:dyDescent="0.3">
      <c r="A236" t="s">
        <v>132</v>
      </c>
      <c r="B236" t="s">
        <v>416</v>
      </c>
      <c r="C236">
        <v>3</v>
      </c>
      <c r="D236">
        <f>VLOOKUP(B236, Menu!$A:$F, 6, 0)</f>
        <v>227.61</v>
      </c>
      <c r="E236">
        <f>VLOOKUP(B236, Menu!$A:$F, 5, 0)</f>
        <v>96.22</v>
      </c>
      <c r="F236" t="str">
        <f>VLOOKUP(B236, Menu!$A:$F, 3, 0)</f>
        <v>Hot Meal</v>
      </c>
      <c r="G236" s="5">
        <f>VLOOKUP(A236, Orders!$A:$B, 2, 0)</f>
        <v>45862.410416666673</v>
      </c>
      <c r="H236" t="str">
        <f>VLOOKUP(A236, Orders!$A:$C, 3, 0)</f>
        <v>Plant 1 Canteen</v>
      </c>
      <c r="I236">
        <f>C236*D236*(1-VLOOKUP(A236,Orders!$A:$G,7,0))</f>
        <v>662.3451</v>
      </c>
      <c r="J236" t="str">
        <f>VLOOKUP(A236,Orders!$A:$G,6,0)</f>
        <v>Breakfast</v>
      </c>
      <c r="K236" t="str">
        <f>VLOOKUP(A236,Orders!$A:$G,5,0)</f>
        <v>UPI</v>
      </c>
    </row>
    <row r="237" spans="1:11" x14ac:dyDescent="0.3">
      <c r="A237" t="s">
        <v>133</v>
      </c>
      <c r="B237" t="s">
        <v>407</v>
      </c>
      <c r="C237">
        <v>3</v>
      </c>
      <c r="D237">
        <f>VLOOKUP(B237, Menu!$A:$F, 6, 0)</f>
        <v>246.09</v>
      </c>
      <c r="E237">
        <f>VLOOKUP(B237, Menu!$A:$F, 5, 0)</f>
        <v>112.08</v>
      </c>
      <c r="F237" t="str">
        <f>VLOOKUP(B237, Menu!$A:$F, 3, 0)</f>
        <v>Hot Meal</v>
      </c>
      <c r="G237" s="5">
        <f>VLOOKUP(A237, Orders!$A:$B, 2, 0)</f>
        <v>45894.006006944437</v>
      </c>
      <c r="H237" t="str">
        <f>VLOOKUP(A237, Orders!$A:$C, 3, 0)</f>
        <v>Plant 1 Canteen</v>
      </c>
      <c r="I237">
        <f>C237*D237*(1-VLOOKUP(A237,Orders!$A:$G,7,0))</f>
        <v>701.35649999999998</v>
      </c>
      <c r="J237" t="str">
        <f>VLOOKUP(A237,Orders!$A:$G,6,0)</f>
        <v>Breakfast</v>
      </c>
      <c r="K237" t="str">
        <f>VLOOKUP(A237,Orders!$A:$G,5,0)</f>
        <v>UPI</v>
      </c>
    </row>
    <row r="238" spans="1:11" x14ac:dyDescent="0.3">
      <c r="A238" t="s">
        <v>133</v>
      </c>
      <c r="B238" t="s">
        <v>413</v>
      </c>
      <c r="C238">
        <v>1</v>
      </c>
      <c r="D238">
        <f>VLOOKUP(B238, Menu!$A:$F, 6, 0)</f>
        <v>54.2</v>
      </c>
      <c r="E238">
        <f>VLOOKUP(B238, Menu!$A:$F, 5, 0)</f>
        <v>21.95</v>
      </c>
      <c r="F238" t="str">
        <f>VLOOKUP(B238, Menu!$A:$F, 3, 0)</f>
        <v>Dessert</v>
      </c>
      <c r="G238" s="5">
        <f>VLOOKUP(A238, Orders!$A:$B, 2, 0)</f>
        <v>45894.006006944437</v>
      </c>
      <c r="H238" t="str">
        <f>VLOOKUP(A238, Orders!$A:$C, 3, 0)</f>
        <v>Plant 1 Canteen</v>
      </c>
      <c r="I238">
        <f>C238*D238*(1-VLOOKUP(A238,Orders!$A:$G,7,0))</f>
        <v>51.49</v>
      </c>
      <c r="J238" t="str">
        <f>VLOOKUP(A238,Orders!$A:$G,6,0)</f>
        <v>Breakfast</v>
      </c>
      <c r="K238" t="str">
        <f>VLOOKUP(A238,Orders!$A:$G,5,0)</f>
        <v>UPI</v>
      </c>
    </row>
    <row r="239" spans="1:11" x14ac:dyDescent="0.3">
      <c r="A239" t="s">
        <v>133</v>
      </c>
      <c r="B239" t="s">
        <v>403</v>
      </c>
      <c r="C239">
        <v>1</v>
      </c>
      <c r="D239">
        <f>VLOOKUP(B239, Menu!$A:$F, 6, 0)</f>
        <v>76.55</v>
      </c>
      <c r="E239">
        <f>VLOOKUP(B239, Menu!$A:$F, 5, 0)</f>
        <v>38.229999999999997</v>
      </c>
      <c r="F239" t="str">
        <f>VLOOKUP(B239, Menu!$A:$F, 3, 0)</f>
        <v>Dessert</v>
      </c>
      <c r="G239" s="5">
        <f>VLOOKUP(A239, Orders!$A:$B, 2, 0)</f>
        <v>45894.006006944437</v>
      </c>
      <c r="H239" t="str">
        <f>VLOOKUP(A239, Orders!$A:$C, 3, 0)</f>
        <v>Plant 1 Canteen</v>
      </c>
      <c r="I239">
        <f>C239*D239*(1-VLOOKUP(A239,Orders!$A:$G,7,0))</f>
        <v>72.722499999999997</v>
      </c>
      <c r="J239" t="str">
        <f>VLOOKUP(A239,Orders!$A:$G,6,0)</f>
        <v>Breakfast</v>
      </c>
      <c r="K239" t="str">
        <f>VLOOKUP(A239,Orders!$A:$G,5,0)</f>
        <v>UPI</v>
      </c>
    </row>
    <row r="240" spans="1:11" x14ac:dyDescent="0.3">
      <c r="A240" t="s">
        <v>134</v>
      </c>
      <c r="B240" t="s">
        <v>409</v>
      </c>
      <c r="C240">
        <v>2</v>
      </c>
      <c r="D240">
        <f>VLOOKUP(B240, Menu!$A:$F, 6, 0)</f>
        <v>28.43</v>
      </c>
      <c r="E240">
        <f>VLOOKUP(B240, Menu!$A:$F, 5, 0)</f>
        <v>13.89</v>
      </c>
      <c r="F240" t="str">
        <f>VLOOKUP(B240, Menu!$A:$F, 3, 0)</f>
        <v>Beverage</v>
      </c>
      <c r="G240" s="5">
        <f>VLOOKUP(A240, Orders!$A:$B, 2, 0)</f>
        <v>45875.066168981481</v>
      </c>
      <c r="H240" t="str">
        <f>VLOOKUP(A240, Orders!$A:$C, 3, 0)</f>
        <v>Plant 1 Canteen</v>
      </c>
      <c r="I240">
        <f>C240*D240*(1-VLOOKUP(A240,Orders!$A:$G,7,0))</f>
        <v>51.742600000000003</v>
      </c>
      <c r="J240" t="str">
        <f>VLOOKUP(A240,Orders!$A:$G,6,0)</f>
        <v>Breakfast</v>
      </c>
      <c r="K240" t="str">
        <f>VLOOKUP(A240,Orders!$A:$G,5,0)</f>
        <v>UPI</v>
      </c>
    </row>
    <row r="241" spans="1:11" x14ac:dyDescent="0.3">
      <c r="A241" t="s">
        <v>135</v>
      </c>
      <c r="B241" t="s">
        <v>404</v>
      </c>
      <c r="C241">
        <v>3</v>
      </c>
      <c r="D241">
        <f>VLOOKUP(B241, Menu!$A:$F, 6, 0)</f>
        <v>32.979999999999997</v>
      </c>
      <c r="E241">
        <f>VLOOKUP(B241, Menu!$A:$F, 5, 0)</f>
        <v>11.84</v>
      </c>
      <c r="F241" t="str">
        <f>VLOOKUP(B241, Menu!$A:$F, 3, 0)</f>
        <v>Beverage</v>
      </c>
      <c r="G241" s="5">
        <f>VLOOKUP(A241, Orders!$A:$B, 2, 0)</f>
        <v>45855.150081018517</v>
      </c>
      <c r="H241" t="str">
        <f>VLOOKUP(A241, Orders!$A:$C, 3, 0)</f>
        <v>Plant 2 Canteen</v>
      </c>
      <c r="I241">
        <f>C241*D241*(1-VLOOKUP(A241,Orders!$A:$G,7,0))</f>
        <v>97.950599999999994</v>
      </c>
      <c r="J241" t="str">
        <f>VLOOKUP(A241,Orders!$A:$G,6,0)</f>
        <v>Breakfast</v>
      </c>
      <c r="K241" t="str">
        <f>VLOOKUP(A241,Orders!$A:$G,5,0)</f>
        <v>UPI</v>
      </c>
    </row>
    <row r="242" spans="1:11" x14ac:dyDescent="0.3">
      <c r="A242" t="s">
        <v>135</v>
      </c>
      <c r="B242" t="s">
        <v>409</v>
      </c>
      <c r="C242">
        <v>3</v>
      </c>
      <c r="D242">
        <f>VLOOKUP(B242, Menu!$A:$F, 6, 0)</f>
        <v>28.43</v>
      </c>
      <c r="E242">
        <f>VLOOKUP(B242, Menu!$A:$F, 5, 0)</f>
        <v>13.89</v>
      </c>
      <c r="F242" t="str">
        <f>VLOOKUP(B242, Menu!$A:$F, 3, 0)</f>
        <v>Beverage</v>
      </c>
      <c r="G242" s="5">
        <f>VLOOKUP(A242, Orders!$A:$B, 2, 0)</f>
        <v>45855.150081018517</v>
      </c>
      <c r="H242" t="str">
        <f>VLOOKUP(A242, Orders!$A:$C, 3, 0)</f>
        <v>Plant 2 Canteen</v>
      </c>
      <c r="I242">
        <f>C242*D242*(1-VLOOKUP(A242,Orders!$A:$G,7,0))</f>
        <v>84.437099999999987</v>
      </c>
      <c r="J242" t="str">
        <f>VLOOKUP(A242,Orders!$A:$G,6,0)</f>
        <v>Breakfast</v>
      </c>
      <c r="K242" t="str">
        <f>VLOOKUP(A242,Orders!$A:$G,5,0)</f>
        <v>UPI</v>
      </c>
    </row>
    <row r="243" spans="1:11" x14ac:dyDescent="0.3">
      <c r="A243" t="s">
        <v>136</v>
      </c>
      <c r="B243" t="s">
        <v>412</v>
      </c>
      <c r="C243">
        <v>2</v>
      </c>
      <c r="D243">
        <f>VLOOKUP(B243, Menu!$A:$F, 6, 0)</f>
        <v>57.07</v>
      </c>
      <c r="E243">
        <f>VLOOKUP(B243, Menu!$A:$F, 5, 0)</f>
        <v>29.14</v>
      </c>
      <c r="F243" t="str">
        <f>VLOOKUP(B243, Menu!$A:$F, 3, 0)</f>
        <v>Dessert</v>
      </c>
      <c r="G243" s="5">
        <f>VLOOKUP(A243, Orders!$A:$B, 2, 0)</f>
        <v>45869.538043981483</v>
      </c>
      <c r="H243" t="str">
        <f>VLOOKUP(A243, Orders!$A:$C, 3, 0)</f>
        <v>Head Office Café</v>
      </c>
      <c r="I243">
        <f>C243*D243*(1-VLOOKUP(A243,Orders!$A:$G,7,0))</f>
        <v>106.1502</v>
      </c>
      <c r="J243" t="str">
        <f>VLOOKUP(A243,Orders!$A:$G,6,0)</f>
        <v>Lunch</v>
      </c>
      <c r="K243" t="str">
        <f>VLOOKUP(A243,Orders!$A:$G,5,0)</f>
        <v>Card</v>
      </c>
    </row>
    <row r="244" spans="1:11" x14ac:dyDescent="0.3">
      <c r="A244" t="s">
        <v>136</v>
      </c>
      <c r="B244" t="s">
        <v>417</v>
      </c>
      <c r="C244">
        <v>1</v>
      </c>
      <c r="D244">
        <f>VLOOKUP(B244, Menu!$A:$F, 6, 0)</f>
        <v>146.4</v>
      </c>
      <c r="E244">
        <f>VLOOKUP(B244, Menu!$A:$F, 5, 0)</f>
        <v>80.92</v>
      </c>
      <c r="F244" t="str">
        <f>VLOOKUP(B244, Menu!$A:$F, 3, 0)</f>
        <v>Hot Meal</v>
      </c>
      <c r="G244" s="5">
        <f>VLOOKUP(A244, Orders!$A:$B, 2, 0)</f>
        <v>45869.538043981483</v>
      </c>
      <c r="H244" t="str">
        <f>VLOOKUP(A244, Orders!$A:$C, 3, 0)</f>
        <v>Head Office Café</v>
      </c>
      <c r="I244">
        <f>C244*D244*(1-VLOOKUP(A244,Orders!$A:$G,7,0))</f>
        <v>136.15199999999999</v>
      </c>
      <c r="J244" t="str">
        <f>VLOOKUP(A244,Orders!$A:$G,6,0)</f>
        <v>Lunch</v>
      </c>
      <c r="K244" t="str">
        <f>VLOOKUP(A244,Orders!$A:$G,5,0)</f>
        <v>Card</v>
      </c>
    </row>
    <row r="245" spans="1:11" x14ac:dyDescent="0.3">
      <c r="A245" t="s">
        <v>137</v>
      </c>
      <c r="B245" t="s">
        <v>419</v>
      </c>
      <c r="C245">
        <v>2</v>
      </c>
      <c r="D245">
        <f>VLOOKUP(B245, Menu!$A:$F, 6, 0)</f>
        <v>50.19</v>
      </c>
      <c r="E245">
        <f>VLOOKUP(B245, Menu!$A:$F, 5, 0)</f>
        <v>22.61</v>
      </c>
      <c r="F245" t="str">
        <f>VLOOKUP(B245, Menu!$A:$F, 3, 0)</f>
        <v>Snack</v>
      </c>
      <c r="G245" s="5">
        <f>VLOOKUP(A245, Orders!$A:$B, 2, 0)</f>
        <v>45858.505902777782</v>
      </c>
      <c r="H245" t="str">
        <f>VLOOKUP(A245, Orders!$A:$C, 3, 0)</f>
        <v>Plant 1 Canteen</v>
      </c>
      <c r="I245">
        <f>C245*D245*(1-VLOOKUP(A245,Orders!$A:$G,7,0))</f>
        <v>89.338200000000001</v>
      </c>
      <c r="J245" t="str">
        <f>VLOOKUP(A245,Orders!$A:$G,6,0)</f>
        <v>Lunch</v>
      </c>
      <c r="K245" t="str">
        <f>VLOOKUP(A245,Orders!$A:$G,5,0)</f>
        <v>UPI</v>
      </c>
    </row>
    <row r="246" spans="1:11" x14ac:dyDescent="0.3">
      <c r="A246" t="s">
        <v>137</v>
      </c>
      <c r="B246" t="s">
        <v>415</v>
      </c>
      <c r="C246">
        <v>1</v>
      </c>
      <c r="D246">
        <f>VLOOKUP(B246, Menu!$A:$F, 6, 0)</f>
        <v>256.91000000000003</v>
      </c>
      <c r="E246">
        <f>VLOOKUP(B246, Menu!$A:$F, 5, 0)</f>
        <v>121.24</v>
      </c>
      <c r="F246" t="str">
        <f>VLOOKUP(B246, Menu!$A:$F, 3, 0)</f>
        <v>Hot Meal</v>
      </c>
      <c r="G246" s="5">
        <f>VLOOKUP(A246, Orders!$A:$B, 2, 0)</f>
        <v>45858.505902777782</v>
      </c>
      <c r="H246" t="str">
        <f>VLOOKUP(A246, Orders!$A:$C, 3, 0)</f>
        <v>Plant 1 Canteen</v>
      </c>
      <c r="I246">
        <f>C246*D246*(1-VLOOKUP(A246,Orders!$A:$G,7,0))</f>
        <v>228.64990000000003</v>
      </c>
      <c r="J246" t="str">
        <f>VLOOKUP(A246,Orders!$A:$G,6,0)</f>
        <v>Lunch</v>
      </c>
      <c r="K246" t="str">
        <f>VLOOKUP(A246,Orders!$A:$G,5,0)</f>
        <v>UPI</v>
      </c>
    </row>
    <row r="247" spans="1:11" x14ac:dyDescent="0.3">
      <c r="A247" t="s">
        <v>138</v>
      </c>
      <c r="B247" t="s">
        <v>402</v>
      </c>
      <c r="C247">
        <v>1</v>
      </c>
      <c r="D247">
        <f>VLOOKUP(B247, Menu!$A:$F, 6, 0)</f>
        <v>30.34</v>
      </c>
      <c r="E247">
        <f>VLOOKUP(B247, Menu!$A:$F, 5, 0)</f>
        <v>14.18</v>
      </c>
      <c r="F247" t="str">
        <f>VLOOKUP(B247, Menu!$A:$F, 3, 0)</f>
        <v>Beverage</v>
      </c>
      <c r="G247" s="5">
        <f>VLOOKUP(A247, Orders!$A:$B, 2, 0)</f>
        <v>45849.143634259257</v>
      </c>
      <c r="H247" t="str">
        <f>VLOOKUP(A247, Orders!$A:$C, 3, 0)</f>
        <v>Head Office Café</v>
      </c>
      <c r="I247">
        <f>C247*D247*(1-VLOOKUP(A247,Orders!$A:$G,7,0))</f>
        <v>30.34</v>
      </c>
      <c r="J247" t="str">
        <f>VLOOKUP(A247,Orders!$A:$G,6,0)</f>
        <v>Breakfast</v>
      </c>
      <c r="K247" t="str">
        <f>VLOOKUP(A247,Orders!$A:$G,5,0)</f>
        <v>UPI</v>
      </c>
    </row>
    <row r="248" spans="1:11" x14ac:dyDescent="0.3">
      <c r="A248" t="s">
        <v>138</v>
      </c>
      <c r="B248" t="s">
        <v>408</v>
      </c>
      <c r="C248">
        <v>1</v>
      </c>
      <c r="D248">
        <f>VLOOKUP(B248, Menu!$A:$F, 6, 0)</f>
        <v>70.540000000000006</v>
      </c>
      <c r="E248">
        <f>VLOOKUP(B248, Menu!$A:$F, 5, 0)</f>
        <v>35.81</v>
      </c>
      <c r="F248" t="str">
        <f>VLOOKUP(B248, Menu!$A:$F, 3, 0)</f>
        <v>Snack</v>
      </c>
      <c r="G248" s="5">
        <f>VLOOKUP(A248, Orders!$A:$B, 2, 0)</f>
        <v>45849.143634259257</v>
      </c>
      <c r="H248" t="str">
        <f>VLOOKUP(A248, Orders!$A:$C, 3, 0)</f>
        <v>Head Office Café</v>
      </c>
      <c r="I248">
        <f>C248*D248*(1-VLOOKUP(A248,Orders!$A:$G,7,0))</f>
        <v>70.540000000000006</v>
      </c>
      <c r="J248" t="str">
        <f>VLOOKUP(A248,Orders!$A:$G,6,0)</f>
        <v>Breakfast</v>
      </c>
      <c r="K248" t="str">
        <f>VLOOKUP(A248,Orders!$A:$G,5,0)</f>
        <v>UPI</v>
      </c>
    </row>
    <row r="249" spans="1:11" x14ac:dyDescent="0.3">
      <c r="A249" t="s">
        <v>138</v>
      </c>
      <c r="B249" t="s">
        <v>418</v>
      </c>
      <c r="C249">
        <v>1</v>
      </c>
      <c r="D249">
        <f>VLOOKUP(B249, Menu!$A:$F, 6, 0)</f>
        <v>39.950000000000003</v>
      </c>
      <c r="E249">
        <f>VLOOKUP(B249, Menu!$A:$F, 5, 0)</f>
        <v>15.51</v>
      </c>
      <c r="F249" t="str">
        <f>VLOOKUP(B249, Menu!$A:$F, 3, 0)</f>
        <v>Snack</v>
      </c>
      <c r="G249" s="5">
        <f>VLOOKUP(A249, Orders!$A:$B, 2, 0)</f>
        <v>45849.143634259257</v>
      </c>
      <c r="H249" t="str">
        <f>VLOOKUP(A249, Orders!$A:$C, 3, 0)</f>
        <v>Head Office Café</v>
      </c>
      <c r="I249">
        <f>C249*D249*(1-VLOOKUP(A249,Orders!$A:$G,7,0))</f>
        <v>39.950000000000003</v>
      </c>
      <c r="J249" t="str">
        <f>VLOOKUP(A249,Orders!$A:$G,6,0)</f>
        <v>Breakfast</v>
      </c>
      <c r="K249" t="str">
        <f>VLOOKUP(A249,Orders!$A:$G,5,0)</f>
        <v>UPI</v>
      </c>
    </row>
    <row r="250" spans="1:11" x14ac:dyDescent="0.3">
      <c r="A250" t="s">
        <v>139</v>
      </c>
      <c r="B250" t="s">
        <v>406</v>
      </c>
      <c r="C250">
        <v>2</v>
      </c>
      <c r="D250">
        <f>VLOOKUP(B250, Menu!$A:$F, 6, 0)</f>
        <v>38.06</v>
      </c>
      <c r="E250">
        <f>VLOOKUP(B250, Menu!$A:$F, 5, 0)</f>
        <v>19.55</v>
      </c>
      <c r="F250" t="str">
        <f>VLOOKUP(B250, Menu!$A:$F, 3, 0)</f>
        <v>Snack</v>
      </c>
      <c r="G250" s="5">
        <f>VLOOKUP(A250, Orders!$A:$B, 2, 0)</f>
        <v>45894.196597222217</v>
      </c>
      <c r="H250" t="str">
        <f>VLOOKUP(A250, Orders!$A:$C, 3, 0)</f>
        <v>Plant 1 Canteen</v>
      </c>
      <c r="I250">
        <f>C250*D250*(1-VLOOKUP(A250,Orders!$A:$G,7,0))</f>
        <v>70.791600000000003</v>
      </c>
      <c r="J250" t="str">
        <f>VLOOKUP(A250,Orders!$A:$G,6,0)</f>
        <v>Breakfast</v>
      </c>
      <c r="K250" t="str">
        <f>VLOOKUP(A250,Orders!$A:$G,5,0)</f>
        <v>UPI</v>
      </c>
    </row>
    <row r="251" spans="1:11" x14ac:dyDescent="0.3">
      <c r="A251" t="s">
        <v>140</v>
      </c>
      <c r="B251" t="s">
        <v>408</v>
      </c>
      <c r="C251">
        <v>2</v>
      </c>
      <c r="D251">
        <f>VLOOKUP(B251, Menu!$A:$F, 6, 0)</f>
        <v>70.540000000000006</v>
      </c>
      <c r="E251">
        <f>VLOOKUP(B251, Menu!$A:$F, 5, 0)</f>
        <v>35.81</v>
      </c>
      <c r="F251" t="str">
        <f>VLOOKUP(B251, Menu!$A:$F, 3, 0)</f>
        <v>Snack</v>
      </c>
      <c r="G251" s="5">
        <f>VLOOKUP(A251, Orders!$A:$B, 2, 0)</f>
        <v>45875.228854166657</v>
      </c>
      <c r="H251" t="str">
        <f>VLOOKUP(A251, Orders!$A:$C, 3, 0)</f>
        <v>Plant 1 Canteen</v>
      </c>
      <c r="I251">
        <f>C251*D251*(1-VLOOKUP(A251,Orders!$A:$G,7,0))</f>
        <v>131.20439999999999</v>
      </c>
      <c r="J251" t="str">
        <f>VLOOKUP(A251,Orders!$A:$G,6,0)</f>
        <v>Breakfast</v>
      </c>
      <c r="K251" t="str">
        <f>VLOOKUP(A251,Orders!$A:$G,5,0)</f>
        <v>UPI</v>
      </c>
    </row>
    <row r="252" spans="1:11" x14ac:dyDescent="0.3">
      <c r="A252" t="s">
        <v>141</v>
      </c>
      <c r="B252" t="s">
        <v>413</v>
      </c>
      <c r="C252">
        <v>1</v>
      </c>
      <c r="D252">
        <f>VLOOKUP(B252, Menu!$A:$F, 6, 0)</f>
        <v>54.2</v>
      </c>
      <c r="E252">
        <f>VLOOKUP(B252, Menu!$A:$F, 5, 0)</f>
        <v>21.95</v>
      </c>
      <c r="F252" t="str">
        <f>VLOOKUP(B252, Menu!$A:$F, 3, 0)</f>
        <v>Dessert</v>
      </c>
      <c r="G252" s="5">
        <f>VLOOKUP(A252, Orders!$A:$B, 2, 0)</f>
        <v>45840.478391203702</v>
      </c>
      <c r="H252" t="str">
        <f>VLOOKUP(A252, Orders!$A:$C, 3, 0)</f>
        <v>Plant 2 Canteen</v>
      </c>
      <c r="I252">
        <f>C252*D252*(1-VLOOKUP(A252,Orders!$A:$G,7,0))</f>
        <v>49.322000000000003</v>
      </c>
      <c r="J252" t="str">
        <f>VLOOKUP(A252,Orders!$A:$G,6,0)</f>
        <v>Lunch</v>
      </c>
      <c r="K252" t="str">
        <f>VLOOKUP(A252,Orders!$A:$G,5,0)</f>
        <v>Cash</v>
      </c>
    </row>
    <row r="253" spans="1:11" x14ac:dyDescent="0.3">
      <c r="A253" t="s">
        <v>142</v>
      </c>
      <c r="B253" t="s">
        <v>402</v>
      </c>
      <c r="C253">
        <v>1</v>
      </c>
      <c r="D253">
        <f>VLOOKUP(B253, Menu!$A:$F, 6, 0)</f>
        <v>30.34</v>
      </c>
      <c r="E253">
        <f>VLOOKUP(B253, Menu!$A:$F, 5, 0)</f>
        <v>14.18</v>
      </c>
      <c r="F253" t="str">
        <f>VLOOKUP(B253, Menu!$A:$F, 3, 0)</f>
        <v>Beverage</v>
      </c>
      <c r="G253" s="5">
        <f>VLOOKUP(A253, Orders!$A:$B, 2, 0)</f>
        <v>45874.414965277778</v>
      </c>
      <c r="H253" t="str">
        <f>VLOOKUP(A253, Orders!$A:$C, 3, 0)</f>
        <v>Head Office Café</v>
      </c>
      <c r="I253">
        <f>C253*D253*(1-VLOOKUP(A253,Orders!$A:$G,7,0))</f>
        <v>30.0366</v>
      </c>
      <c r="J253" t="str">
        <f>VLOOKUP(A253,Orders!$A:$G,6,0)</f>
        <v>Breakfast</v>
      </c>
      <c r="K253" t="str">
        <f>VLOOKUP(A253,Orders!$A:$G,5,0)</f>
        <v>UPI</v>
      </c>
    </row>
    <row r="254" spans="1:11" x14ac:dyDescent="0.3">
      <c r="A254" t="s">
        <v>143</v>
      </c>
      <c r="B254" t="s">
        <v>406</v>
      </c>
      <c r="C254">
        <v>3</v>
      </c>
      <c r="D254">
        <f>VLOOKUP(B254, Menu!$A:$F, 6, 0)</f>
        <v>38.06</v>
      </c>
      <c r="E254">
        <f>VLOOKUP(B254, Menu!$A:$F, 5, 0)</f>
        <v>19.55</v>
      </c>
      <c r="F254" t="str">
        <f>VLOOKUP(B254, Menu!$A:$F, 3, 0)</f>
        <v>Snack</v>
      </c>
      <c r="G254" s="5">
        <f>VLOOKUP(A254, Orders!$A:$B, 2, 0)</f>
        <v>45881.531597222223</v>
      </c>
      <c r="H254" t="str">
        <f>VLOOKUP(A254, Orders!$A:$C, 3, 0)</f>
        <v>Plant 1 Canteen</v>
      </c>
      <c r="I254">
        <f>C254*D254*(1-VLOOKUP(A254,Orders!$A:$G,7,0))</f>
        <v>113.0382</v>
      </c>
      <c r="J254" t="str">
        <f>VLOOKUP(A254,Orders!$A:$G,6,0)</f>
        <v>Lunch</v>
      </c>
      <c r="K254" t="str">
        <f>VLOOKUP(A254,Orders!$A:$G,5,0)</f>
        <v>UPI</v>
      </c>
    </row>
    <row r="255" spans="1:11" x14ac:dyDescent="0.3">
      <c r="A255" t="s">
        <v>143</v>
      </c>
      <c r="B255" t="s">
        <v>409</v>
      </c>
      <c r="C255">
        <v>2</v>
      </c>
      <c r="D255">
        <f>VLOOKUP(B255, Menu!$A:$F, 6, 0)</f>
        <v>28.43</v>
      </c>
      <c r="E255">
        <f>VLOOKUP(B255, Menu!$A:$F, 5, 0)</f>
        <v>13.89</v>
      </c>
      <c r="F255" t="str">
        <f>VLOOKUP(B255, Menu!$A:$F, 3, 0)</f>
        <v>Beverage</v>
      </c>
      <c r="G255" s="5">
        <f>VLOOKUP(A255, Orders!$A:$B, 2, 0)</f>
        <v>45881.531597222223</v>
      </c>
      <c r="H255" t="str">
        <f>VLOOKUP(A255, Orders!$A:$C, 3, 0)</f>
        <v>Plant 1 Canteen</v>
      </c>
      <c r="I255">
        <f>C255*D255*(1-VLOOKUP(A255,Orders!$A:$G,7,0))</f>
        <v>56.291399999999996</v>
      </c>
      <c r="J255" t="str">
        <f>VLOOKUP(A255,Orders!$A:$G,6,0)</f>
        <v>Lunch</v>
      </c>
      <c r="K255" t="str">
        <f>VLOOKUP(A255,Orders!$A:$G,5,0)</f>
        <v>UPI</v>
      </c>
    </row>
    <row r="256" spans="1:11" x14ac:dyDescent="0.3">
      <c r="A256" t="s">
        <v>143</v>
      </c>
      <c r="B256" t="s">
        <v>415</v>
      </c>
      <c r="C256">
        <v>1</v>
      </c>
      <c r="D256">
        <f>VLOOKUP(B256, Menu!$A:$F, 6, 0)</f>
        <v>256.91000000000003</v>
      </c>
      <c r="E256">
        <f>VLOOKUP(B256, Menu!$A:$F, 5, 0)</f>
        <v>121.24</v>
      </c>
      <c r="F256" t="str">
        <f>VLOOKUP(B256, Menu!$A:$F, 3, 0)</f>
        <v>Hot Meal</v>
      </c>
      <c r="G256" s="5">
        <f>VLOOKUP(A256, Orders!$A:$B, 2, 0)</f>
        <v>45881.531597222223</v>
      </c>
      <c r="H256" t="str">
        <f>VLOOKUP(A256, Orders!$A:$C, 3, 0)</f>
        <v>Plant 1 Canteen</v>
      </c>
      <c r="I256">
        <f>C256*D256*(1-VLOOKUP(A256,Orders!$A:$G,7,0))</f>
        <v>254.34090000000003</v>
      </c>
      <c r="J256" t="str">
        <f>VLOOKUP(A256,Orders!$A:$G,6,0)</f>
        <v>Lunch</v>
      </c>
      <c r="K256" t="str">
        <f>VLOOKUP(A256,Orders!$A:$G,5,0)</f>
        <v>UPI</v>
      </c>
    </row>
    <row r="257" spans="1:11" x14ac:dyDescent="0.3">
      <c r="A257" t="s">
        <v>144</v>
      </c>
      <c r="B257" t="s">
        <v>410</v>
      </c>
      <c r="C257">
        <v>2</v>
      </c>
      <c r="D257">
        <f>VLOOKUP(B257, Menu!$A:$F, 6, 0)</f>
        <v>20.11</v>
      </c>
      <c r="E257">
        <f>VLOOKUP(B257, Menu!$A:$F, 5, 0)</f>
        <v>8</v>
      </c>
      <c r="F257" t="str">
        <f>VLOOKUP(B257, Menu!$A:$F, 3, 0)</f>
        <v>Beverage</v>
      </c>
      <c r="G257" s="5">
        <f>VLOOKUP(A257, Orders!$A:$B, 2, 0)</f>
        <v>45891.501400462963</v>
      </c>
      <c r="H257" t="str">
        <f>VLOOKUP(A257, Orders!$A:$C, 3, 0)</f>
        <v>Plant 2 Canteen</v>
      </c>
      <c r="I257">
        <f>C257*D257*(1-VLOOKUP(A257,Orders!$A:$G,7,0))</f>
        <v>37.002400000000002</v>
      </c>
      <c r="J257" t="str">
        <f>VLOOKUP(A257,Orders!$A:$G,6,0)</f>
        <v>Lunch</v>
      </c>
      <c r="K257" t="str">
        <f>VLOOKUP(A257,Orders!$A:$G,5,0)</f>
        <v>Card</v>
      </c>
    </row>
    <row r="258" spans="1:11" x14ac:dyDescent="0.3">
      <c r="A258" t="s">
        <v>144</v>
      </c>
      <c r="B258" t="s">
        <v>411</v>
      </c>
      <c r="C258">
        <v>1</v>
      </c>
      <c r="D258">
        <f>VLOOKUP(B258, Menu!$A:$F, 6, 0)</f>
        <v>22.2</v>
      </c>
      <c r="E258">
        <f>VLOOKUP(B258, Menu!$A:$F, 5, 0)</f>
        <v>9.3800000000000008</v>
      </c>
      <c r="F258" t="str">
        <f>VLOOKUP(B258, Menu!$A:$F, 3, 0)</f>
        <v>Beverage</v>
      </c>
      <c r="G258" s="5">
        <f>VLOOKUP(A258, Orders!$A:$B, 2, 0)</f>
        <v>45891.501400462963</v>
      </c>
      <c r="H258" t="str">
        <f>VLOOKUP(A258, Orders!$A:$C, 3, 0)</f>
        <v>Plant 2 Canteen</v>
      </c>
      <c r="I258">
        <f>C258*D258*(1-VLOOKUP(A258,Orders!$A:$G,7,0))</f>
        <v>20.423999999999999</v>
      </c>
      <c r="J258" t="str">
        <f>VLOOKUP(A258,Orders!$A:$G,6,0)</f>
        <v>Lunch</v>
      </c>
      <c r="K258" t="str">
        <f>VLOOKUP(A258,Orders!$A:$G,5,0)</f>
        <v>Card</v>
      </c>
    </row>
    <row r="259" spans="1:11" x14ac:dyDescent="0.3">
      <c r="A259" t="s">
        <v>145</v>
      </c>
      <c r="B259" t="s">
        <v>403</v>
      </c>
      <c r="C259">
        <v>1</v>
      </c>
      <c r="D259">
        <f>VLOOKUP(B259, Menu!$A:$F, 6, 0)</f>
        <v>76.55</v>
      </c>
      <c r="E259">
        <f>VLOOKUP(B259, Menu!$A:$F, 5, 0)</f>
        <v>38.229999999999997</v>
      </c>
      <c r="F259" t="str">
        <f>VLOOKUP(B259, Menu!$A:$F, 3, 0)</f>
        <v>Dessert</v>
      </c>
      <c r="G259" s="5">
        <f>VLOOKUP(A259, Orders!$A:$B, 2, 0)</f>
        <v>45870.542662037027</v>
      </c>
      <c r="H259" t="str">
        <f>VLOOKUP(A259, Orders!$A:$C, 3, 0)</f>
        <v>Plant 1 Canteen</v>
      </c>
      <c r="I259">
        <f>C259*D259*(1-VLOOKUP(A259,Orders!$A:$G,7,0))</f>
        <v>71.191499999999991</v>
      </c>
      <c r="J259" t="str">
        <f>VLOOKUP(A259,Orders!$A:$G,6,0)</f>
        <v>Lunch</v>
      </c>
      <c r="K259" t="str">
        <f>VLOOKUP(A259,Orders!$A:$G,5,0)</f>
        <v>Card</v>
      </c>
    </row>
    <row r="260" spans="1:11" x14ac:dyDescent="0.3">
      <c r="A260" t="s">
        <v>145</v>
      </c>
      <c r="B260" t="s">
        <v>409</v>
      </c>
      <c r="C260">
        <v>1</v>
      </c>
      <c r="D260">
        <f>VLOOKUP(B260, Menu!$A:$F, 6, 0)</f>
        <v>28.43</v>
      </c>
      <c r="E260">
        <f>VLOOKUP(B260, Menu!$A:$F, 5, 0)</f>
        <v>13.89</v>
      </c>
      <c r="F260" t="str">
        <f>VLOOKUP(B260, Menu!$A:$F, 3, 0)</f>
        <v>Beverage</v>
      </c>
      <c r="G260" s="5">
        <f>VLOOKUP(A260, Orders!$A:$B, 2, 0)</f>
        <v>45870.542662037027</v>
      </c>
      <c r="H260" t="str">
        <f>VLOOKUP(A260, Orders!$A:$C, 3, 0)</f>
        <v>Plant 1 Canteen</v>
      </c>
      <c r="I260">
        <f>C260*D260*(1-VLOOKUP(A260,Orders!$A:$G,7,0))</f>
        <v>26.439899999999998</v>
      </c>
      <c r="J260" t="str">
        <f>VLOOKUP(A260,Orders!$A:$G,6,0)</f>
        <v>Lunch</v>
      </c>
      <c r="K260" t="str">
        <f>VLOOKUP(A260,Orders!$A:$G,5,0)</f>
        <v>Card</v>
      </c>
    </row>
    <row r="261" spans="1:11" x14ac:dyDescent="0.3">
      <c r="A261" t="s">
        <v>145</v>
      </c>
      <c r="B261" t="s">
        <v>408</v>
      </c>
      <c r="C261">
        <v>1</v>
      </c>
      <c r="D261">
        <f>VLOOKUP(B261, Menu!$A:$F, 6, 0)</f>
        <v>70.540000000000006</v>
      </c>
      <c r="E261">
        <f>VLOOKUP(B261, Menu!$A:$F, 5, 0)</f>
        <v>35.81</v>
      </c>
      <c r="F261" t="str">
        <f>VLOOKUP(B261, Menu!$A:$F, 3, 0)</f>
        <v>Snack</v>
      </c>
      <c r="G261" s="5">
        <f>VLOOKUP(A261, Orders!$A:$B, 2, 0)</f>
        <v>45870.542662037027</v>
      </c>
      <c r="H261" t="str">
        <f>VLOOKUP(A261, Orders!$A:$C, 3, 0)</f>
        <v>Plant 1 Canteen</v>
      </c>
      <c r="I261">
        <f>C261*D261*(1-VLOOKUP(A261,Orders!$A:$G,7,0))</f>
        <v>65.602199999999996</v>
      </c>
      <c r="J261" t="str">
        <f>VLOOKUP(A261,Orders!$A:$G,6,0)</f>
        <v>Lunch</v>
      </c>
      <c r="K261" t="str">
        <f>VLOOKUP(A261,Orders!$A:$G,5,0)</f>
        <v>Card</v>
      </c>
    </row>
    <row r="262" spans="1:11" x14ac:dyDescent="0.3">
      <c r="A262" t="s">
        <v>145</v>
      </c>
      <c r="B262" t="s">
        <v>418</v>
      </c>
      <c r="C262">
        <v>1</v>
      </c>
      <c r="D262">
        <f>VLOOKUP(B262, Menu!$A:$F, 6, 0)</f>
        <v>39.950000000000003</v>
      </c>
      <c r="E262">
        <f>VLOOKUP(B262, Menu!$A:$F, 5, 0)</f>
        <v>15.51</v>
      </c>
      <c r="F262" t="str">
        <f>VLOOKUP(B262, Menu!$A:$F, 3, 0)</f>
        <v>Snack</v>
      </c>
      <c r="G262" s="5">
        <f>VLOOKUP(A262, Orders!$A:$B, 2, 0)</f>
        <v>45870.542662037027</v>
      </c>
      <c r="H262" t="str">
        <f>VLOOKUP(A262, Orders!$A:$C, 3, 0)</f>
        <v>Plant 1 Canteen</v>
      </c>
      <c r="I262">
        <f>C262*D262*(1-VLOOKUP(A262,Orders!$A:$G,7,0))</f>
        <v>37.153500000000001</v>
      </c>
      <c r="J262" t="str">
        <f>VLOOKUP(A262,Orders!$A:$G,6,0)</f>
        <v>Lunch</v>
      </c>
      <c r="K262" t="str">
        <f>VLOOKUP(A262,Orders!$A:$G,5,0)</f>
        <v>Card</v>
      </c>
    </row>
    <row r="263" spans="1:11" x14ac:dyDescent="0.3">
      <c r="A263" t="s">
        <v>146</v>
      </c>
      <c r="B263" t="s">
        <v>402</v>
      </c>
      <c r="C263">
        <v>2</v>
      </c>
      <c r="D263">
        <f>VLOOKUP(B263, Menu!$A:$F, 6, 0)</f>
        <v>30.34</v>
      </c>
      <c r="E263">
        <f>VLOOKUP(B263, Menu!$A:$F, 5, 0)</f>
        <v>14.18</v>
      </c>
      <c r="F263" t="str">
        <f>VLOOKUP(B263, Menu!$A:$F, 3, 0)</f>
        <v>Beverage</v>
      </c>
      <c r="G263" s="5">
        <f>VLOOKUP(A263, Orders!$A:$B, 2, 0)</f>
        <v>45862.926782407398</v>
      </c>
      <c r="H263" t="str">
        <f>VLOOKUP(A263, Orders!$A:$C, 3, 0)</f>
        <v>Plant 2 Canteen</v>
      </c>
      <c r="I263">
        <f>C263*D263*(1-VLOOKUP(A263,Orders!$A:$G,7,0))</f>
        <v>56.432399999999994</v>
      </c>
      <c r="J263" t="str">
        <f>VLOOKUP(A263,Orders!$A:$G,6,0)</f>
        <v>Dinner</v>
      </c>
      <c r="K263" t="str">
        <f>VLOOKUP(A263,Orders!$A:$G,5,0)</f>
        <v>UPI</v>
      </c>
    </row>
    <row r="264" spans="1:11" x14ac:dyDescent="0.3">
      <c r="A264" t="s">
        <v>147</v>
      </c>
      <c r="B264" t="s">
        <v>402</v>
      </c>
      <c r="C264">
        <v>2</v>
      </c>
      <c r="D264">
        <f>VLOOKUP(B264, Menu!$A:$F, 6, 0)</f>
        <v>30.34</v>
      </c>
      <c r="E264">
        <f>VLOOKUP(B264, Menu!$A:$F, 5, 0)</f>
        <v>14.18</v>
      </c>
      <c r="F264" t="str">
        <f>VLOOKUP(B264, Menu!$A:$F, 3, 0)</f>
        <v>Beverage</v>
      </c>
      <c r="G264" s="5">
        <f>VLOOKUP(A264, Orders!$A:$B, 2, 0)</f>
        <v>45871.910868055558</v>
      </c>
      <c r="H264" t="str">
        <f>VLOOKUP(A264, Orders!$A:$C, 3, 0)</f>
        <v>Plant 1 Canteen</v>
      </c>
      <c r="I264">
        <f>C264*D264*(1-VLOOKUP(A264,Orders!$A:$G,7,0))</f>
        <v>56.432399999999994</v>
      </c>
      <c r="J264" t="str">
        <f>VLOOKUP(A264,Orders!$A:$G,6,0)</f>
        <v>Dinner</v>
      </c>
      <c r="K264" t="str">
        <f>VLOOKUP(A264,Orders!$A:$G,5,0)</f>
        <v>Card</v>
      </c>
    </row>
    <row r="265" spans="1:11" x14ac:dyDescent="0.3">
      <c r="A265" t="s">
        <v>147</v>
      </c>
      <c r="B265" t="s">
        <v>416</v>
      </c>
      <c r="C265">
        <v>2</v>
      </c>
      <c r="D265">
        <f>VLOOKUP(B265, Menu!$A:$F, 6, 0)</f>
        <v>227.61</v>
      </c>
      <c r="E265">
        <f>VLOOKUP(B265, Menu!$A:$F, 5, 0)</f>
        <v>96.22</v>
      </c>
      <c r="F265" t="str">
        <f>VLOOKUP(B265, Menu!$A:$F, 3, 0)</f>
        <v>Hot Meal</v>
      </c>
      <c r="G265" s="5">
        <f>VLOOKUP(A265, Orders!$A:$B, 2, 0)</f>
        <v>45871.910868055558</v>
      </c>
      <c r="H265" t="str">
        <f>VLOOKUP(A265, Orders!$A:$C, 3, 0)</f>
        <v>Plant 1 Canteen</v>
      </c>
      <c r="I265">
        <f>C265*D265*(1-VLOOKUP(A265,Orders!$A:$G,7,0))</f>
        <v>423.3546</v>
      </c>
      <c r="J265" t="str">
        <f>VLOOKUP(A265,Orders!$A:$G,6,0)</f>
        <v>Dinner</v>
      </c>
      <c r="K265" t="str">
        <f>VLOOKUP(A265,Orders!$A:$G,5,0)</f>
        <v>Card</v>
      </c>
    </row>
    <row r="266" spans="1:11" x14ac:dyDescent="0.3">
      <c r="A266" t="s">
        <v>147</v>
      </c>
      <c r="B266" t="s">
        <v>412</v>
      </c>
      <c r="C266">
        <v>1</v>
      </c>
      <c r="D266">
        <f>VLOOKUP(B266, Menu!$A:$F, 6, 0)</f>
        <v>57.07</v>
      </c>
      <c r="E266">
        <f>VLOOKUP(B266, Menu!$A:$F, 5, 0)</f>
        <v>29.14</v>
      </c>
      <c r="F266" t="str">
        <f>VLOOKUP(B266, Menu!$A:$F, 3, 0)</f>
        <v>Dessert</v>
      </c>
      <c r="G266" s="5">
        <f>VLOOKUP(A266, Orders!$A:$B, 2, 0)</f>
        <v>45871.910868055558</v>
      </c>
      <c r="H266" t="str">
        <f>VLOOKUP(A266, Orders!$A:$C, 3, 0)</f>
        <v>Plant 1 Canteen</v>
      </c>
      <c r="I266">
        <f>C266*D266*(1-VLOOKUP(A266,Orders!$A:$G,7,0))</f>
        <v>53.075099999999999</v>
      </c>
      <c r="J266" t="str">
        <f>VLOOKUP(A266,Orders!$A:$G,6,0)</f>
        <v>Dinner</v>
      </c>
      <c r="K266" t="str">
        <f>VLOOKUP(A266,Orders!$A:$G,5,0)</f>
        <v>Card</v>
      </c>
    </row>
    <row r="267" spans="1:11" x14ac:dyDescent="0.3">
      <c r="A267" t="s">
        <v>147</v>
      </c>
      <c r="B267" t="s">
        <v>407</v>
      </c>
      <c r="C267">
        <v>1</v>
      </c>
      <c r="D267">
        <f>VLOOKUP(B267, Menu!$A:$F, 6, 0)</f>
        <v>246.09</v>
      </c>
      <c r="E267">
        <f>VLOOKUP(B267, Menu!$A:$F, 5, 0)</f>
        <v>112.08</v>
      </c>
      <c r="F267" t="str">
        <f>VLOOKUP(B267, Menu!$A:$F, 3, 0)</f>
        <v>Hot Meal</v>
      </c>
      <c r="G267" s="5">
        <f>VLOOKUP(A267, Orders!$A:$B, 2, 0)</f>
        <v>45871.910868055558</v>
      </c>
      <c r="H267" t="str">
        <f>VLOOKUP(A267, Orders!$A:$C, 3, 0)</f>
        <v>Plant 1 Canteen</v>
      </c>
      <c r="I267">
        <f>C267*D267*(1-VLOOKUP(A267,Orders!$A:$G,7,0))</f>
        <v>228.86369999999999</v>
      </c>
      <c r="J267" t="str">
        <f>VLOOKUP(A267,Orders!$A:$G,6,0)</f>
        <v>Dinner</v>
      </c>
      <c r="K267" t="str">
        <f>VLOOKUP(A267,Orders!$A:$G,5,0)</f>
        <v>Card</v>
      </c>
    </row>
    <row r="268" spans="1:11" x14ac:dyDescent="0.3">
      <c r="A268" t="s">
        <v>148</v>
      </c>
      <c r="B268" t="s">
        <v>417</v>
      </c>
      <c r="C268">
        <v>2</v>
      </c>
      <c r="D268">
        <f>VLOOKUP(B268, Menu!$A:$F, 6, 0)</f>
        <v>146.4</v>
      </c>
      <c r="E268">
        <f>VLOOKUP(B268, Menu!$A:$F, 5, 0)</f>
        <v>80.92</v>
      </c>
      <c r="F268" t="str">
        <f>VLOOKUP(B268, Menu!$A:$F, 3, 0)</f>
        <v>Hot Meal</v>
      </c>
      <c r="G268" s="5">
        <f>VLOOKUP(A268, Orders!$A:$B, 2, 0)</f>
        <v>45886.586400462962</v>
      </c>
      <c r="H268" t="str">
        <f>VLOOKUP(A268, Orders!$A:$C, 3, 0)</f>
        <v>Plant 1 Canteen</v>
      </c>
      <c r="I268">
        <f>C268*D268*(1-VLOOKUP(A268,Orders!$A:$G,7,0))</f>
        <v>284.01600000000002</v>
      </c>
      <c r="J268" t="str">
        <f>VLOOKUP(A268,Orders!$A:$G,6,0)</f>
        <v>Lunch</v>
      </c>
      <c r="K268" t="str">
        <f>VLOOKUP(A268,Orders!$A:$G,5,0)</f>
        <v>Card</v>
      </c>
    </row>
    <row r="269" spans="1:11" x14ac:dyDescent="0.3">
      <c r="A269" t="s">
        <v>148</v>
      </c>
      <c r="B269" t="s">
        <v>404</v>
      </c>
      <c r="C269">
        <v>1</v>
      </c>
      <c r="D269">
        <f>VLOOKUP(B269, Menu!$A:$F, 6, 0)</f>
        <v>32.979999999999997</v>
      </c>
      <c r="E269">
        <f>VLOOKUP(B269, Menu!$A:$F, 5, 0)</f>
        <v>11.84</v>
      </c>
      <c r="F269" t="str">
        <f>VLOOKUP(B269, Menu!$A:$F, 3, 0)</f>
        <v>Beverage</v>
      </c>
      <c r="G269" s="5">
        <f>VLOOKUP(A269, Orders!$A:$B, 2, 0)</f>
        <v>45886.586400462962</v>
      </c>
      <c r="H269" t="str">
        <f>VLOOKUP(A269, Orders!$A:$C, 3, 0)</f>
        <v>Plant 1 Canteen</v>
      </c>
      <c r="I269">
        <f>C269*D269*(1-VLOOKUP(A269,Orders!$A:$G,7,0))</f>
        <v>31.990599999999997</v>
      </c>
      <c r="J269" t="str">
        <f>VLOOKUP(A269,Orders!$A:$G,6,0)</f>
        <v>Lunch</v>
      </c>
      <c r="K269" t="str">
        <f>VLOOKUP(A269,Orders!$A:$G,5,0)</f>
        <v>Card</v>
      </c>
    </row>
    <row r="270" spans="1:11" x14ac:dyDescent="0.3">
      <c r="A270" t="s">
        <v>148</v>
      </c>
      <c r="B270" t="s">
        <v>410</v>
      </c>
      <c r="C270">
        <v>1</v>
      </c>
      <c r="D270">
        <f>VLOOKUP(B270, Menu!$A:$F, 6, 0)</f>
        <v>20.11</v>
      </c>
      <c r="E270">
        <f>VLOOKUP(B270, Menu!$A:$F, 5, 0)</f>
        <v>8</v>
      </c>
      <c r="F270" t="str">
        <f>VLOOKUP(B270, Menu!$A:$F, 3, 0)</f>
        <v>Beverage</v>
      </c>
      <c r="G270" s="5">
        <f>VLOOKUP(A270, Orders!$A:$B, 2, 0)</f>
        <v>45886.586400462962</v>
      </c>
      <c r="H270" t="str">
        <f>VLOOKUP(A270, Orders!$A:$C, 3, 0)</f>
        <v>Plant 1 Canteen</v>
      </c>
      <c r="I270">
        <f>C270*D270*(1-VLOOKUP(A270,Orders!$A:$G,7,0))</f>
        <v>19.506699999999999</v>
      </c>
      <c r="J270" t="str">
        <f>VLOOKUP(A270,Orders!$A:$G,6,0)</f>
        <v>Lunch</v>
      </c>
      <c r="K270" t="str">
        <f>VLOOKUP(A270,Orders!$A:$G,5,0)</f>
        <v>Card</v>
      </c>
    </row>
    <row r="271" spans="1:11" x14ac:dyDescent="0.3">
      <c r="A271" t="s">
        <v>149</v>
      </c>
      <c r="B271" t="s">
        <v>414</v>
      </c>
      <c r="C271">
        <v>1</v>
      </c>
      <c r="D271">
        <f>VLOOKUP(B271, Menu!$A:$F, 6, 0)</f>
        <v>116.8</v>
      </c>
      <c r="E271">
        <f>VLOOKUP(B271, Menu!$A:$F, 5, 0)</f>
        <v>48.97</v>
      </c>
      <c r="F271" t="str">
        <f>VLOOKUP(B271, Menu!$A:$F, 3, 0)</f>
        <v>Dessert</v>
      </c>
      <c r="G271" s="5">
        <f>VLOOKUP(A271, Orders!$A:$B, 2, 0)</f>
        <v>45866.402141203696</v>
      </c>
      <c r="H271" t="str">
        <f>VLOOKUP(A271, Orders!$A:$C, 3, 0)</f>
        <v>Head Office Café</v>
      </c>
      <c r="I271">
        <f>C271*D271*(1-VLOOKUP(A271,Orders!$A:$G,7,0))</f>
        <v>108.624</v>
      </c>
      <c r="J271" t="str">
        <f>VLOOKUP(A271,Orders!$A:$G,6,0)</f>
        <v>Breakfast</v>
      </c>
      <c r="K271" t="str">
        <f>VLOOKUP(A271,Orders!$A:$G,5,0)</f>
        <v>Card</v>
      </c>
    </row>
    <row r="272" spans="1:11" x14ac:dyDescent="0.3">
      <c r="A272" t="s">
        <v>149</v>
      </c>
      <c r="B272" t="s">
        <v>417</v>
      </c>
      <c r="C272">
        <v>2</v>
      </c>
      <c r="D272">
        <f>VLOOKUP(B272, Menu!$A:$F, 6, 0)</f>
        <v>146.4</v>
      </c>
      <c r="E272">
        <f>VLOOKUP(B272, Menu!$A:$F, 5, 0)</f>
        <v>80.92</v>
      </c>
      <c r="F272" t="str">
        <f>VLOOKUP(B272, Menu!$A:$F, 3, 0)</f>
        <v>Hot Meal</v>
      </c>
      <c r="G272" s="5">
        <f>VLOOKUP(A272, Orders!$A:$B, 2, 0)</f>
        <v>45866.402141203696</v>
      </c>
      <c r="H272" t="str">
        <f>VLOOKUP(A272, Orders!$A:$C, 3, 0)</f>
        <v>Head Office Café</v>
      </c>
      <c r="I272">
        <f>C272*D272*(1-VLOOKUP(A272,Orders!$A:$G,7,0))</f>
        <v>272.30399999999997</v>
      </c>
      <c r="J272" t="str">
        <f>VLOOKUP(A272,Orders!$A:$G,6,0)</f>
        <v>Breakfast</v>
      </c>
      <c r="K272" t="str">
        <f>VLOOKUP(A272,Orders!$A:$G,5,0)</f>
        <v>Card</v>
      </c>
    </row>
    <row r="273" spans="1:11" x14ac:dyDescent="0.3">
      <c r="A273" t="s">
        <v>149</v>
      </c>
      <c r="B273" t="s">
        <v>402</v>
      </c>
      <c r="C273">
        <v>1</v>
      </c>
      <c r="D273">
        <f>VLOOKUP(B273, Menu!$A:$F, 6, 0)</f>
        <v>30.34</v>
      </c>
      <c r="E273">
        <f>VLOOKUP(B273, Menu!$A:$F, 5, 0)</f>
        <v>14.18</v>
      </c>
      <c r="F273" t="str">
        <f>VLOOKUP(B273, Menu!$A:$F, 3, 0)</f>
        <v>Beverage</v>
      </c>
      <c r="G273" s="5">
        <f>VLOOKUP(A273, Orders!$A:$B, 2, 0)</f>
        <v>45866.402141203696</v>
      </c>
      <c r="H273" t="str">
        <f>VLOOKUP(A273, Orders!$A:$C, 3, 0)</f>
        <v>Head Office Café</v>
      </c>
      <c r="I273">
        <f>C273*D273*(1-VLOOKUP(A273,Orders!$A:$G,7,0))</f>
        <v>28.216199999999997</v>
      </c>
      <c r="J273" t="str">
        <f>VLOOKUP(A273,Orders!$A:$G,6,0)</f>
        <v>Breakfast</v>
      </c>
      <c r="K273" t="str">
        <f>VLOOKUP(A273,Orders!$A:$G,5,0)</f>
        <v>Card</v>
      </c>
    </row>
    <row r="274" spans="1:11" x14ac:dyDescent="0.3">
      <c r="A274" t="s">
        <v>150</v>
      </c>
      <c r="B274" t="s">
        <v>417</v>
      </c>
      <c r="C274">
        <v>1</v>
      </c>
      <c r="D274">
        <f>VLOOKUP(B274, Menu!$A:$F, 6, 0)</f>
        <v>146.4</v>
      </c>
      <c r="E274">
        <f>VLOOKUP(B274, Menu!$A:$F, 5, 0)</f>
        <v>80.92</v>
      </c>
      <c r="F274" t="str">
        <f>VLOOKUP(B274, Menu!$A:$F, 3, 0)</f>
        <v>Hot Meal</v>
      </c>
      <c r="G274" s="5">
        <f>VLOOKUP(A274, Orders!$A:$B, 2, 0)</f>
        <v>45840.235567129632</v>
      </c>
      <c r="H274" t="str">
        <f>VLOOKUP(A274, Orders!$A:$C, 3, 0)</f>
        <v>Head Office Café</v>
      </c>
      <c r="I274">
        <f>C274*D274*(1-VLOOKUP(A274,Orders!$A:$G,7,0))</f>
        <v>136.15199999999999</v>
      </c>
      <c r="J274" t="str">
        <f>VLOOKUP(A274,Orders!$A:$G,6,0)</f>
        <v>Breakfast</v>
      </c>
      <c r="K274" t="str">
        <f>VLOOKUP(A274,Orders!$A:$G,5,0)</f>
        <v>Cash</v>
      </c>
    </row>
    <row r="275" spans="1:11" x14ac:dyDescent="0.3">
      <c r="A275" t="s">
        <v>150</v>
      </c>
      <c r="B275" t="s">
        <v>405</v>
      </c>
      <c r="C275">
        <v>1</v>
      </c>
      <c r="D275">
        <f>VLOOKUP(B275, Menu!$A:$F, 6, 0)</f>
        <v>170.83</v>
      </c>
      <c r="E275">
        <f>VLOOKUP(B275, Menu!$A:$F, 5, 0)</f>
        <v>74.069999999999993</v>
      </c>
      <c r="F275" t="str">
        <f>VLOOKUP(B275, Menu!$A:$F, 3, 0)</f>
        <v>Hot Meal</v>
      </c>
      <c r="G275" s="5">
        <f>VLOOKUP(A275, Orders!$A:$B, 2, 0)</f>
        <v>45840.235567129632</v>
      </c>
      <c r="H275" t="str">
        <f>VLOOKUP(A275, Orders!$A:$C, 3, 0)</f>
        <v>Head Office Café</v>
      </c>
      <c r="I275">
        <f>C275*D275*(1-VLOOKUP(A275,Orders!$A:$G,7,0))</f>
        <v>158.87190000000001</v>
      </c>
      <c r="J275" t="str">
        <f>VLOOKUP(A275,Orders!$A:$G,6,0)</f>
        <v>Breakfast</v>
      </c>
      <c r="K275" t="str">
        <f>VLOOKUP(A275,Orders!$A:$G,5,0)</f>
        <v>Cash</v>
      </c>
    </row>
    <row r="276" spans="1:11" x14ac:dyDescent="0.3">
      <c r="A276" t="s">
        <v>150</v>
      </c>
      <c r="B276" t="s">
        <v>414</v>
      </c>
      <c r="C276">
        <v>1</v>
      </c>
      <c r="D276">
        <f>VLOOKUP(B276, Menu!$A:$F, 6, 0)</f>
        <v>116.8</v>
      </c>
      <c r="E276">
        <f>VLOOKUP(B276, Menu!$A:$F, 5, 0)</f>
        <v>48.97</v>
      </c>
      <c r="F276" t="str">
        <f>VLOOKUP(B276, Menu!$A:$F, 3, 0)</f>
        <v>Dessert</v>
      </c>
      <c r="G276" s="5">
        <f>VLOOKUP(A276, Orders!$A:$B, 2, 0)</f>
        <v>45840.235567129632</v>
      </c>
      <c r="H276" t="str">
        <f>VLOOKUP(A276, Orders!$A:$C, 3, 0)</f>
        <v>Head Office Café</v>
      </c>
      <c r="I276">
        <f>C276*D276*(1-VLOOKUP(A276,Orders!$A:$G,7,0))</f>
        <v>108.624</v>
      </c>
      <c r="J276" t="str">
        <f>VLOOKUP(A276,Orders!$A:$G,6,0)</f>
        <v>Breakfast</v>
      </c>
      <c r="K276" t="str">
        <f>VLOOKUP(A276,Orders!$A:$G,5,0)</f>
        <v>Cash</v>
      </c>
    </row>
    <row r="277" spans="1:11" x14ac:dyDescent="0.3">
      <c r="A277" t="s">
        <v>150</v>
      </c>
      <c r="B277" t="s">
        <v>412</v>
      </c>
      <c r="C277">
        <v>2</v>
      </c>
      <c r="D277">
        <f>VLOOKUP(B277, Menu!$A:$F, 6, 0)</f>
        <v>57.07</v>
      </c>
      <c r="E277">
        <f>VLOOKUP(B277, Menu!$A:$F, 5, 0)</f>
        <v>29.14</v>
      </c>
      <c r="F277" t="str">
        <f>VLOOKUP(B277, Menu!$A:$F, 3, 0)</f>
        <v>Dessert</v>
      </c>
      <c r="G277" s="5">
        <f>VLOOKUP(A277, Orders!$A:$B, 2, 0)</f>
        <v>45840.235567129632</v>
      </c>
      <c r="H277" t="str">
        <f>VLOOKUP(A277, Orders!$A:$C, 3, 0)</f>
        <v>Head Office Café</v>
      </c>
      <c r="I277">
        <f>C277*D277*(1-VLOOKUP(A277,Orders!$A:$G,7,0))</f>
        <v>106.1502</v>
      </c>
      <c r="J277" t="str">
        <f>VLOOKUP(A277,Orders!$A:$G,6,0)</f>
        <v>Breakfast</v>
      </c>
      <c r="K277" t="str">
        <f>VLOOKUP(A277,Orders!$A:$G,5,0)</f>
        <v>Cash</v>
      </c>
    </row>
    <row r="278" spans="1:11" x14ac:dyDescent="0.3">
      <c r="A278" t="s">
        <v>151</v>
      </c>
      <c r="B278" t="s">
        <v>419</v>
      </c>
      <c r="C278">
        <v>3</v>
      </c>
      <c r="D278">
        <f>VLOOKUP(B278, Menu!$A:$F, 6, 0)</f>
        <v>50.19</v>
      </c>
      <c r="E278">
        <f>VLOOKUP(B278, Menu!$A:$F, 5, 0)</f>
        <v>22.61</v>
      </c>
      <c r="F278" t="str">
        <f>VLOOKUP(B278, Menu!$A:$F, 3, 0)</f>
        <v>Snack</v>
      </c>
      <c r="G278" s="5">
        <f>VLOOKUP(A278, Orders!$A:$B, 2, 0)</f>
        <v>45878.71025462963</v>
      </c>
      <c r="H278" t="str">
        <f>VLOOKUP(A278, Orders!$A:$C, 3, 0)</f>
        <v>Plant 2 Canteen</v>
      </c>
      <c r="I278">
        <f>C278*D278*(1-VLOOKUP(A278,Orders!$A:$G,7,0))</f>
        <v>146.05289999999999</v>
      </c>
      <c r="J278" t="str">
        <f>VLOOKUP(A278,Orders!$A:$G,6,0)</f>
        <v>Dinner</v>
      </c>
      <c r="K278" t="str">
        <f>VLOOKUP(A278,Orders!$A:$G,5,0)</f>
        <v>Cash</v>
      </c>
    </row>
    <row r="279" spans="1:11" x14ac:dyDescent="0.3">
      <c r="A279" t="s">
        <v>151</v>
      </c>
      <c r="B279" t="s">
        <v>413</v>
      </c>
      <c r="C279">
        <v>2</v>
      </c>
      <c r="D279">
        <f>VLOOKUP(B279, Menu!$A:$F, 6, 0)</f>
        <v>54.2</v>
      </c>
      <c r="E279">
        <f>VLOOKUP(B279, Menu!$A:$F, 5, 0)</f>
        <v>21.95</v>
      </c>
      <c r="F279" t="str">
        <f>VLOOKUP(B279, Menu!$A:$F, 3, 0)</f>
        <v>Dessert</v>
      </c>
      <c r="G279" s="5">
        <f>VLOOKUP(A279, Orders!$A:$B, 2, 0)</f>
        <v>45878.71025462963</v>
      </c>
      <c r="H279" t="str">
        <f>VLOOKUP(A279, Orders!$A:$C, 3, 0)</f>
        <v>Plant 2 Canteen</v>
      </c>
      <c r="I279">
        <f>C279*D279*(1-VLOOKUP(A279,Orders!$A:$G,7,0))</f>
        <v>105.148</v>
      </c>
      <c r="J279" t="str">
        <f>VLOOKUP(A279,Orders!$A:$G,6,0)</f>
        <v>Dinner</v>
      </c>
      <c r="K279" t="str">
        <f>VLOOKUP(A279,Orders!$A:$G,5,0)</f>
        <v>Cash</v>
      </c>
    </row>
    <row r="280" spans="1:11" x14ac:dyDescent="0.3">
      <c r="A280" t="s">
        <v>152</v>
      </c>
      <c r="B280" t="s">
        <v>407</v>
      </c>
      <c r="C280">
        <v>2</v>
      </c>
      <c r="D280">
        <f>VLOOKUP(B280, Menu!$A:$F, 6, 0)</f>
        <v>246.09</v>
      </c>
      <c r="E280">
        <f>VLOOKUP(B280, Menu!$A:$F, 5, 0)</f>
        <v>112.08</v>
      </c>
      <c r="F280" t="str">
        <f>VLOOKUP(B280, Menu!$A:$F, 3, 0)</f>
        <v>Hot Meal</v>
      </c>
      <c r="G280" s="5">
        <f>VLOOKUP(A280, Orders!$A:$B, 2, 0)</f>
        <v>45886.904016203713</v>
      </c>
      <c r="H280" t="str">
        <f>VLOOKUP(A280, Orders!$A:$C, 3, 0)</f>
        <v>Plant 2 Canteen</v>
      </c>
      <c r="I280">
        <f>C280*D280*(1-VLOOKUP(A280,Orders!$A:$G,7,0))</f>
        <v>428.19659999999999</v>
      </c>
      <c r="J280" t="str">
        <f>VLOOKUP(A280,Orders!$A:$G,6,0)</f>
        <v>Dinner</v>
      </c>
      <c r="K280" t="str">
        <f>VLOOKUP(A280,Orders!$A:$G,5,0)</f>
        <v>Cash</v>
      </c>
    </row>
    <row r="281" spans="1:11" x14ac:dyDescent="0.3">
      <c r="A281" t="s">
        <v>152</v>
      </c>
      <c r="B281" t="s">
        <v>404</v>
      </c>
      <c r="C281">
        <v>1</v>
      </c>
      <c r="D281">
        <f>VLOOKUP(B281, Menu!$A:$F, 6, 0)</f>
        <v>32.979999999999997</v>
      </c>
      <c r="E281">
        <f>VLOOKUP(B281, Menu!$A:$F, 5, 0)</f>
        <v>11.84</v>
      </c>
      <c r="F281" t="str">
        <f>VLOOKUP(B281, Menu!$A:$F, 3, 0)</f>
        <v>Beverage</v>
      </c>
      <c r="G281" s="5">
        <f>VLOOKUP(A281, Orders!$A:$B, 2, 0)</f>
        <v>45886.904016203713</v>
      </c>
      <c r="H281" t="str">
        <f>VLOOKUP(A281, Orders!$A:$C, 3, 0)</f>
        <v>Plant 2 Canteen</v>
      </c>
      <c r="I281">
        <f>C281*D281*(1-VLOOKUP(A281,Orders!$A:$G,7,0))</f>
        <v>28.692599999999999</v>
      </c>
      <c r="J281" t="str">
        <f>VLOOKUP(A281,Orders!$A:$G,6,0)</f>
        <v>Dinner</v>
      </c>
      <c r="K281" t="str">
        <f>VLOOKUP(A281,Orders!$A:$G,5,0)</f>
        <v>Cash</v>
      </c>
    </row>
    <row r="282" spans="1:11" x14ac:dyDescent="0.3">
      <c r="A282" t="s">
        <v>152</v>
      </c>
      <c r="B282" t="s">
        <v>403</v>
      </c>
      <c r="C282">
        <v>3</v>
      </c>
      <c r="D282">
        <f>VLOOKUP(B282, Menu!$A:$F, 6, 0)</f>
        <v>76.55</v>
      </c>
      <c r="E282">
        <f>VLOOKUP(B282, Menu!$A:$F, 5, 0)</f>
        <v>38.229999999999997</v>
      </c>
      <c r="F282" t="str">
        <f>VLOOKUP(B282, Menu!$A:$F, 3, 0)</f>
        <v>Dessert</v>
      </c>
      <c r="G282" s="5">
        <f>VLOOKUP(A282, Orders!$A:$B, 2, 0)</f>
        <v>45886.904016203713</v>
      </c>
      <c r="H282" t="str">
        <f>VLOOKUP(A282, Orders!$A:$C, 3, 0)</f>
        <v>Plant 2 Canteen</v>
      </c>
      <c r="I282">
        <f>C282*D282*(1-VLOOKUP(A282,Orders!$A:$G,7,0))</f>
        <v>199.79549999999998</v>
      </c>
      <c r="J282" t="str">
        <f>VLOOKUP(A282,Orders!$A:$G,6,0)</f>
        <v>Dinner</v>
      </c>
      <c r="K282" t="str">
        <f>VLOOKUP(A282,Orders!$A:$G,5,0)</f>
        <v>Cash</v>
      </c>
    </row>
    <row r="283" spans="1:11" x14ac:dyDescent="0.3">
      <c r="A283" t="s">
        <v>152</v>
      </c>
      <c r="B283" t="s">
        <v>413</v>
      </c>
      <c r="C283">
        <v>2</v>
      </c>
      <c r="D283">
        <f>VLOOKUP(B283, Menu!$A:$F, 6, 0)</f>
        <v>54.2</v>
      </c>
      <c r="E283">
        <f>VLOOKUP(B283, Menu!$A:$F, 5, 0)</f>
        <v>21.95</v>
      </c>
      <c r="F283" t="str">
        <f>VLOOKUP(B283, Menu!$A:$F, 3, 0)</f>
        <v>Dessert</v>
      </c>
      <c r="G283" s="5">
        <f>VLOOKUP(A283, Orders!$A:$B, 2, 0)</f>
        <v>45886.904016203713</v>
      </c>
      <c r="H283" t="str">
        <f>VLOOKUP(A283, Orders!$A:$C, 3, 0)</f>
        <v>Plant 2 Canteen</v>
      </c>
      <c r="I283">
        <f>C283*D283*(1-VLOOKUP(A283,Orders!$A:$G,7,0))</f>
        <v>94.308000000000007</v>
      </c>
      <c r="J283" t="str">
        <f>VLOOKUP(A283,Orders!$A:$G,6,0)</f>
        <v>Dinner</v>
      </c>
      <c r="K283" t="str">
        <f>VLOOKUP(A283,Orders!$A:$G,5,0)</f>
        <v>Cash</v>
      </c>
    </row>
    <row r="284" spans="1:11" x14ac:dyDescent="0.3">
      <c r="A284" t="s">
        <v>153</v>
      </c>
      <c r="B284" t="s">
        <v>418</v>
      </c>
      <c r="C284">
        <v>3</v>
      </c>
      <c r="D284">
        <f>VLOOKUP(B284, Menu!$A:$F, 6, 0)</f>
        <v>39.950000000000003</v>
      </c>
      <c r="E284">
        <f>VLOOKUP(B284, Menu!$A:$F, 5, 0)</f>
        <v>15.51</v>
      </c>
      <c r="F284" t="str">
        <f>VLOOKUP(B284, Menu!$A:$F, 3, 0)</f>
        <v>Snack</v>
      </c>
      <c r="G284" s="5">
        <f>VLOOKUP(A284, Orders!$A:$B, 2, 0)</f>
        <v>45860.764872685177</v>
      </c>
      <c r="H284" t="str">
        <f>VLOOKUP(A284, Orders!$A:$C, 3, 0)</f>
        <v>Plant 2 Canteen</v>
      </c>
      <c r="I284">
        <f>C284*D284*(1-VLOOKUP(A284,Orders!$A:$G,7,0))</f>
        <v>110.26200000000001</v>
      </c>
      <c r="J284" t="str">
        <f>VLOOKUP(A284,Orders!$A:$G,6,0)</f>
        <v>Dinner</v>
      </c>
      <c r="K284" t="str">
        <f>VLOOKUP(A284,Orders!$A:$G,5,0)</f>
        <v>Cash</v>
      </c>
    </row>
    <row r="285" spans="1:11" x14ac:dyDescent="0.3">
      <c r="A285" t="s">
        <v>153</v>
      </c>
      <c r="B285" t="s">
        <v>415</v>
      </c>
      <c r="C285">
        <v>1</v>
      </c>
      <c r="D285">
        <f>VLOOKUP(B285, Menu!$A:$F, 6, 0)</f>
        <v>256.91000000000003</v>
      </c>
      <c r="E285">
        <f>VLOOKUP(B285, Menu!$A:$F, 5, 0)</f>
        <v>121.24</v>
      </c>
      <c r="F285" t="str">
        <f>VLOOKUP(B285, Menu!$A:$F, 3, 0)</f>
        <v>Hot Meal</v>
      </c>
      <c r="G285" s="5">
        <f>VLOOKUP(A285, Orders!$A:$B, 2, 0)</f>
        <v>45860.764872685177</v>
      </c>
      <c r="H285" t="str">
        <f>VLOOKUP(A285, Orders!$A:$C, 3, 0)</f>
        <v>Plant 2 Canteen</v>
      </c>
      <c r="I285">
        <f>C285*D285*(1-VLOOKUP(A285,Orders!$A:$G,7,0))</f>
        <v>236.35720000000003</v>
      </c>
      <c r="J285" t="str">
        <f>VLOOKUP(A285,Orders!$A:$G,6,0)</f>
        <v>Dinner</v>
      </c>
      <c r="K285" t="str">
        <f>VLOOKUP(A285,Orders!$A:$G,5,0)</f>
        <v>Cash</v>
      </c>
    </row>
    <row r="286" spans="1:11" x14ac:dyDescent="0.3">
      <c r="A286" t="s">
        <v>153</v>
      </c>
      <c r="B286" t="s">
        <v>404</v>
      </c>
      <c r="C286">
        <v>1</v>
      </c>
      <c r="D286">
        <f>VLOOKUP(B286, Menu!$A:$F, 6, 0)</f>
        <v>32.979999999999997</v>
      </c>
      <c r="E286">
        <f>VLOOKUP(B286, Menu!$A:$F, 5, 0)</f>
        <v>11.84</v>
      </c>
      <c r="F286" t="str">
        <f>VLOOKUP(B286, Menu!$A:$F, 3, 0)</f>
        <v>Beverage</v>
      </c>
      <c r="G286" s="5">
        <f>VLOOKUP(A286, Orders!$A:$B, 2, 0)</f>
        <v>45860.764872685177</v>
      </c>
      <c r="H286" t="str">
        <f>VLOOKUP(A286, Orders!$A:$C, 3, 0)</f>
        <v>Plant 2 Canteen</v>
      </c>
      <c r="I286">
        <f>C286*D286*(1-VLOOKUP(A286,Orders!$A:$G,7,0))</f>
        <v>30.3416</v>
      </c>
      <c r="J286" t="str">
        <f>VLOOKUP(A286,Orders!$A:$G,6,0)</f>
        <v>Dinner</v>
      </c>
      <c r="K286" t="str">
        <f>VLOOKUP(A286,Orders!$A:$G,5,0)</f>
        <v>Cash</v>
      </c>
    </row>
    <row r="287" spans="1:11" x14ac:dyDescent="0.3">
      <c r="A287" t="s">
        <v>154</v>
      </c>
      <c r="B287" t="s">
        <v>414</v>
      </c>
      <c r="C287">
        <v>2</v>
      </c>
      <c r="D287">
        <f>VLOOKUP(B287, Menu!$A:$F, 6, 0)</f>
        <v>116.8</v>
      </c>
      <c r="E287">
        <f>VLOOKUP(B287, Menu!$A:$F, 5, 0)</f>
        <v>48.97</v>
      </c>
      <c r="F287" t="str">
        <f>VLOOKUP(B287, Menu!$A:$F, 3, 0)</f>
        <v>Dessert</v>
      </c>
      <c r="G287" s="5">
        <f>VLOOKUP(A287, Orders!$A:$B, 2, 0)</f>
        <v>45895.713437500002</v>
      </c>
      <c r="H287" t="str">
        <f>VLOOKUP(A287, Orders!$A:$C, 3, 0)</f>
        <v>Plant 2 Canteen</v>
      </c>
      <c r="I287">
        <f>C287*D287*(1-VLOOKUP(A287,Orders!$A:$G,7,0))</f>
        <v>231.26399999999998</v>
      </c>
      <c r="J287" t="str">
        <f>VLOOKUP(A287,Orders!$A:$G,6,0)</f>
        <v>Dinner</v>
      </c>
      <c r="K287" t="str">
        <f>VLOOKUP(A287,Orders!$A:$G,5,0)</f>
        <v>UPI</v>
      </c>
    </row>
    <row r="288" spans="1:11" x14ac:dyDescent="0.3">
      <c r="A288" t="s">
        <v>154</v>
      </c>
      <c r="B288" t="s">
        <v>419</v>
      </c>
      <c r="C288">
        <v>3</v>
      </c>
      <c r="D288">
        <f>VLOOKUP(B288, Menu!$A:$F, 6, 0)</f>
        <v>50.19</v>
      </c>
      <c r="E288">
        <f>VLOOKUP(B288, Menu!$A:$F, 5, 0)</f>
        <v>22.61</v>
      </c>
      <c r="F288" t="str">
        <f>VLOOKUP(B288, Menu!$A:$F, 3, 0)</f>
        <v>Snack</v>
      </c>
      <c r="G288" s="5">
        <f>VLOOKUP(A288, Orders!$A:$B, 2, 0)</f>
        <v>45895.713437500002</v>
      </c>
      <c r="H288" t="str">
        <f>VLOOKUP(A288, Orders!$A:$C, 3, 0)</f>
        <v>Plant 2 Canteen</v>
      </c>
      <c r="I288">
        <f>C288*D288*(1-VLOOKUP(A288,Orders!$A:$G,7,0))</f>
        <v>149.0643</v>
      </c>
      <c r="J288" t="str">
        <f>VLOOKUP(A288,Orders!$A:$G,6,0)</f>
        <v>Dinner</v>
      </c>
      <c r="K288" t="str">
        <f>VLOOKUP(A288,Orders!$A:$G,5,0)</f>
        <v>UPI</v>
      </c>
    </row>
    <row r="289" spans="1:11" x14ac:dyDescent="0.3">
      <c r="A289" t="s">
        <v>154</v>
      </c>
      <c r="B289" t="s">
        <v>410</v>
      </c>
      <c r="C289">
        <v>3</v>
      </c>
      <c r="D289">
        <f>VLOOKUP(B289, Menu!$A:$F, 6, 0)</f>
        <v>20.11</v>
      </c>
      <c r="E289">
        <f>VLOOKUP(B289, Menu!$A:$F, 5, 0)</f>
        <v>8</v>
      </c>
      <c r="F289" t="str">
        <f>VLOOKUP(B289, Menu!$A:$F, 3, 0)</f>
        <v>Beverage</v>
      </c>
      <c r="G289" s="5">
        <f>VLOOKUP(A289, Orders!$A:$B, 2, 0)</f>
        <v>45895.713437500002</v>
      </c>
      <c r="H289" t="str">
        <f>VLOOKUP(A289, Orders!$A:$C, 3, 0)</f>
        <v>Plant 2 Canteen</v>
      </c>
      <c r="I289">
        <f>C289*D289*(1-VLOOKUP(A289,Orders!$A:$G,7,0))</f>
        <v>59.726700000000001</v>
      </c>
      <c r="J289" t="str">
        <f>VLOOKUP(A289,Orders!$A:$G,6,0)</f>
        <v>Dinner</v>
      </c>
      <c r="K289" t="str">
        <f>VLOOKUP(A289,Orders!$A:$G,5,0)</f>
        <v>UPI</v>
      </c>
    </row>
    <row r="290" spans="1:11" x14ac:dyDescent="0.3">
      <c r="A290" t="s">
        <v>154</v>
      </c>
      <c r="B290" t="s">
        <v>403</v>
      </c>
      <c r="C290">
        <v>3</v>
      </c>
      <c r="D290">
        <f>VLOOKUP(B290, Menu!$A:$F, 6, 0)</f>
        <v>76.55</v>
      </c>
      <c r="E290">
        <f>VLOOKUP(B290, Menu!$A:$F, 5, 0)</f>
        <v>38.229999999999997</v>
      </c>
      <c r="F290" t="str">
        <f>VLOOKUP(B290, Menu!$A:$F, 3, 0)</f>
        <v>Dessert</v>
      </c>
      <c r="G290" s="5">
        <f>VLOOKUP(A290, Orders!$A:$B, 2, 0)</f>
        <v>45895.713437500002</v>
      </c>
      <c r="H290" t="str">
        <f>VLOOKUP(A290, Orders!$A:$C, 3, 0)</f>
        <v>Plant 2 Canteen</v>
      </c>
      <c r="I290">
        <f>C290*D290*(1-VLOOKUP(A290,Orders!$A:$G,7,0))</f>
        <v>227.35349999999997</v>
      </c>
      <c r="J290" t="str">
        <f>VLOOKUP(A290,Orders!$A:$G,6,0)</f>
        <v>Dinner</v>
      </c>
      <c r="K290" t="str">
        <f>VLOOKUP(A290,Orders!$A:$G,5,0)</f>
        <v>UPI</v>
      </c>
    </row>
    <row r="291" spans="1:11" x14ac:dyDescent="0.3">
      <c r="A291" t="s">
        <v>155</v>
      </c>
      <c r="B291" t="s">
        <v>401</v>
      </c>
      <c r="C291">
        <v>1</v>
      </c>
      <c r="D291">
        <f>VLOOKUP(B291, Menu!$A:$F, 6, 0)</f>
        <v>52.45</v>
      </c>
      <c r="E291">
        <f>VLOOKUP(B291, Menu!$A:$F, 5, 0)</f>
        <v>25.8</v>
      </c>
      <c r="F291" t="str">
        <f>VLOOKUP(B291, Menu!$A:$F, 3, 0)</f>
        <v>Snack</v>
      </c>
      <c r="G291" s="5">
        <f>VLOOKUP(A291, Orders!$A:$B, 2, 0)</f>
        <v>45872.625532407408</v>
      </c>
      <c r="H291" t="str">
        <f>VLOOKUP(A291, Orders!$A:$C, 3, 0)</f>
        <v>Plant 2 Canteen</v>
      </c>
      <c r="I291">
        <f>C291*D291*(1-VLOOKUP(A291,Orders!$A:$G,7,0))</f>
        <v>47.729500000000002</v>
      </c>
      <c r="J291" t="str">
        <f>VLOOKUP(A291,Orders!$A:$G,6,0)</f>
        <v>Lunch</v>
      </c>
      <c r="K291" t="str">
        <f>VLOOKUP(A291,Orders!$A:$G,5,0)</f>
        <v>UPI</v>
      </c>
    </row>
    <row r="292" spans="1:11" x14ac:dyDescent="0.3">
      <c r="A292" t="s">
        <v>156</v>
      </c>
      <c r="B292" t="s">
        <v>408</v>
      </c>
      <c r="C292">
        <v>1</v>
      </c>
      <c r="D292">
        <f>VLOOKUP(B292, Menu!$A:$F, 6, 0)</f>
        <v>70.540000000000006</v>
      </c>
      <c r="E292">
        <f>VLOOKUP(B292, Menu!$A:$F, 5, 0)</f>
        <v>35.81</v>
      </c>
      <c r="F292" t="str">
        <f>VLOOKUP(B292, Menu!$A:$F, 3, 0)</f>
        <v>Snack</v>
      </c>
      <c r="G292" s="5">
        <f>VLOOKUP(A292, Orders!$A:$B, 2, 0)</f>
        <v>45873.407407407409</v>
      </c>
      <c r="H292" t="str">
        <f>VLOOKUP(A292, Orders!$A:$C, 3, 0)</f>
        <v>Head Office Café</v>
      </c>
      <c r="I292">
        <f>C292*D292*(1-VLOOKUP(A292,Orders!$A:$G,7,0))</f>
        <v>69.129200000000012</v>
      </c>
      <c r="J292" t="str">
        <f>VLOOKUP(A292,Orders!$A:$G,6,0)</f>
        <v>Breakfast</v>
      </c>
      <c r="K292" t="str">
        <f>VLOOKUP(A292,Orders!$A:$G,5,0)</f>
        <v>Card</v>
      </c>
    </row>
    <row r="293" spans="1:11" x14ac:dyDescent="0.3">
      <c r="A293" t="s">
        <v>157</v>
      </c>
      <c r="B293" t="s">
        <v>410</v>
      </c>
      <c r="C293">
        <v>1</v>
      </c>
      <c r="D293">
        <f>VLOOKUP(B293, Menu!$A:$F, 6, 0)</f>
        <v>20.11</v>
      </c>
      <c r="E293">
        <f>VLOOKUP(B293, Menu!$A:$F, 5, 0)</f>
        <v>8</v>
      </c>
      <c r="F293" t="str">
        <f>VLOOKUP(B293, Menu!$A:$F, 3, 0)</f>
        <v>Beverage</v>
      </c>
      <c r="G293" s="5">
        <f>VLOOKUP(A293, Orders!$A:$B, 2, 0)</f>
        <v>45863.658865740741</v>
      </c>
      <c r="H293" t="str">
        <f>VLOOKUP(A293, Orders!$A:$C, 3, 0)</f>
        <v>Plant 1 Canteen</v>
      </c>
      <c r="I293">
        <f>C293*D293*(1-VLOOKUP(A293,Orders!$A:$G,7,0))</f>
        <v>18.3001</v>
      </c>
      <c r="J293" t="str">
        <f>VLOOKUP(A293,Orders!$A:$G,6,0)</f>
        <v>Lunch</v>
      </c>
      <c r="K293" t="str">
        <f>VLOOKUP(A293,Orders!$A:$G,5,0)</f>
        <v>UPI</v>
      </c>
    </row>
    <row r="294" spans="1:11" x14ac:dyDescent="0.3">
      <c r="A294" t="s">
        <v>157</v>
      </c>
      <c r="B294" t="s">
        <v>408</v>
      </c>
      <c r="C294">
        <v>1</v>
      </c>
      <c r="D294">
        <f>VLOOKUP(B294, Menu!$A:$F, 6, 0)</f>
        <v>70.540000000000006</v>
      </c>
      <c r="E294">
        <f>VLOOKUP(B294, Menu!$A:$F, 5, 0)</f>
        <v>35.81</v>
      </c>
      <c r="F294" t="str">
        <f>VLOOKUP(B294, Menu!$A:$F, 3, 0)</f>
        <v>Snack</v>
      </c>
      <c r="G294" s="5">
        <f>VLOOKUP(A294, Orders!$A:$B, 2, 0)</f>
        <v>45863.658865740741</v>
      </c>
      <c r="H294" t="str">
        <f>VLOOKUP(A294, Orders!$A:$C, 3, 0)</f>
        <v>Plant 1 Canteen</v>
      </c>
      <c r="I294">
        <f>C294*D294*(1-VLOOKUP(A294,Orders!$A:$G,7,0))</f>
        <v>64.191400000000002</v>
      </c>
      <c r="J294" t="str">
        <f>VLOOKUP(A294,Orders!$A:$G,6,0)</f>
        <v>Lunch</v>
      </c>
      <c r="K294" t="str">
        <f>VLOOKUP(A294,Orders!$A:$G,5,0)</f>
        <v>UPI</v>
      </c>
    </row>
    <row r="295" spans="1:11" x14ac:dyDescent="0.3">
      <c r="A295" t="s">
        <v>158</v>
      </c>
      <c r="B295" t="s">
        <v>414</v>
      </c>
      <c r="C295">
        <v>3</v>
      </c>
      <c r="D295">
        <f>VLOOKUP(B295, Menu!$A:$F, 6, 0)</f>
        <v>116.8</v>
      </c>
      <c r="E295">
        <f>VLOOKUP(B295, Menu!$A:$F, 5, 0)</f>
        <v>48.97</v>
      </c>
      <c r="F295" t="str">
        <f>VLOOKUP(B295, Menu!$A:$F, 3, 0)</f>
        <v>Dessert</v>
      </c>
      <c r="G295" s="5">
        <f>VLOOKUP(A295, Orders!$A:$B, 2, 0)</f>
        <v>45869.886666666673</v>
      </c>
      <c r="H295" t="str">
        <f>VLOOKUP(A295, Orders!$A:$C, 3, 0)</f>
        <v>Plant 1 Canteen</v>
      </c>
      <c r="I295">
        <f>C295*D295*(1-VLOOKUP(A295,Orders!$A:$G,7,0))</f>
        <v>311.85599999999999</v>
      </c>
      <c r="J295" t="str">
        <f>VLOOKUP(A295,Orders!$A:$G,6,0)</f>
        <v>Dinner</v>
      </c>
      <c r="K295" t="str">
        <f>VLOOKUP(A295,Orders!$A:$G,5,0)</f>
        <v>UPI</v>
      </c>
    </row>
    <row r="296" spans="1:11" x14ac:dyDescent="0.3">
      <c r="A296" t="s">
        <v>158</v>
      </c>
      <c r="B296" t="s">
        <v>403</v>
      </c>
      <c r="C296">
        <v>1</v>
      </c>
      <c r="D296">
        <f>VLOOKUP(B296, Menu!$A:$F, 6, 0)</f>
        <v>76.55</v>
      </c>
      <c r="E296">
        <f>VLOOKUP(B296, Menu!$A:$F, 5, 0)</f>
        <v>38.229999999999997</v>
      </c>
      <c r="F296" t="str">
        <f>VLOOKUP(B296, Menu!$A:$F, 3, 0)</f>
        <v>Dessert</v>
      </c>
      <c r="G296" s="5">
        <f>VLOOKUP(A296, Orders!$A:$B, 2, 0)</f>
        <v>45869.886666666673</v>
      </c>
      <c r="H296" t="str">
        <f>VLOOKUP(A296, Orders!$A:$C, 3, 0)</f>
        <v>Plant 1 Canteen</v>
      </c>
      <c r="I296">
        <f>C296*D296*(1-VLOOKUP(A296,Orders!$A:$G,7,0))</f>
        <v>68.129499999999993</v>
      </c>
      <c r="J296" t="str">
        <f>VLOOKUP(A296,Orders!$A:$G,6,0)</f>
        <v>Dinner</v>
      </c>
      <c r="K296" t="str">
        <f>VLOOKUP(A296,Orders!$A:$G,5,0)</f>
        <v>UPI</v>
      </c>
    </row>
    <row r="297" spans="1:11" x14ac:dyDescent="0.3">
      <c r="A297" t="s">
        <v>158</v>
      </c>
      <c r="B297" t="s">
        <v>406</v>
      </c>
      <c r="C297">
        <v>2</v>
      </c>
      <c r="D297">
        <f>VLOOKUP(B297, Menu!$A:$F, 6, 0)</f>
        <v>38.06</v>
      </c>
      <c r="E297">
        <f>VLOOKUP(B297, Menu!$A:$F, 5, 0)</f>
        <v>19.55</v>
      </c>
      <c r="F297" t="str">
        <f>VLOOKUP(B297, Menu!$A:$F, 3, 0)</f>
        <v>Snack</v>
      </c>
      <c r="G297" s="5">
        <f>VLOOKUP(A297, Orders!$A:$B, 2, 0)</f>
        <v>45869.886666666673</v>
      </c>
      <c r="H297" t="str">
        <f>VLOOKUP(A297, Orders!$A:$C, 3, 0)</f>
        <v>Plant 1 Canteen</v>
      </c>
      <c r="I297">
        <f>C297*D297*(1-VLOOKUP(A297,Orders!$A:$G,7,0))</f>
        <v>67.746800000000007</v>
      </c>
      <c r="J297" t="str">
        <f>VLOOKUP(A297,Orders!$A:$G,6,0)</f>
        <v>Dinner</v>
      </c>
      <c r="K297" t="str">
        <f>VLOOKUP(A297,Orders!$A:$G,5,0)</f>
        <v>UPI</v>
      </c>
    </row>
    <row r="298" spans="1:11" x14ac:dyDescent="0.3">
      <c r="A298" t="s">
        <v>158</v>
      </c>
      <c r="B298" t="s">
        <v>401</v>
      </c>
      <c r="C298">
        <v>2</v>
      </c>
      <c r="D298">
        <f>VLOOKUP(B298, Menu!$A:$F, 6, 0)</f>
        <v>52.45</v>
      </c>
      <c r="E298">
        <f>VLOOKUP(B298, Menu!$A:$F, 5, 0)</f>
        <v>25.8</v>
      </c>
      <c r="F298" t="str">
        <f>VLOOKUP(B298, Menu!$A:$F, 3, 0)</f>
        <v>Snack</v>
      </c>
      <c r="G298" s="5">
        <f>VLOOKUP(A298, Orders!$A:$B, 2, 0)</f>
        <v>45869.886666666673</v>
      </c>
      <c r="H298" t="str">
        <f>VLOOKUP(A298, Orders!$A:$C, 3, 0)</f>
        <v>Plant 1 Canteen</v>
      </c>
      <c r="I298">
        <f>C298*D298*(1-VLOOKUP(A298,Orders!$A:$G,7,0))</f>
        <v>93.361000000000004</v>
      </c>
      <c r="J298" t="str">
        <f>VLOOKUP(A298,Orders!$A:$G,6,0)</f>
        <v>Dinner</v>
      </c>
      <c r="K298" t="str">
        <f>VLOOKUP(A298,Orders!$A:$G,5,0)</f>
        <v>UPI</v>
      </c>
    </row>
    <row r="299" spans="1:11" x14ac:dyDescent="0.3">
      <c r="A299" t="s">
        <v>159</v>
      </c>
      <c r="B299" t="s">
        <v>415</v>
      </c>
      <c r="C299">
        <v>1</v>
      </c>
      <c r="D299">
        <f>VLOOKUP(B299, Menu!$A:$F, 6, 0)</f>
        <v>256.91000000000003</v>
      </c>
      <c r="E299">
        <f>VLOOKUP(B299, Menu!$A:$F, 5, 0)</f>
        <v>121.24</v>
      </c>
      <c r="F299" t="str">
        <f>VLOOKUP(B299, Menu!$A:$F, 3, 0)</f>
        <v>Hot Meal</v>
      </c>
      <c r="G299" s="5">
        <f>VLOOKUP(A299, Orders!$A:$B, 2, 0)</f>
        <v>45857.846782407411</v>
      </c>
      <c r="H299" t="str">
        <f>VLOOKUP(A299, Orders!$A:$C, 3, 0)</f>
        <v>Plant 1 Canteen</v>
      </c>
      <c r="I299">
        <f>C299*D299*(1-VLOOKUP(A299,Orders!$A:$G,7,0))</f>
        <v>249.20270000000002</v>
      </c>
      <c r="J299" t="str">
        <f>VLOOKUP(A299,Orders!$A:$G,6,0)</f>
        <v>Dinner</v>
      </c>
      <c r="K299" t="str">
        <f>VLOOKUP(A299,Orders!$A:$G,5,0)</f>
        <v>Card</v>
      </c>
    </row>
    <row r="300" spans="1:11" x14ac:dyDescent="0.3">
      <c r="A300" t="s">
        <v>159</v>
      </c>
      <c r="B300" t="s">
        <v>402</v>
      </c>
      <c r="C300">
        <v>1</v>
      </c>
      <c r="D300">
        <f>VLOOKUP(B300, Menu!$A:$F, 6, 0)</f>
        <v>30.34</v>
      </c>
      <c r="E300">
        <f>VLOOKUP(B300, Menu!$A:$F, 5, 0)</f>
        <v>14.18</v>
      </c>
      <c r="F300" t="str">
        <f>VLOOKUP(B300, Menu!$A:$F, 3, 0)</f>
        <v>Beverage</v>
      </c>
      <c r="G300" s="5">
        <f>VLOOKUP(A300, Orders!$A:$B, 2, 0)</f>
        <v>45857.846782407411</v>
      </c>
      <c r="H300" t="str">
        <f>VLOOKUP(A300, Orders!$A:$C, 3, 0)</f>
        <v>Plant 1 Canteen</v>
      </c>
      <c r="I300">
        <f>C300*D300*(1-VLOOKUP(A300,Orders!$A:$G,7,0))</f>
        <v>29.4298</v>
      </c>
      <c r="J300" t="str">
        <f>VLOOKUP(A300,Orders!$A:$G,6,0)</f>
        <v>Dinner</v>
      </c>
      <c r="K300" t="str">
        <f>VLOOKUP(A300,Orders!$A:$G,5,0)</f>
        <v>Card</v>
      </c>
    </row>
    <row r="301" spans="1:11" x14ac:dyDescent="0.3">
      <c r="A301" t="s">
        <v>159</v>
      </c>
      <c r="B301" t="s">
        <v>412</v>
      </c>
      <c r="C301">
        <v>2</v>
      </c>
      <c r="D301">
        <f>VLOOKUP(B301, Menu!$A:$F, 6, 0)</f>
        <v>57.07</v>
      </c>
      <c r="E301">
        <f>VLOOKUP(B301, Menu!$A:$F, 5, 0)</f>
        <v>29.14</v>
      </c>
      <c r="F301" t="str">
        <f>VLOOKUP(B301, Menu!$A:$F, 3, 0)</f>
        <v>Dessert</v>
      </c>
      <c r="G301" s="5">
        <f>VLOOKUP(A301, Orders!$A:$B, 2, 0)</f>
        <v>45857.846782407411</v>
      </c>
      <c r="H301" t="str">
        <f>VLOOKUP(A301, Orders!$A:$C, 3, 0)</f>
        <v>Plant 1 Canteen</v>
      </c>
      <c r="I301">
        <f>C301*D301*(1-VLOOKUP(A301,Orders!$A:$G,7,0))</f>
        <v>110.7158</v>
      </c>
      <c r="J301" t="str">
        <f>VLOOKUP(A301,Orders!$A:$G,6,0)</f>
        <v>Dinner</v>
      </c>
      <c r="K301" t="str">
        <f>VLOOKUP(A301,Orders!$A:$G,5,0)</f>
        <v>Card</v>
      </c>
    </row>
    <row r="302" spans="1:11" x14ac:dyDescent="0.3">
      <c r="A302" t="s">
        <v>159</v>
      </c>
      <c r="B302" t="s">
        <v>414</v>
      </c>
      <c r="C302">
        <v>2</v>
      </c>
      <c r="D302">
        <f>VLOOKUP(B302, Menu!$A:$F, 6, 0)</f>
        <v>116.8</v>
      </c>
      <c r="E302">
        <f>VLOOKUP(B302, Menu!$A:$F, 5, 0)</f>
        <v>48.97</v>
      </c>
      <c r="F302" t="str">
        <f>VLOOKUP(B302, Menu!$A:$F, 3, 0)</f>
        <v>Dessert</v>
      </c>
      <c r="G302" s="5">
        <f>VLOOKUP(A302, Orders!$A:$B, 2, 0)</f>
        <v>45857.846782407411</v>
      </c>
      <c r="H302" t="str">
        <f>VLOOKUP(A302, Orders!$A:$C, 3, 0)</f>
        <v>Plant 1 Canteen</v>
      </c>
      <c r="I302">
        <f>C302*D302*(1-VLOOKUP(A302,Orders!$A:$G,7,0))</f>
        <v>226.59199999999998</v>
      </c>
      <c r="J302" t="str">
        <f>VLOOKUP(A302,Orders!$A:$G,6,0)</f>
        <v>Dinner</v>
      </c>
      <c r="K302" t="str">
        <f>VLOOKUP(A302,Orders!$A:$G,5,0)</f>
        <v>Card</v>
      </c>
    </row>
    <row r="303" spans="1:11" x14ac:dyDescent="0.3">
      <c r="A303" t="s">
        <v>160</v>
      </c>
      <c r="B303" t="s">
        <v>417</v>
      </c>
      <c r="C303">
        <v>1</v>
      </c>
      <c r="D303">
        <f>VLOOKUP(B303, Menu!$A:$F, 6, 0)</f>
        <v>146.4</v>
      </c>
      <c r="E303">
        <f>VLOOKUP(B303, Menu!$A:$F, 5, 0)</f>
        <v>80.92</v>
      </c>
      <c r="F303" t="str">
        <f>VLOOKUP(B303, Menu!$A:$F, 3, 0)</f>
        <v>Hot Meal</v>
      </c>
      <c r="G303" s="5">
        <f>VLOOKUP(A303, Orders!$A:$B, 2, 0)</f>
        <v>45896.493206018517</v>
      </c>
      <c r="H303" t="str">
        <f>VLOOKUP(A303, Orders!$A:$C, 3, 0)</f>
        <v>Head Office Café</v>
      </c>
      <c r="I303">
        <f>C303*D303*(1-VLOOKUP(A303,Orders!$A:$G,7,0))</f>
        <v>131.76000000000002</v>
      </c>
      <c r="J303" t="str">
        <f>VLOOKUP(A303,Orders!$A:$G,6,0)</f>
        <v>Lunch</v>
      </c>
      <c r="K303" t="str">
        <f>VLOOKUP(A303,Orders!$A:$G,5,0)</f>
        <v>Card</v>
      </c>
    </row>
    <row r="304" spans="1:11" x14ac:dyDescent="0.3">
      <c r="A304" t="s">
        <v>160</v>
      </c>
      <c r="B304" t="s">
        <v>407</v>
      </c>
      <c r="C304">
        <v>3</v>
      </c>
      <c r="D304">
        <f>VLOOKUP(B304, Menu!$A:$F, 6, 0)</f>
        <v>246.09</v>
      </c>
      <c r="E304">
        <f>VLOOKUP(B304, Menu!$A:$F, 5, 0)</f>
        <v>112.08</v>
      </c>
      <c r="F304" t="str">
        <f>VLOOKUP(B304, Menu!$A:$F, 3, 0)</f>
        <v>Hot Meal</v>
      </c>
      <c r="G304" s="5">
        <f>VLOOKUP(A304, Orders!$A:$B, 2, 0)</f>
        <v>45896.493206018517</v>
      </c>
      <c r="H304" t="str">
        <f>VLOOKUP(A304, Orders!$A:$C, 3, 0)</f>
        <v>Head Office Café</v>
      </c>
      <c r="I304">
        <f>C304*D304*(1-VLOOKUP(A304,Orders!$A:$G,7,0))</f>
        <v>664.44299999999998</v>
      </c>
      <c r="J304" t="str">
        <f>VLOOKUP(A304,Orders!$A:$G,6,0)</f>
        <v>Lunch</v>
      </c>
      <c r="K304" t="str">
        <f>VLOOKUP(A304,Orders!$A:$G,5,0)</f>
        <v>Card</v>
      </c>
    </row>
    <row r="305" spans="1:11" x14ac:dyDescent="0.3">
      <c r="A305" t="s">
        <v>160</v>
      </c>
      <c r="B305" t="s">
        <v>401</v>
      </c>
      <c r="C305">
        <v>3</v>
      </c>
      <c r="D305">
        <f>VLOOKUP(B305, Menu!$A:$F, 6, 0)</f>
        <v>52.45</v>
      </c>
      <c r="E305">
        <f>VLOOKUP(B305, Menu!$A:$F, 5, 0)</f>
        <v>25.8</v>
      </c>
      <c r="F305" t="str">
        <f>VLOOKUP(B305, Menu!$A:$F, 3, 0)</f>
        <v>Snack</v>
      </c>
      <c r="G305" s="5">
        <f>VLOOKUP(A305, Orders!$A:$B, 2, 0)</f>
        <v>45896.493206018517</v>
      </c>
      <c r="H305" t="str">
        <f>VLOOKUP(A305, Orders!$A:$C, 3, 0)</f>
        <v>Head Office Café</v>
      </c>
      <c r="I305">
        <f>C305*D305*(1-VLOOKUP(A305,Orders!$A:$G,7,0))</f>
        <v>141.61500000000004</v>
      </c>
      <c r="J305" t="str">
        <f>VLOOKUP(A305,Orders!$A:$G,6,0)</f>
        <v>Lunch</v>
      </c>
      <c r="K305" t="str">
        <f>VLOOKUP(A305,Orders!$A:$G,5,0)</f>
        <v>Card</v>
      </c>
    </row>
    <row r="306" spans="1:11" x14ac:dyDescent="0.3">
      <c r="A306" t="s">
        <v>160</v>
      </c>
      <c r="B306" t="s">
        <v>413</v>
      </c>
      <c r="C306">
        <v>1</v>
      </c>
      <c r="D306">
        <f>VLOOKUP(B306, Menu!$A:$F, 6, 0)</f>
        <v>54.2</v>
      </c>
      <c r="E306">
        <f>VLOOKUP(B306, Menu!$A:$F, 5, 0)</f>
        <v>21.95</v>
      </c>
      <c r="F306" t="str">
        <f>VLOOKUP(B306, Menu!$A:$F, 3, 0)</f>
        <v>Dessert</v>
      </c>
      <c r="G306" s="5">
        <f>VLOOKUP(A306, Orders!$A:$B, 2, 0)</f>
        <v>45896.493206018517</v>
      </c>
      <c r="H306" t="str">
        <f>VLOOKUP(A306, Orders!$A:$C, 3, 0)</f>
        <v>Head Office Café</v>
      </c>
      <c r="I306">
        <f>C306*D306*(1-VLOOKUP(A306,Orders!$A:$G,7,0))</f>
        <v>48.78</v>
      </c>
      <c r="J306" t="str">
        <f>VLOOKUP(A306,Orders!$A:$G,6,0)</f>
        <v>Lunch</v>
      </c>
      <c r="K306" t="str">
        <f>VLOOKUP(A306,Orders!$A:$G,5,0)</f>
        <v>Card</v>
      </c>
    </row>
    <row r="307" spans="1:11" x14ac:dyDescent="0.3">
      <c r="A307" t="s">
        <v>161</v>
      </c>
      <c r="B307" t="s">
        <v>414</v>
      </c>
      <c r="C307">
        <v>3</v>
      </c>
      <c r="D307">
        <f>VLOOKUP(B307, Menu!$A:$F, 6, 0)</f>
        <v>116.8</v>
      </c>
      <c r="E307">
        <f>VLOOKUP(B307, Menu!$A:$F, 5, 0)</f>
        <v>48.97</v>
      </c>
      <c r="F307" t="str">
        <f>VLOOKUP(B307, Menu!$A:$F, 3, 0)</f>
        <v>Dessert</v>
      </c>
      <c r="G307" s="5">
        <f>VLOOKUP(A307, Orders!$A:$B, 2, 0)</f>
        <v>45858.096944444442</v>
      </c>
      <c r="H307" t="str">
        <f>VLOOKUP(A307, Orders!$A:$C, 3, 0)</f>
        <v>Plant 2 Canteen</v>
      </c>
      <c r="I307">
        <f>C307*D307*(1-VLOOKUP(A307,Orders!$A:$G,7,0))</f>
        <v>322.36799999999999</v>
      </c>
      <c r="J307" t="str">
        <f>VLOOKUP(A307,Orders!$A:$G,6,0)</f>
        <v>Breakfast</v>
      </c>
      <c r="K307" t="str">
        <f>VLOOKUP(A307,Orders!$A:$G,5,0)</f>
        <v>Card</v>
      </c>
    </row>
    <row r="308" spans="1:11" x14ac:dyDescent="0.3">
      <c r="A308" t="s">
        <v>161</v>
      </c>
      <c r="B308" t="s">
        <v>412</v>
      </c>
      <c r="C308">
        <v>1</v>
      </c>
      <c r="D308">
        <f>VLOOKUP(B308, Menu!$A:$F, 6, 0)</f>
        <v>57.07</v>
      </c>
      <c r="E308">
        <f>VLOOKUP(B308, Menu!$A:$F, 5, 0)</f>
        <v>29.14</v>
      </c>
      <c r="F308" t="str">
        <f>VLOOKUP(B308, Menu!$A:$F, 3, 0)</f>
        <v>Dessert</v>
      </c>
      <c r="G308" s="5">
        <f>VLOOKUP(A308, Orders!$A:$B, 2, 0)</f>
        <v>45858.096944444442</v>
      </c>
      <c r="H308" t="str">
        <f>VLOOKUP(A308, Orders!$A:$C, 3, 0)</f>
        <v>Plant 2 Canteen</v>
      </c>
      <c r="I308">
        <f>C308*D308*(1-VLOOKUP(A308,Orders!$A:$G,7,0))</f>
        <v>52.504400000000004</v>
      </c>
      <c r="J308" t="str">
        <f>VLOOKUP(A308,Orders!$A:$G,6,0)</f>
        <v>Breakfast</v>
      </c>
      <c r="K308" t="str">
        <f>VLOOKUP(A308,Orders!$A:$G,5,0)</f>
        <v>Card</v>
      </c>
    </row>
    <row r="309" spans="1:11" x14ac:dyDescent="0.3">
      <c r="A309" t="s">
        <v>161</v>
      </c>
      <c r="B309" t="s">
        <v>404</v>
      </c>
      <c r="C309">
        <v>1</v>
      </c>
      <c r="D309">
        <f>VLOOKUP(B309, Menu!$A:$F, 6, 0)</f>
        <v>32.979999999999997</v>
      </c>
      <c r="E309">
        <f>VLOOKUP(B309, Menu!$A:$F, 5, 0)</f>
        <v>11.84</v>
      </c>
      <c r="F309" t="str">
        <f>VLOOKUP(B309, Menu!$A:$F, 3, 0)</f>
        <v>Beverage</v>
      </c>
      <c r="G309" s="5">
        <f>VLOOKUP(A309, Orders!$A:$B, 2, 0)</f>
        <v>45858.096944444442</v>
      </c>
      <c r="H309" t="str">
        <f>VLOOKUP(A309, Orders!$A:$C, 3, 0)</f>
        <v>Plant 2 Canteen</v>
      </c>
      <c r="I309">
        <f>C309*D309*(1-VLOOKUP(A309,Orders!$A:$G,7,0))</f>
        <v>30.3416</v>
      </c>
      <c r="J309" t="str">
        <f>VLOOKUP(A309,Orders!$A:$G,6,0)</f>
        <v>Breakfast</v>
      </c>
      <c r="K309" t="str">
        <f>VLOOKUP(A309,Orders!$A:$G,5,0)</f>
        <v>Card</v>
      </c>
    </row>
    <row r="310" spans="1:11" x14ac:dyDescent="0.3">
      <c r="A310" t="s">
        <v>161</v>
      </c>
      <c r="B310" t="s">
        <v>407</v>
      </c>
      <c r="C310">
        <v>2</v>
      </c>
      <c r="D310">
        <f>VLOOKUP(B310, Menu!$A:$F, 6, 0)</f>
        <v>246.09</v>
      </c>
      <c r="E310">
        <f>VLOOKUP(B310, Menu!$A:$F, 5, 0)</f>
        <v>112.08</v>
      </c>
      <c r="F310" t="str">
        <f>VLOOKUP(B310, Menu!$A:$F, 3, 0)</f>
        <v>Hot Meal</v>
      </c>
      <c r="G310" s="5">
        <f>VLOOKUP(A310, Orders!$A:$B, 2, 0)</f>
        <v>45858.096944444442</v>
      </c>
      <c r="H310" t="str">
        <f>VLOOKUP(A310, Orders!$A:$C, 3, 0)</f>
        <v>Plant 2 Canteen</v>
      </c>
      <c r="I310">
        <f>C310*D310*(1-VLOOKUP(A310,Orders!$A:$G,7,0))</f>
        <v>452.80560000000003</v>
      </c>
      <c r="J310" t="str">
        <f>VLOOKUP(A310,Orders!$A:$G,6,0)</f>
        <v>Breakfast</v>
      </c>
      <c r="K310" t="str">
        <f>VLOOKUP(A310,Orders!$A:$G,5,0)</f>
        <v>Card</v>
      </c>
    </row>
    <row r="311" spans="1:11" x14ac:dyDescent="0.3">
      <c r="A311" t="s">
        <v>162</v>
      </c>
      <c r="B311" t="s">
        <v>414</v>
      </c>
      <c r="C311">
        <v>1</v>
      </c>
      <c r="D311">
        <f>VLOOKUP(B311, Menu!$A:$F, 6, 0)</f>
        <v>116.8</v>
      </c>
      <c r="E311">
        <f>VLOOKUP(B311, Menu!$A:$F, 5, 0)</f>
        <v>48.97</v>
      </c>
      <c r="F311" t="str">
        <f>VLOOKUP(B311, Menu!$A:$F, 3, 0)</f>
        <v>Dessert</v>
      </c>
      <c r="G311" s="5">
        <f>VLOOKUP(A311, Orders!$A:$B, 2, 0)</f>
        <v>45868.597268518519</v>
      </c>
      <c r="H311" t="str">
        <f>VLOOKUP(A311, Orders!$A:$C, 3, 0)</f>
        <v>Plant 1 Canteen</v>
      </c>
      <c r="I311">
        <f>C311*D311*(1-VLOOKUP(A311,Orders!$A:$G,7,0))</f>
        <v>106.288</v>
      </c>
      <c r="J311" t="str">
        <f>VLOOKUP(A311,Orders!$A:$G,6,0)</f>
        <v>Lunch</v>
      </c>
      <c r="K311" t="str">
        <f>VLOOKUP(A311,Orders!$A:$G,5,0)</f>
        <v>UPI</v>
      </c>
    </row>
    <row r="312" spans="1:11" x14ac:dyDescent="0.3">
      <c r="A312" t="s">
        <v>162</v>
      </c>
      <c r="B312" t="s">
        <v>413</v>
      </c>
      <c r="C312">
        <v>1</v>
      </c>
      <c r="D312">
        <f>VLOOKUP(B312, Menu!$A:$F, 6, 0)</f>
        <v>54.2</v>
      </c>
      <c r="E312">
        <f>VLOOKUP(B312, Menu!$A:$F, 5, 0)</f>
        <v>21.95</v>
      </c>
      <c r="F312" t="str">
        <f>VLOOKUP(B312, Menu!$A:$F, 3, 0)</f>
        <v>Dessert</v>
      </c>
      <c r="G312" s="5">
        <f>VLOOKUP(A312, Orders!$A:$B, 2, 0)</f>
        <v>45868.597268518519</v>
      </c>
      <c r="H312" t="str">
        <f>VLOOKUP(A312, Orders!$A:$C, 3, 0)</f>
        <v>Plant 1 Canteen</v>
      </c>
      <c r="I312">
        <f>C312*D312*(1-VLOOKUP(A312,Orders!$A:$G,7,0))</f>
        <v>49.322000000000003</v>
      </c>
      <c r="J312" t="str">
        <f>VLOOKUP(A312,Orders!$A:$G,6,0)</f>
        <v>Lunch</v>
      </c>
      <c r="K312" t="str">
        <f>VLOOKUP(A312,Orders!$A:$G,5,0)</f>
        <v>UPI</v>
      </c>
    </row>
    <row r="313" spans="1:11" x14ac:dyDescent="0.3">
      <c r="A313" t="s">
        <v>163</v>
      </c>
      <c r="B313" t="s">
        <v>401</v>
      </c>
      <c r="C313">
        <v>1</v>
      </c>
      <c r="D313">
        <f>VLOOKUP(B313, Menu!$A:$F, 6, 0)</f>
        <v>52.45</v>
      </c>
      <c r="E313">
        <f>VLOOKUP(B313, Menu!$A:$F, 5, 0)</f>
        <v>25.8</v>
      </c>
      <c r="F313" t="str">
        <f>VLOOKUP(B313, Menu!$A:$F, 3, 0)</f>
        <v>Snack</v>
      </c>
      <c r="G313" s="5">
        <f>VLOOKUP(A313, Orders!$A:$B, 2, 0)</f>
        <v>45865.882986111108</v>
      </c>
      <c r="H313" t="str">
        <f>VLOOKUP(A313, Orders!$A:$C, 3, 0)</f>
        <v>Plant 1 Canteen</v>
      </c>
      <c r="I313">
        <f>C313*D313*(1-VLOOKUP(A313,Orders!$A:$G,7,0))</f>
        <v>45.106999999999999</v>
      </c>
      <c r="J313" t="str">
        <f>VLOOKUP(A313,Orders!$A:$G,6,0)</f>
        <v>Dinner</v>
      </c>
      <c r="K313" t="str">
        <f>VLOOKUP(A313,Orders!$A:$G,5,0)</f>
        <v>UPI</v>
      </c>
    </row>
    <row r="314" spans="1:11" x14ac:dyDescent="0.3">
      <c r="A314" t="s">
        <v>163</v>
      </c>
      <c r="B314" t="s">
        <v>417</v>
      </c>
      <c r="C314">
        <v>1</v>
      </c>
      <c r="D314">
        <f>VLOOKUP(B314, Menu!$A:$F, 6, 0)</f>
        <v>146.4</v>
      </c>
      <c r="E314">
        <f>VLOOKUP(B314, Menu!$A:$F, 5, 0)</f>
        <v>80.92</v>
      </c>
      <c r="F314" t="str">
        <f>VLOOKUP(B314, Menu!$A:$F, 3, 0)</f>
        <v>Hot Meal</v>
      </c>
      <c r="G314" s="5">
        <f>VLOOKUP(A314, Orders!$A:$B, 2, 0)</f>
        <v>45865.882986111108</v>
      </c>
      <c r="H314" t="str">
        <f>VLOOKUP(A314, Orders!$A:$C, 3, 0)</f>
        <v>Plant 1 Canteen</v>
      </c>
      <c r="I314">
        <f>C314*D314*(1-VLOOKUP(A314,Orders!$A:$G,7,0))</f>
        <v>125.904</v>
      </c>
      <c r="J314" t="str">
        <f>VLOOKUP(A314,Orders!$A:$G,6,0)</f>
        <v>Dinner</v>
      </c>
      <c r="K314" t="str">
        <f>VLOOKUP(A314,Orders!$A:$G,5,0)</f>
        <v>UPI</v>
      </c>
    </row>
    <row r="315" spans="1:11" x14ac:dyDescent="0.3">
      <c r="A315" t="s">
        <v>163</v>
      </c>
      <c r="B315" t="s">
        <v>412</v>
      </c>
      <c r="C315">
        <v>3</v>
      </c>
      <c r="D315">
        <f>VLOOKUP(B315, Menu!$A:$F, 6, 0)</f>
        <v>57.07</v>
      </c>
      <c r="E315">
        <f>VLOOKUP(B315, Menu!$A:$F, 5, 0)</f>
        <v>29.14</v>
      </c>
      <c r="F315" t="str">
        <f>VLOOKUP(B315, Menu!$A:$F, 3, 0)</f>
        <v>Dessert</v>
      </c>
      <c r="G315" s="5">
        <f>VLOOKUP(A315, Orders!$A:$B, 2, 0)</f>
        <v>45865.882986111108</v>
      </c>
      <c r="H315" t="str">
        <f>VLOOKUP(A315, Orders!$A:$C, 3, 0)</f>
        <v>Plant 1 Canteen</v>
      </c>
      <c r="I315">
        <f>C315*D315*(1-VLOOKUP(A315,Orders!$A:$G,7,0))</f>
        <v>147.2406</v>
      </c>
      <c r="J315" t="str">
        <f>VLOOKUP(A315,Orders!$A:$G,6,0)</f>
        <v>Dinner</v>
      </c>
      <c r="K315" t="str">
        <f>VLOOKUP(A315,Orders!$A:$G,5,0)</f>
        <v>UPI</v>
      </c>
    </row>
    <row r="316" spans="1:11" x14ac:dyDescent="0.3">
      <c r="A316" t="s">
        <v>164</v>
      </c>
      <c r="B316" t="s">
        <v>408</v>
      </c>
      <c r="C316">
        <v>2</v>
      </c>
      <c r="D316">
        <f>VLOOKUP(B316, Menu!$A:$F, 6, 0)</f>
        <v>70.540000000000006</v>
      </c>
      <c r="E316">
        <f>VLOOKUP(B316, Menu!$A:$F, 5, 0)</f>
        <v>35.81</v>
      </c>
      <c r="F316" t="str">
        <f>VLOOKUP(B316, Menu!$A:$F, 3, 0)</f>
        <v>Snack</v>
      </c>
      <c r="G316" s="5">
        <f>VLOOKUP(A316, Orders!$A:$B, 2, 0)</f>
        <v>45851.510520833333</v>
      </c>
      <c r="H316" t="str">
        <f>VLOOKUP(A316, Orders!$A:$C, 3, 0)</f>
        <v>Head Office Café</v>
      </c>
      <c r="I316">
        <f>C316*D316*(1-VLOOKUP(A316,Orders!$A:$G,7,0))</f>
        <v>134.02600000000001</v>
      </c>
      <c r="J316" t="str">
        <f>VLOOKUP(A316,Orders!$A:$G,6,0)</f>
        <v>Lunch</v>
      </c>
      <c r="K316" t="str">
        <f>VLOOKUP(A316,Orders!$A:$G,5,0)</f>
        <v>Cash</v>
      </c>
    </row>
    <row r="317" spans="1:11" x14ac:dyDescent="0.3">
      <c r="A317" t="s">
        <v>164</v>
      </c>
      <c r="B317" t="s">
        <v>402</v>
      </c>
      <c r="C317">
        <v>2</v>
      </c>
      <c r="D317">
        <f>VLOOKUP(B317, Menu!$A:$F, 6, 0)</f>
        <v>30.34</v>
      </c>
      <c r="E317">
        <f>VLOOKUP(B317, Menu!$A:$F, 5, 0)</f>
        <v>14.18</v>
      </c>
      <c r="F317" t="str">
        <f>VLOOKUP(B317, Menu!$A:$F, 3, 0)</f>
        <v>Beverage</v>
      </c>
      <c r="G317" s="5">
        <f>VLOOKUP(A317, Orders!$A:$B, 2, 0)</f>
        <v>45851.510520833333</v>
      </c>
      <c r="H317" t="str">
        <f>VLOOKUP(A317, Orders!$A:$C, 3, 0)</f>
        <v>Head Office Café</v>
      </c>
      <c r="I317">
        <f>C317*D317*(1-VLOOKUP(A317,Orders!$A:$G,7,0))</f>
        <v>57.645999999999994</v>
      </c>
      <c r="J317" t="str">
        <f>VLOOKUP(A317,Orders!$A:$G,6,0)</f>
        <v>Lunch</v>
      </c>
      <c r="K317" t="str">
        <f>VLOOKUP(A317,Orders!$A:$G,5,0)</f>
        <v>Cash</v>
      </c>
    </row>
    <row r="318" spans="1:11" x14ac:dyDescent="0.3">
      <c r="A318" t="s">
        <v>165</v>
      </c>
      <c r="B318" t="s">
        <v>408</v>
      </c>
      <c r="C318">
        <v>2</v>
      </c>
      <c r="D318">
        <f>VLOOKUP(B318, Menu!$A:$F, 6, 0)</f>
        <v>70.540000000000006</v>
      </c>
      <c r="E318">
        <f>VLOOKUP(B318, Menu!$A:$F, 5, 0)</f>
        <v>35.81</v>
      </c>
      <c r="F318" t="str">
        <f>VLOOKUP(B318, Menu!$A:$F, 3, 0)</f>
        <v>Snack</v>
      </c>
      <c r="G318" s="5">
        <f>VLOOKUP(A318, Orders!$A:$B, 2, 0)</f>
        <v>45894.98609953704</v>
      </c>
      <c r="H318" t="str">
        <f>VLOOKUP(A318, Orders!$A:$C, 3, 0)</f>
        <v>Plant 2 Canteen</v>
      </c>
      <c r="I318">
        <f>C318*D318*(1-VLOOKUP(A318,Orders!$A:$G,7,0))</f>
        <v>136.8476</v>
      </c>
      <c r="J318" t="str">
        <f>VLOOKUP(A318,Orders!$A:$G,6,0)</f>
        <v>Dinner</v>
      </c>
      <c r="K318" t="str">
        <f>VLOOKUP(A318,Orders!$A:$G,5,0)</f>
        <v>Card</v>
      </c>
    </row>
    <row r="319" spans="1:11" x14ac:dyDescent="0.3">
      <c r="A319" t="s">
        <v>165</v>
      </c>
      <c r="B319" t="s">
        <v>415</v>
      </c>
      <c r="C319">
        <v>2</v>
      </c>
      <c r="D319">
        <f>VLOOKUP(B319, Menu!$A:$F, 6, 0)</f>
        <v>256.91000000000003</v>
      </c>
      <c r="E319">
        <f>VLOOKUP(B319, Menu!$A:$F, 5, 0)</f>
        <v>121.24</v>
      </c>
      <c r="F319" t="str">
        <f>VLOOKUP(B319, Menu!$A:$F, 3, 0)</f>
        <v>Hot Meal</v>
      </c>
      <c r="G319" s="5">
        <f>VLOOKUP(A319, Orders!$A:$B, 2, 0)</f>
        <v>45894.98609953704</v>
      </c>
      <c r="H319" t="str">
        <f>VLOOKUP(A319, Orders!$A:$C, 3, 0)</f>
        <v>Plant 2 Canteen</v>
      </c>
      <c r="I319">
        <f>C319*D319*(1-VLOOKUP(A319,Orders!$A:$G,7,0))</f>
        <v>498.40540000000004</v>
      </c>
      <c r="J319" t="str">
        <f>VLOOKUP(A319,Orders!$A:$G,6,0)</f>
        <v>Dinner</v>
      </c>
      <c r="K319" t="str">
        <f>VLOOKUP(A319,Orders!$A:$G,5,0)</f>
        <v>Card</v>
      </c>
    </row>
    <row r="320" spans="1:11" x14ac:dyDescent="0.3">
      <c r="A320" t="s">
        <v>165</v>
      </c>
      <c r="B320" t="s">
        <v>404</v>
      </c>
      <c r="C320">
        <v>2</v>
      </c>
      <c r="D320">
        <f>VLOOKUP(B320, Menu!$A:$F, 6, 0)</f>
        <v>32.979999999999997</v>
      </c>
      <c r="E320">
        <f>VLOOKUP(B320, Menu!$A:$F, 5, 0)</f>
        <v>11.84</v>
      </c>
      <c r="F320" t="str">
        <f>VLOOKUP(B320, Menu!$A:$F, 3, 0)</f>
        <v>Beverage</v>
      </c>
      <c r="G320" s="5">
        <f>VLOOKUP(A320, Orders!$A:$B, 2, 0)</f>
        <v>45894.98609953704</v>
      </c>
      <c r="H320" t="str">
        <f>VLOOKUP(A320, Orders!$A:$C, 3, 0)</f>
        <v>Plant 2 Canteen</v>
      </c>
      <c r="I320">
        <f>C320*D320*(1-VLOOKUP(A320,Orders!$A:$G,7,0))</f>
        <v>63.981199999999994</v>
      </c>
      <c r="J320" t="str">
        <f>VLOOKUP(A320,Orders!$A:$G,6,0)</f>
        <v>Dinner</v>
      </c>
      <c r="K320" t="str">
        <f>VLOOKUP(A320,Orders!$A:$G,5,0)</f>
        <v>Card</v>
      </c>
    </row>
    <row r="321" spans="1:11" x14ac:dyDescent="0.3">
      <c r="A321" t="s">
        <v>166</v>
      </c>
      <c r="B321" t="s">
        <v>405</v>
      </c>
      <c r="C321">
        <v>2</v>
      </c>
      <c r="D321">
        <f>VLOOKUP(B321, Menu!$A:$F, 6, 0)</f>
        <v>170.83</v>
      </c>
      <c r="E321">
        <f>VLOOKUP(B321, Menu!$A:$F, 5, 0)</f>
        <v>74.069999999999993</v>
      </c>
      <c r="F321" t="str">
        <f>VLOOKUP(B321, Menu!$A:$F, 3, 0)</f>
        <v>Hot Meal</v>
      </c>
      <c r="G321" s="5">
        <f>VLOOKUP(A321, Orders!$A:$B, 2, 0)</f>
        <v>45872.329259259262</v>
      </c>
      <c r="H321" t="str">
        <f>VLOOKUP(A321, Orders!$A:$C, 3, 0)</f>
        <v>Plant 1 Canteen</v>
      </c>
      <c r="I321">
        <f>C321*D321*(1-VLOOKUP(A321,Orders!$A:$G,7,0))</f>
        <v>334.82679999999999</v>
      </c>
      <c r="J321" t="str">
        <f>VLOOKUP(A321,Orders!$A:$G,6,0)</f>
        <v>Breakfast</v>
      </c>
      <c r="K321" t="str">
        <f>VLOOKUP(A321,Orders!$A:$G,5,0)</f>
        <v>Card</v>
      </c>
    </row>
    <row r="322" spans="1:11" x14ac:dyDescent="0.3">
      <c r="A322" t="s">
        <v>166</v>
      </c>
      <c r="B322" t="s">
        <v>413</v>
      </c>
      <c r="C322">
        <v>3</v>
      </c>
      <c r="D322">
        <f>VLOOKUP(B322, Menu!$A:$F, 6, 0)</f>
        <v>54.2</v>
      </c>
      <c r="E322">
        <f>VLOOKUP(B322, Menu!$A:$F, 5, 0)</f>
        <v>21.95</v>
      </c>
      <c r="F322" t="str">
        <f>VLOOKUP(B322, Menu!$A:$F, 3, 0)</f>
        <v>Dessert</v>
      </c>
      <c r="G322" s="5">
        <f>VLOOKUP(A322, Orders!$A:$B, 2, 0)</f>
        <v>45872.329259259262</v>
      </c>
      <c r="H322" t="str">
        <f>VLOOKUP(A322, Orders!$A:$C, 3, 0)</f>
        <v>Plant 1 Canteen</v>
      </c>
      <c r="I322">
        <f>C322*D322*(1-VLOOKUP(A322,Orders!$A:$G,7,0))</f>
        <v>159.34800000000001</v>
      </c>
      <c r="J322" t="str">
        <f>VLOOKUP(A322,Orders!$A:$G,6,0)</f>
        <v>Breakfast</v>
      </c>
      <c r="K322" t="str">
        <f>VLOOKUP(A322,Orders!$A:$G,5,0)</f>
        <v>Card</v>
      </c>
    </row>
    <row r="323" spans="1:11" x14ac:dyDescent="0.3">
      <c r="A323" t="s">
        <v>166</v>
      </c>
      <c r="B323" t="s">
        <v>407</v>
      </c>
      <c r="C323">
        <v>1</v>
      </c>
      <c r="D323">
        <f>VLOOKUP(B323, Menu!$A:$F, 6, 0)</f>
        <v>246.09</v>
      </c>
      <c r="E323">
        <f>VLOOKUP(B323, Menu!$A:$F, 5, 0)</f>
        <v>112.08</v>
      </c>
      <c r="F323" t="str">
        <f>VLOOKUP(B323, Menu!$A:$F, 3, 0)</f>
        <v>Hot Meal</v>
      </c>
      <c r="G323" s="5">
        <f>VLOOKUP(A323, Orders!$A:$B, 2, 0)</f>
        <v>45872.329259259262</v>
      </c>
      <c r="H323" t="str">
        <f>VLOOKUP(A323, Orders!$A:$C, 3, 0)</f>
        <v>Plant 1 Canteen</v>
      </c>
      <c r="I323">
        <f>C323*D323*(1-VLOOKUP(A323,Orders!$A:$G,7,0))</f>
        <v>241.16820000000001</v>
      </c>
      <c r="J323" t="str">
        <f>VLOOKUP(A323,Orders!$A:$G,6,0)</f>
        <v>Breakfast</v>
      </c>
      <c r="K323" t="str">
        <f>VLOOKUP(A323,Orders!$A:$G,5,0)</f>
        <v>Card</v>
      </c>
    </row>
    <row r="324" spans="1:11" x14ac:dyDescent="0.3">
      <c r="A324" t="s">
        <v>167</v>
      </c>
      <c r="B324" t="s">
        <v>414</v>
      </c>
      <c r="C324">
        <v>1</v>
      </c>
      <c r="D324">
        <f>VLOOKUP(B324, Menu!$A:$F, 6, 0)</f>
        <v>116.8</v>
      </c>
      <c r="E324">
        <f>VLOOKUP(B324, Menu!$A:$F, 5, 0)</f>
        <v>48.97</v>
      </c>
      <c r="F324" t="str">
        <f>VLOOKUP(B324, Menu!$A:$F, 3, 0)</f>
        <v>Dessert</v>
      </c>
      <c r="G324" s="5">
        <f>VLOOKUP(A324, Orders!$A:$B, 2, 0)</f>
        <v>45850.32675925926</v>
      </c>
      <c r="H324" t="str">
        <f>VLOOKUP(A324, Orders!$A:$C, 3, 0)</f>
        <v>Plant 1 Canteen</v>
      </c>
      <c r="I324">
        <f>C324*D324*(1-VLOOKUP(A324,Orders!$A:$G,7,0))</f>
        <v>113.29599999999999</v>
      </c>
      <c r="J324" t="str">
        <f>VLOOKUP(A324,Orders!$A:$G,6,0)</f>
        <v>Breakfast</v>
      </c>
      <c r="K324" t="str">
        <f>VLOOKUP(A324,Orders!$A:$G,5,0)</f>
        <v>Card</v>
      </c>
    </row>
    <row r="325" spans="1:11" x14ac:dyDescent="0.3">
      <c r="A325" t="s">
        <v>167</v>
      </c>
      <c r="B325" t="s">
        <v>403</v>
      </c>
      <c r="C325">
        <v>3</v>
      </c>
      <c r="D325">
        <f>VLOOKUP(B325, Menu!$A:$F, 6, 0)</f>
        <v>76.55</v>
      </c>
      <c r="E325">
        <f>VLOOKUP(B325, Menu!$A:$F, 5, 0)</f>
        <v>38.229999999999997</v>
      </c>
      <c r="F325" t="str">
        <f>VLOOKUP(B325, Menu!$A:$F, 3, 0)</f>
        <v>Dessert</v>
      </c>
      <c r="G325" s="5">
        <f>VLOOKUP(A325, Orders!$A:$B, 2, 0)</f>
        <v>45850.32675925926</v>
      </c>
      <c r="H325" t="str">
        <f>VLOOKUP(A325, Orders!$A:$C, 3, 0)</f>
        <v>Plant 1 Canteen</v>
      </c>
      <c r="I325">
        <f>C325*D325*(1-VLOOKUP(A325,Orders!$A:$G,7,0))</f>
        <v>222.76049999999998</v>
      </c>
      <c r="J325" t="str">
        <f>VLOOKUP(A325,Orders!$A:$G,6,0)</f>
        <v>Breakfast</v>
      </c>
      <c r="K325" t="str">
        <f>VLOOKUP(A325,Orders!$A:$G,5,0)</f>
        <v>Card</v>
      </c>
    </row>
    <row r="326" spans="1:11" x14ac:dyDescent="0.3">
      <c r="A326" t="s">
        <v>167</v>
      </c>
      <c r="B326" t="s">
        <v>408</v>
      </c>
      <c r="C326">
        <v>1</v>
      </c>
      <c r="D326">
        <f>VLOOKUP(B326, Menu!$A:$F, 6, 0)</f>
        <v>70.540000000000006</v>
      </c>
      <c r="E326">
        <f>VLOOKUP(B326, Menu!$A:$F, 5, 0)</f>
        <v>35.81</v>
      </c>
      <c r="F326" t="str">
        <f>VLOOKUP(B326, Menu!$A:$F, 3, 0)</f>
        <v>Snack</v>
      </c>
      <c r="G326" s="5">
        <f>VLOOKUP(A326, Orders!$A:$B, 2, 0)</f>
        <v>45850.32675925926</v>
      </c>
      <c r="H326" t="str">
        <f>VLOOKUP(A326, Orders!$A:$C, 3, 0)</f>
        <v>Plant 1 Canteen</v>
      </c>
      <c r="I326">
        <f>C326*D326*(1-VLOOKUP(A326,Orders!$A:$G,7,0))</f>
        <v>68.4238</v>
      </c>
      <c r="J326" t="str">
        <f>VLOOKUP(A326,Orders!$A:$G,6,0)</f>
        <v>Breakfast</v>
      </c>
      <c r="K326" t="str">
        <f>VLOOKUP(A326,Orders!$A:$G,5,0)</f>
        <v>Card</v>
      </c>
    </row>
    <row r="327" spans="1:11" x14ac:dyDescent="0.3">
      <c r="A327" t="s">
        <v>168</v>
      </c>
      <c r="B327" t="s">
        <v>415</v>
      </c>
      <c r="C327">
        <v>1</v>
      </c>
      <c r="D327">
        <f>VLOOKUP(B327, Menu!$A:$F, 6, 0)</f>
        <v>256.91000000000003</v>
      </c>
      <c r="E327">
        <f>VLOOKUP(B327, Menu!$A:$F, 5, 0)</f>
        <v>121.24</v>
      </c>
      <c r="F327" t="str">
        <f>VLOOKUP(B327, Menu!$A:$F, 3, 0)</f>
        <v>Hot Meal</v>
      </c>
      <c r="G327" s="5">
        <f>VLOOKUP(A327, Orders!$A:$B, 2, 0)</f>
        <v>45895.273194444453</v>
      </c>
      <c r="H327" t="str">
        <f>VLOOKUP(A327, Orders!$A:$C, 3, 0)</f>
        <v>Head Office Café</v>
      </c>
      <c r="I327">
        <f>C327*D327*(1-VLOOKUP(A327,Orders!$A:$G,7,0))</f>
        <v>241.49540000000002</v>
      </c>
      <c r="J327" t="str">
        <f>VLOOKUP(A327,Orders!$A:$G,6,0)</f>
        <v>Breakfast</v>
      </c>
      <c r="K327" t="str">
        <f>VLOOKUP(A327,Orders!$A:$G,5,0)</f>
        <v>Cash</v>
      </c>
    </row>
    <row r="328" spans="1:11" x14ac:dyDescent="0.3">
      <c r="A328" t="s">
        <v>168</v>
      </c>
      <c r="B328" t="s">
        <v>417</v>
      </c>
      <c r="C328">
        <v>1</v>
      </c>
      <c r="D328">
        <f>VLOOKUP(B328, Menu!$A:$F, 6, 0)</f>
        <v>146.4</v>
      </c>
      <c r="E328">
        <f>VLOOKUP(B328, Menu!$A:$F, 5, 0)</f>
        <v>80.92</v>
      </c>
      <c r="F328" t="str">
        <f>VLOOKUP(B328, Menu!$A:$F, 3, 0)</f>
        <v>Hot Meal</v>
      </c>
      <c r="G328" s="5">
        <f>VLOOKUP(A328, Orders!$A:$B, 2, 0)</f>
        <v>45895.273194444453</v>
      </c>
      <c r="H328" t="str">
        <f>VLOOKUP(A328, Orders!$A:$C, 3, 0)</f>
        <v>Head Office Café</v>
      </c>
      <c r="I328">
        <f>C328*D328*(1-VLOOKUP(A328,Orders!$A:$G,7,0))</f>
        <v>137.61599999999999</v>
      </c>
      <c r="J328" t="str">
        <f>VLOOKUP(A328,Orders!$A:$G,6,0)</f>
        <v>Breakfast</v>
      </c>
      <c r="K328" t="str">
        <f>VLOOKUP(A328,Orders!$A:$G,5,0)</f>
        <v>Cash</v>
      </c>
    </row>
    <row r="329" spans="1:11" x14ac:dyDescent="0.3">
      <c r="A329" t="s">
        <v>168</v>
      </c>
      <c r="B329" t="s">
        <v>409</v>
      </c>
      <c r="C329">
        <v>2</v>
      </c>
      <c r="D329">
        <f>VLOOKUP(B329, Menu!$A:$F, 6, 0)</f>
        <v>28.43</v>
      </c>
      <c r="E329">
        <f>VLOOKUP(B329, Menu!$A:$F, 5, 0)</f>
        <v>13.89</v>
      </c>
      <c r="F329" t="str">
        <f>VLOOKUP(B329, Menu!$A:$F, 3, 0)</f>
        <v>Beverage</v>
      </c>
      <c r="G329" s="5">
        <f>VLOOKUP(A329, Orders!$A:$B, 2, 0)</f>
        <v>45895.273194444453</v>
      </c>
      <c r="H329" t="str">
        <f>VLOOKUP(A329, Orders!$A:$C, 3, 0)</f>
        <v>Head Office Café</v>
      </c>
      <c r="I329">
        <f>C329*D329*(1-VLOOKUP(A329,Orders!$A:$G,7,0))</f>
        <v>53.448399999999999</v>
      </c>
      <c r="J329" t="str">
        <f>VLOOKUP(A329,Orders!$A:$G,6,0)</f>
        <v>Breakfast</v>
      </c>
      <c r="K329" t="str">
        <f>VLOOKUP(A329,Orders!$A:$G,5,0)</f>
        <v>Cash</v>
      </c>
    </row>
    <row r="330" spans="1:11" x14ac:dyDescent="0.3">
      <c r="A330" t="s">
        <v>168</v>
      </c>
      <c r="B330" t="s">
        <v>405</v>
      </c>
      <c r="C330">
        <v>1</v>
      </c>
      <c r="D330">
        <f>VLOOKUP(B330, Menu!$A:$F, 6, 0)</f>
        <v>170.83</v>
      </c>
      <c r="E330">
        <f>VLOOKUP(B330, Menu!$A:$F, 5, 0)</f>
        <v>74.069999999999993</v>
      </c>
      <c r="F330" t="str">
        <f>VLOOKUP(B330, Menu!$A:$F, 3, 0)</f>
        <v>Hot Meal</v>
      </c>
      <c r="G330" s="5">
        <f>VLOOKUP(A330, Orders!$A:$B, 2, 0)</f>
        <v>45895.273194444453</v>
      </c>
      <c r="H330" t="str">
        <f>VLOOKUP(A330, Orders!$A:$C, 3, 0)</f>
        <v>Head Office Café</v>
      </c>
      <c r="I330">
        <f>C330*D330*(1-VLOOKUP(A330,Orders!$A:$G,7,0))</f>
        <v>160.58019999999999</v>
      </c>
      <c r="J330" t="str">
        <f>VLOOKUP(A330,Orders!$A:$G,6,0)</f>
        <v>Breakfast</v>
      </c>
      <c r="K330" t="str">
        <f>VLOOKUP(A330,Orders!$A:$G,5,0)</f>
        <v>Cash</v>
      </c>
    </row>
    <row r="331" spans="1:11" x14ac:dyDescent="0.3">
      <c r="A331" t="s">
        <v>169</v>
      </c>
      <c r="B331" t="s">
        <v>415</v>
      </c>
      <c r="C331">
        <v>1</v>
      </c>
      <c r="D331">
        <f>VLOOKUP(B331, Menu!$A:$F, 6, 0)</f>
        <v>256.91000000000003</v>
      </c>
      <c r="E331">
        <f>VLOOKUP(B331, Menu!$A:$F, 5, 0)</f>
        <v>121.24</v>
      </c>
      <c r="F331" t="str">
        <f>VLOOKUP(B331, Menu!$A:$F, 3, 0)</f>
        <v>Hot Meal</v>
      </c>
      <c r="G331" s="5">
        <f>VLOOKUP(A331, Orders!$A:$B, 2, 0)</f>
        <v>45853.735648148147</v>
      </c>
      <c r="H331" t="str">
        <f>VLOOKUP(A331, Orders!$A:$C, 3, 0)</f>
        <v>Head Office Café</v>
      </c>
      <c r="I331">
        <f>C331*D331*(1-VLOOKUP(A331,Orders!$A:$G,7,0))</f>
        <v>238.9263</v>
      </c>
      <c r="J331" t="str">
        <f>VLOOKUP(A331,Orders!$A:$G,6,0)</f>
        <v>Dinner</v>
      </c>
      <c r="K331" t="str">
        <f>VLOOKUP(A331,Orders!$A:$G,5,0)</f>
        <v>Cash</v>
      </c>
    </row>
    <row r="332" spans="1:11" x14ac:dyDescent="0.3">
      <c r="A332" t="s">
        <v>169</v>
      </c>
      <c r="B332" t="s">
        <v>414</v>
      </c>
      <c r="C332">
        <v>2</v>
      </c>
      <c r="D332">
        <f>VLOOKUP(B332, Menu!$A:$F, 6, 0)</f>
        <v>116.8</v>
      </c>
      <c r="E332">
        <f>VLOOKUP(B332, Menu!$A:$F, 5, 0)</f>
        <v>48.97</v>
      </c>
      <c r="F332" t="str">
        <f>VLOOKUP(B332, Menu!$A:$F, 3, 0)</f>
        <v>Dessert</v>
      </c>
      <c r="G332" s="5">
        <f>VLOOKUP(A332, Orders!$A:$B, 2, 0)</f>
        <v>45853.735648148147</v>
      </c>
      <c r="H332" t="str">
        <f>VLOOKUP(A332, Orders!$A:$C, 3, 0)</f>
        <v>Head Office Café</v>
      </c>
      <c r="I332">
        <f>C332*D332*(1-VLOOKUP(A332,Orders!$A:$G,7,0))</f>
        <v>217.24799999999999</v>
      </c>
      <c r="J332" t="str">
        <f>VLOOKUP(A332,Orders!$A:$G,6,0)</f>
        <v>Dinner</v>
      </c>
      <c r="K332" t="str">
        <f>VLOOKUP(A332,Orders!$A:$G,5,0)</f>
        <v>Cash</v>
      </c>
    </row>
    <row r="333" spans="1:11" x14ac:dyDescent="0.3">
      <c r="A333" t="s">
        <v>170</v>
      </c>
      <c r="B333" t="s">
        <v>409</v>
      </c>
      <c r="C333">
        <v>1</v>
      </c>
      <c r="D333">
        <f>VLOOKUP(B333, Menu!$A:$F, 6, 0)</f>
        <v>28.43</v>
      </c>
      <c r="E333">
        <f>VLOOKUP(B333, Menu!$A:$F, 5, 0)</f>
        <v>13.89</v>
      </c>
      <c r="F333" t="str">
        <f>VLOOKUP(B333, Menu!$A:$F, 3, 0)</f>
        <v>Beverage</v>
      </c>
      <c r="G333" s="5">
        <f>VLOOKUP(A333, Orders!$A:$B, 2, 0)</f>
        <v>45850.750497685192</v>
      </c>
      <c r="H333" t="str">
        <f>VLOOKUP(A333, Orders!$A:$C, 3, 0)</f>
        <v>Head Office Café</v>
      </c>
      <c r="I333">
        <f>C333*D333*(1-VLOOKUP(A333,Orders!$A:$G,7,0))</f>
        <v>26.439899999999998</v>
      </c>
      <c r="J333" t="str">
        <f>VLOOKUP(A333,Orders!$A:$G,6,0)</f>
        <v>Dinner</v>
      </c>
      <c r="K333" t="str">
        <f>VLOOKUP(A333,Orders!$A:$G,5,0)</f>
        <v>UPI</v>
      </c>
    </row>
    <row r="334" spans="1:11" x14ac:dyDescent="0.3">
      <c r="A334" t="s">
        <v>170</v>
      </c>
      <c r="B334" t="s">
        <v>412</v>
      </c>
      <c r="C334">
        <v>2</v>
      </c>
      <c r="D334">
        <f>VLOOKUP(B334, Menu!$A:$F, 6, 0)</f>
        <v>57.07</v>
      </c>
      <c r="E334">
        <f>VLOOKUP(B334, Menu!$A:$F, 5, 0)</f>
        <v>29.14</v>
      </c>
      <c r="F334" t="str">
        <f>VLOOKUP(B334, Menu!$A:$F, 3, 0)</f>
        <v>Dessert</v>
      </c>
      <c r="G334" s="5">
        <f>VLOOKUP(A334, Orders!$A:$B, 2, 0)</f>
        <v>45850.750497685192</v>
      </c>
      <c r="H334" t="str">
        <f>VLOOKUP(A334, Orders!$A:$C, 3, 0)</f>
        <v>Head Office Café</v>
      </c>
      <c r="I334">
        <f>C334*D334*(1-VLOOKUP(A334,Orders!$A:$G,7,0))</f>
        <v>106.1502</v>
      </c>
      <c r="J334" t="str">
        <f>VLOOKUP(A334,Orders!$A:$G,6,0)</f>
        <v>Dinner</v>
      </c>
      <c r="K334" t="str">
        <f>VLOOKUP(A334,Orders!$A:$G,5,0)</f>
        <v>UPI</v>
      </c>
    </row>
    <row r="335" spans="1:11" x14ac:dyDescent="0.3">
      <c r="A335" t="s">
        <v>170</v>
      </c>
      <c r="B335" t="s">
        <v>414</v>
      </c>
      <c r="C335">
        <v>2</v>
      </c>
      <c r="D335">
        <f>VLOOKUP(B335, Menu!$A:$F, 6, 0)</f>
        <v>116.8</v>
      </c>
      <c r="E335">
        <f>VLOOKUP(B335, Menu!$A:$F, 5, 0)</f>
        <v>48.97</v>
      </c>
      <c r="F335" t="str">
        <f>VLOOKUP(B335, Menu!$A:$F, 3, 0)</f>
        <v>Dessert</v>
      </c>
      <c r="G335" s="5">
        <f>VLOOKUP(A335, Orders!$A:$B, 2, 0)</f>
        <v>45850.750497685192</v>
      </c>
      <c r="H335" t="str">
        <f>VLOOKUP(A335, Orders!$A:$C, 3, 0)</f>
        <v>Head Office Café</v>
      </c>
      <c r="I335">
        <f>C335*D335*(1-VLOOKUP(A335,Orders!$A:$G,7,0))</f>
        <v>217.24799999999999</v>
      </c>
      <c r="J335" t="str">
        <f>VLOOKUP(A335,Orders!$A:$G,6,0)</f>
        <v>Dinner</v>
      </c>
      <c r="K335" t="str">
        <f>VLOOKUP(A335,Orders!$A:$G,5,0)</f>
        <v>UPI</v>
      </c>
    </row>
    <row r="336" spans="1:11" x14ac:dyDescent="0.3">
      <c r="A336" t="s">
        <v>171</v>
      </c>
      <c r="B336" t="s">
        <v>404</v>
      </c>
      <c r="C336">
        <v>3</v>
      </c>
      <c r="D336">
        <f>VLOOKUP(B336, Menu!$A:$F, 6, 0)</f>
        <v>32.979999999999997</v>
      </c>
      <c r="E336">
        <f>VLOOKUP(B336, Menu!$A:$F, 5, 0)</f>
        <v>11.84</v>
      </c>
      <c r="F336" t="str">
        <f>VLOOKUP(B336, Menu!$A:$F, 3, 0)</f>
        <v>Beverage</v>
      </c>
      <c r="G336" s="5">
        <f>VLOOKUP(A336, Orders!$A:$B, 2, 0)</f>
        <v>45889.986759259264</v>
      </c>
      <c r="H336" t="str">
        <f>VLOOKUP(A336, Orders!$A:$C, 3, 0)</f>
        <v>Plant 2 Canteen</v>
      </c>
      <c r="I336">
        <f>C336*D336*(1-VLOOKUP(A336,Orders!$A:$G,7,0))</f>
        <v>90.035399999999996</v>
      </c>
      <c r="J336" t="str">
        <f>VLOOKUP(A336,Orders!$A:$G,6,0)</f>
        <v>Dinner</v>
      </c>
      <c r="K336" t="str">
        <f>VLOOKUP(A336,Orders!$A:$G,5,0)</f>
        <v>Card</v>
      </c>
    </row>
    <row r="337" spans="1:11" x14ac:dyDescent="0.3">
      <c r="A337" t="s">
        <v>172</v>
      </c>
      <c r="B337" t="s">
        <v>412</v>
      </c>
      <c r="C337">
        <v>2</v>
      </c>
      <c r="D337">
        <f>VLOOKUP(B337, Menu!$A:$F, 6, 0)</f>
        <v>57.07</v>
      </c>
      <c r="E337">
        <f>VLOOKUP(B337, Menu!$A:$F, 5, 0)</f>
        <v>29.14</v>
      </c>
      <c r="F337" t="str">
        <f>VLOOKUP(B337, Menu!$A:$F, 3, 0)</f>
        <v>Dessert</v>
      </c>
      <c r="G337" s="5">
        <f>VLOOKUP(A337, Orders!$A:$B, 2, 0)</f>
        <v>45896.390115740738</v>
      </c>
      <c r="H337" t="str">
        <f>VLOOKUP(A337, Orders!$A:$C, 3, 0)</f>
        <v>Plant 2 Canteen</v>
      </c>
      <c r="I337">
        <f>C337*D337*(1-VLOOKUP(A337,Orders!$A:$G,7,0))</f>
        <v>107.29159999999999</v>
      </c>
      <c r="J337" t="str">
        <f>VLOOKUP(A337,Orders!$A:$G,6,0)</f>
        <v>Breakfast</v>
      </c>
      <c r="K337" t="str">
        <f>VLOOKUP(A337,Orders!$A:$G,5,0)</f>
        <v>UPI</v>
      </c>
    </row>
    <row r="338" spans="1:11" x14ac:dyDescent="0.3">
      <c r="A338" t="s">
        <v>172</v>
      </c>
      <c r="B338" t="s">
        <v>410</v>
      </c>
      <c r="C338">
        <v>1</v>
      </c>
      <c r="D338">
        <f>VLOOKUP(B338, Menu!$A:$F, 6, 0)</f>
        <v>20.11</v>
      </c>
      <c r="E338">
        <f>VLOOKUP(B338, Menu!$A:$F, 5, 0)</f>
        <v>8</v>
      </c>
      <c r="F338" t="str">
        <f>VLOOKUP(B338, Menu!$A:$F, 3, 0)</f>
        <v>Beverage</v>
      </c>
      <c r="G338" s="5">
        <f>VLOOKUP(A338, Orders!$A:$B, 2, 0)</f>
        <v>45896.390115740738</v>
      </c>
      <c r="H338" t="str">
        <f>VLOOKUP(A338, Orders!$A:$C, 3, 0)</f>
        <v>Plant 2 Canteen</v>
      </c>
      <c r="I338">
        <f>C338*D338*(1-VLOOKUP(A338,Orders!$A:$G,7,0))</f>
        <v>18.903399999999998</v>
      </c>
      <c r="J338" t="str">
        <f>VLOOKUP(A338,Orders!$A:$G,6,0)</f>
        <v>Breakfast</v>
      </c>
      <c r="K338" t="str">
        <f>VLOOKUP(A338,Orders!$A:$G,5,0)</f>
        <v>UPI</v>
      </c>
    </row>
    <row r="339" spans="1:11" x14ac:dyDescent="0.3">
      <c r="A339" t="s">
        <v>172</v>
      </c>
      <c r="B339" t="s">
        <v>404</v>
      </c>
      <c r="C339">
        <v>2</v>
      </c>
      <c r="D339">
        <f>VLOOKUP(B339, Menu!$A:$F, 6, 0)</f>
        <v>32.979999999999997</v>
      </c>
      <c r="E339">
        <f>VLOOKUP(B339, Menu!$A:$F, 5, 0)</f>
        <v>11.84</v>
      </c>
      <c r="F339" t="str">
        <f>VLOOKUP(B339, Menu!$A:$F, 3, 0)</f>
        <v>Beverage</v>
      </c>
      <c r="G339" s="5">
        <f>VLOOKUP(A339, Orders!$A:$B, 2, 0)</f>
        <v>45896.390115740738</v>
      </c>
      <c r="H339" t="str">
        <f>VLOOKUP(A339, Orders!$A:$C, 3, 0)</f>
        <v>Plant 2 Canteen</v>
      </c>
      <c r="I339">
        <f>C339*D339*(1-VLOOKUP(A339,Orders!$A:$G,7,0))</f>
        <v>62.002399999999987</v>
      </c>
      <c r="J339" t="str">
        <f>VLOOKUP(A339,Orders!$A:$G,6,0)</f>
        <v>Breakfast</v>
      </c>
      <c r="K339" t="str">
        <f>VLOOKUP(A339,Orders!$A:$G,5,0)</f>
        <v>UPI</v>
      </c>
    </row>
    <row r="340" spans="1:11" x14ac:dyDescent="0.3">
      <c r="A340" t="s">
        <v>173</v>
      </c>
      <c r="B340" t="s">
        <v>401</v>
      </c>
      <c r="C340">
        <v>2</v>
      </c>
      <c r="D340">
        <f>VLOOKUP(B340, Menu!$A:$F, 6, 0)</f>
        <v>52.45</v>
      </c>
      <c r="E340">
        <f>VLOOKUP(B340, Menu!$A:$F, 5, 0)</f>
        <v>25.8</v>
      </c>
      <c r="F340" t="str">
        <f>VLOOKUP(B340, Menu!$A:$F, 3, 0)</f>
        <v>Snack</v>
      </c>
      <c r="G340" s="5">
        <f>VLOOKUP(A340, Orders!$A:$B, 2, 0)</f>
        <v>45898.439282407409</v>
      </c>
      <c r="H340" t="str">
        <f>VLOOKUP(A340, Orders!$A:$C, 3, 0)</f>
        <v>Head Office Café</v>
      </c>
      <c r="I340">
        <f>C340*D340*(1-VLOOKUP(A340,Orders!$A:$G,7,0))</f>
        <v>92.312000000000012</v>
      </c>
      <c r="J340" t="str">
        <f>VLOOKUP(A340,Orders!$A:$G,6,0)</f>
        <v>Breakfast</v>
      </c>
      <c r="K340" t="str">
        <f>VLOOKUP(A340,Orders!$A:$G,5,0)</f>
        <v>Cash</v>
      </c>
    </row>
    <row r="341" spans="1:11" x14ac:dyDescent="0.3">
      <c r="A341" t="s">
        <v>173</v>
      </c>
      <c r="B341" t="s">
        <v>416</v>
      </c>
      <c r="C341">
        <v>2</v>
      </c>
      <c r="D341">
        <f>VLOOKUP(B341, Menu!$A:$F, 6, 0)</f>
        <v>227.61</v>
      </c>
      <c r="E341">
        <f>VLOOKUP(B341, Menu!$A:$F, 5, 0)</f>
        <v>96.22</v>
      </c>
      <c r="F341" t="str">
        <f>VLOOKUP(B341, Menu!$A:$F, 3, 0)</f>
        <v>Hot Meal</v>
      </c>
      <c r="G341" s="5">
        <f>VLOOKUP(A341, Orders!$A:$B, 2, 0)</f>
        <v>45898.439282407409</v>
      </c>
      <c r="H341" t="str">
        <f>VLOOKUP(A341, Orders!$A:$C, 3, 0)</f>
        <v>Head Office Café</v>
      </c>
      <c r="I341">
        <f>C341*D341*(1-VLOOKUP(A341,Orders!$A:$G,7,0))</f>
        <v>400.59360000000004</v>
      </c>
      <c r="J341" t="str">
        <f>VLOOKUP(A341,Orders!$A:$G,6,0)</f>
        <v>Breakfast</v>
      </c>
      <c r="K341" t="str">
        <f>VLOOKUP(A341,Orders!$A:$G,5,0)</f>
        <v>Cash</v>
      </c>
    </row>
    <row r="342" spans="1:11" x14ac:dyDescent="0.3">
      <c r="A342" t="s">
        <v>174</v>
      </c>
      <c r="B342" t="s">
        <v>411</v>
      </c>
      <c r="C342">
        <v>1</v>
      </c>
      <c r="D342">
        <f>VLOOKUP(B342, Menu!$A:$F, 6, 0)</f>
        <v>22.2</v>
      </c>
      <c r="E342">
        <f>VLOOKUP(B342, Menu!$A:$F, 5, 0)</f>
        <v>9.3800000000000008</v>
      </c>
      <c r="F342" t="str">
        <f>VLOOKUP(B342, Menu!$A:$F, 3, 0)</f>
        <v>Beverage</v>
      </c>
      <c r="G342" s="5">
        <f>VLOOKUP(A342, Orders!$A:$B, 2, 0)</f>
        <v>45864.94458333333</v>
      </c>
      <c r="H342" t="str">
        <f>VLOOKUP(A342, Orders!$A:$C, 3, 0)</f>
        <v>Head Office Café</v>
      </c>
      <c r="I342">
        <f>C342*D342*(1-VLOOKUP(A342,Orders!$A:$G,7,0))</f>
        <v>21.09</v>
      </c>
      <c r="J342" t="str">
        <f>VLOOKUP(A342,Orders!$A:$G,6,0)</f>
        <v>Dinner</v>
      </c>
      <c r="K342" t="str">
        <f>VLOOKUP(A342,Orders!$A:$G,5,0)</f>
        <v>Cash</v>
      </c>
    </row>
    <row r="343" spans="1:11" x14ac:dyDescent="0.3">
      <c r="A343" t="s">
        <v>174</v>
      </c>
      <c r="B343" t="s">
        <v>404</v>
      </c>
      <c r="C343">
        <v>1</v>
      </c>
      <c r="D343">
        <f>VLOOKUP(B343, Menu!$A:$F, 6, 0)</f>
        <v>32.979999999999997</v>
      </c>
      <c r="E343">
        <f>VLOOKUP(B343, Menu!$A:$F, 5, 0)</f>
        <v>11.84</v>
      </c>
      <c r="F343" t="str">
        <f>VLOOKUP(B343, Menu!$A:$F, 3, 0)</f>
        <v>Beverage</v>
      </c>
      <c r="G343" s="5">
        <f>VLOOKUP(A343, Orders!$A:$B, 2, 0)</f>
        <v>45864.94458333333</v>
      </c>
      <c r="H343" t="str">
        <f>VLOOKUP(A343, Orders!$A:$C, 3, 0)</f>
        <v>Head Office Café</v>
      </c>
      <c r="I343">
        <f>C343*D343*(1-VLOOKUP(A343,Orders!$A:$G,7,0))</f>
        <v>31.330999999999996</v>
      </c>
      <c r="J343" t="str">
        <f>VLOOKUP(A343,Orders!$A:$G,6,0)</f>
        <v>Dinner</v>
      </c>
      <c r="K343" t="str">
        <f>VLOOKUP(A343,Orders!$A:$G,5,0)</f>
        <v>Cash</v>
      </c>
    </row>
    <row r="344" spans="1:11" x14ac:dyDescent="0.3">
      <c r="A344" t="s">
        <v>174</v>
      </c>
      <c r="B344" t="s">
        <v>412</v>
      </c>
      <c r="C344">
        <v>2</v>
      </c>
      <c r="D344">
        <f>VLOOKUP(B344, Menu!$A:$F, 6, 0)</f>
        <v>57.07</v>
      </c>
      <c r="E344">
        <f>VLOOKUP(B344, Menu!$A:$F, 5, 0)</f>
        <v>29.14</v>
      </c>
      <c r="F344" t="str">
        <f>VLOOKUP(B344, Menu!$A:$F, 3, 0)</f>
        <v>Dessert</v>
      </c>
      <c r="G344" s="5">
        <f>VLOOKUP(A344, Orders!$A:$B, 2, 0)</f>
        <v>45864.94458333333</v>
      </c>
      <c r="H344" t="str">
        <f>VLOOKUP(A344, Orders!$A:$C, 3, 0)</f>
        <v>Head Office Café</v>
      </c>
      <c r="I344">
        <f>C344*D344*(1-VLOOKUP(A344,Orders!$A:$G,7,0))</f>
        <v>108.43299999999999</v>
      </c>
      <c r="J344" t="str">
        <f>VLOOKUP(A344,Orders!$A:$G,6,0)</f>
        <v>Dinner</v>
      </c>
      <c r="K344" t="str">
        <f>VLOOKUP(A344,Orders!$A:$G,5,0)</f>
        <v>Cash</v>
      </c>
    </row>
    <row r="345" spans="1:11" x14ac:dyDescent="0.3">
      <c r="A345" t="s">
        <v>174</v>
      </c>
      <c r="B345" t="s">
        <v>417</v>
      </c>
      <c r="C345">
        <v>1</v>
      </c>
      <c r="D345">
        <f>VLOOKUP(B345, Menu!$A:$F, 6, 0)</f>
        <v>146.4</v>
      </c>
      <c r="E345">
        <f>VLOOKUP(B345, Menu!$A:$F, 5, 0)</f>
        <v>80.92</v>
      </c>
      <c r="F345" t="str">
        <f>VLOOKUP(B345, Menu!$A:$F, 3, 0)</f>
        <v>Hot Meal</v>
      </c>
      <c r="G345" s="5">
        <f>VLOOKUP(A345, Orders!$A:$B, 2, 0)</f>
        <v>45864.94458333333</v>
      </c>
      <c r="H345" t="str">
        <f>VLOOKUP(A345, Orders!$A:$C, 3, 0)</f>
        <v>Head Office Café</v>
      </c>
      <c r="I345">
        <f>C345*D345*(1-VLOOKUP(A345,Orders!$A:$G,7,0))</f>
        <v>139.08000000000001</v>
      </c>
      <c r="J345" t="str">
        <f>VLOOKUP(A345,Orders!$A:$G,6,0)</f>
        <v>Dinner</v>
      </c>
      <c r="K345" t="str">
        <f>VLOOKUP(A345,Orders!$A:$G,5,0)</f>
        <v>Cash</v>
      </c>
    </row>
    <row r="346" spans="1:11" x14ac:dyDescent="0.3">
      <c r="A346" t="s">
        <v>175</v>
      </c>
      <c r="B346" t="s">
        <v>419</v>
      </c>
      <c r="C346">
        <v>2</v>
      </c>
      <c r="D346">
        <f>VLOOKUP(B346, Menu!$A:$F, 6, 0)</f>
        <v>50.19</v>
      </c>
      <c r="E346">
        <f>VLOOKUP(B346, Menu!$A:$F, 5, 0)</f>
        <v>22.61</v>
      </c>
      <c r="F346" t="str">
        <f>VLOOKUP(B346, Menu!$A:$F, 3, 0)</f>
        <v>Snack</v>
      </c>
      <c r="G346" s="5">
        <f>VLOOKUP(A346, Orders!$A:$B, 2, 0)</f>
        <v>45856.125613425917</v>
      </c>
      <c r="H346" t="str">
        <f>VLOOKUP(A346, Orders!$A:$C, 3, 0)</f>
        <v>Head Office Café</v>
      </c>
      <c r="I346">
        <f>C346*D346*(1-VLOOKUP(A346,Orders!$A:$G,7,0))</f>
        <v>83.315399999999997</v>
      </c>
      <c r="J346" t="str">
        <f>VLOOKUP(A346,Orders!$A:$G,6,0)</f>
        <v>Breakfast</v>
      </c>
      <c r="K346" t="str">
        <f>VLOOKUP(A346,Orders!$A:$G,5,0)</f>
        <v>Cash</v>
      </c>
    </row>
    <row r="347" spans="1:11" x14ac:dyDescent="0.3">
      <c r="A347" t="s">
        <v>176</v>
      </c>
      <c r="B347" t="s">
        <v>412</v>
      </c>
      <c r="C347">
        <v>2</v>
      </c>
      <c r="D347">
        <f>VLOOKUP(B347, Menu!$A:$F, 6, 0)</f>
        <v>57.07</v>
      </c>
      <c r="E347">
        <f>VLOOKUP(B347, Menu!$A:$F, 5, 0)</f>
        <v>29.14</v>
      </c>
      <c r="F347" t="str">
        <f>VLOOKUP(B347, Menu!$A:$F, 3, 0)</f>
        <v>Dessert</v>
      </c>
      <c r="G347" s="5">
        <f>VLOOKUP(A347, Orders!$A:$B, 2, 0)</f>
        <v>45878.913113425922</v>
      </c>
      <c r="H347" t="str">
        <f>VLOOKUP(A347, Orders!$A:$C, 3, 0)</f>
        <v>Plant 2 Canteen</v>
      </c>
      <c r="I347">
        <f>C347*D347*(1-VLOOKUP(A347,Orders!$A:$G,7,0))</f>
        <v>103.8674</v>
      </c>
      <c r="J347" t="str">
        <f>VLOOKUP(A347,Orders!$A:$G,6,0)</f>
        <v>Dinner</v>
      </c>
      <c r="K347" t="str">
        <f>VLOOKUP(A347,Orders!$A:$G,5,0)</f>
        <v>UPI</v>
      </c>
    </row>
    <row r="348" spans="1:11" x14ac:dyDescent="0.3">
      <c r="A348" t="s">
        <v>176</v>
      </c>
      <c r="B348" t="s">
        <v>416</v>
      </c>
      <c r="C348">
        <v>2</v>
      </c>
      <c r="D348">
        <f>VLOOKUP(B348, Menu!$A:$F, 6, 0)</f>
        <v>227.61</v>
      </c>
      <c r="E348">
        <f>VLOOKUP(B348, Menu!$A:$F, 5, 0)</f>
        <v>96.22</v>
      </c>
      <c r="F348" t="str">
        <f>VLOOKUP(B348, Menu!$A:$F, 3, 0)</f>
        <v>Hot Meal</v>
      </c>
      <c r="G348" s="5">
        <f>VLOOKUP(A348, Orders!$A:$B, 2, 0)</f>
        <v>45878.913113425922</v>
      </c>
      <c r="H348" t="str">
        <f>VLOOKUP(A348, Orders!$A:$C, 3, 0)</f>
        <v>Plant 2 Canteen</v>
      </c>
      <c r="I348">
        <f>C348*D348*(1-VLOOKUP(A348,Orders!$A:$G,7,0))</f>
        <v>414.25020000000006</v>
      </c>
      <c r="J348" t="str">
        <f>VLOOKUP(A348,Orders!$A:$G,6,0)</f>
        <v>Dinner</v>
      </c>
      <c r="K348" t="str">
        <f>VLOOKUP(A348,Orders!$A:$G,5,0)</f>
        <v>UPI</v>
      </c>
    </row>
    <row r="349" spans="1:11" x14ac:dyDescent="0.3">
      <c r="A349" t="s">
        <v>176</v>
      </c>
      <c r="B349" t="s">
        <v>401</v>
      </c>
      <c r="C349">
        <v>3</v>
      </c>
      <c r="D349">
        <f>VLOOKUP(B349, Menu!$A:$F, 6, 0)</f>
        <v>52.45</v>
      </c>
      <c r="E349">
        <f>VLOOKUP(B349, Menu!$A:$F, 5, 0)</f>
        <v>25.8</v>
      </c>
      <c r="F349" t="str">
        <f>VLOOKUP(B349, Menu!$A:$F, 3, 0)</f>
        <v>Snack</v>
      </c>
      <c r="G349" s="5">
        <f>VLOOKUP(A349, Orders!$A:$B, 2, 0)</f>
        <v>45878.913113425922</v>
      </c>
      <c r="H349" t="str">
        <f>VLOOKUP(A349, Orders!$A:$C, 3, 0)</f>
        <v>Plant 2 Canteen</v>
      </c>
      <c r="I349">
        <f>C349*D349*(1-VLOOKUP(A349,Orders!$A:$G,7,0))</f>
        <v>143.18850000000003</v>
      </c>
      <c r="J349" t="str">
        <f>VLOOKUP(A349,Orders!$A:$G,6,0)</f>
        <v>Dinner</v>
      </c>
      <c r="K349" t="str">
        <f>VLOOKUP(A349,Orders!$A:$G,5,0)</f>
        <v>UPI</v>
      </c>
    </row>
    <row r="350" spans="1:11" x14ac:dyDescent="0.3">
      <c r="A350" t="s">
        <v>177</v>
      </c>
      <c r="B350" t="s">
        <v>419</v>
      </c>
      <c r="C350">
        <v>3</v>
      </c>
      <c r="D350">
        <f>VLOOKUP(B350, Menu!$A:$F, 6, 0)</f>
        <v>50.19</v>
      </c>
      <c r="E350">
        <f>VLOOKUP(B350, Menu!$A:$F, 5, 0)</f>
        <v>22.61</v>
      </c>
      <c r="F350" t="str">
        <f>VLOOKUP(B350, Menu!$A:$F, 3, 0)</f>
        <v>Snack</v>
      </c>
      <c r="G350" s="5">
        <f>VLOOKUP(A350, Orders!$A:$B, 2, 0)</f>
        <v>45867.52847222222</v>
      </c>
      <c r="H350" t="str">
        <f>VLOOKUP(A350, Orders!$A:$C, 3, 0)</f>
        <v>Plant 1 Canteen</v>
      </c>
      <c r="I350">
        <f>C350*D350*(1-VLOOKUP(A350,Orders!$A:$G,7,0))</f>
        <v>146.05289999999999</v>
      </c>
      <c r="J350" t="str">
        <f>VLOOKUP(A350,Orders!$A:$G,6,0)</f>
        <v>Lunch</v>
      </c>
      <c r="K350" t="str">
        <f>VLOOKUP(A350,Orders!$A:$G,5,0)</f>
        <v>Card</v>
      </c>
    </row>
    <row r="351" spans="1:11" x14ac:dyDescent="0.3">
      <c r="A351" t="s">
        <v>177</v>
      </c>
      <c r="B351" t="s">
        <v>406</v>
      </c>
      <c r="C351">
        <v>2</v>
      </c>
      <c r="D351">
        <f>VLOOKUP(B351, Menu!$A:$F, 6, 0)</f>
        <v>38.06</v>
      </c>
      <c r="E351">
        <f>VLOOKUP(B351, Menu!$A:$F, 5, 0)</f>
        <v>19.55</v>
      </c>
      <c r="F351" t="str">
        <f>VLOOKUP(B351, Menu!$A:$F, 3, 0)</f>
        <v>Snack</v>
      </c>
      <c r="G351" s="5">
        <f>VLOOKUP(A351, Orders!$A:$B, 2, 0)</f>
        <v>45867.52847222222</v>
      </c>
      <c r="H351" t="str">
        <f>VLOOKUP(A351, Orders!$A:$C, 3, 0)</f>
        <v>Plant 1 Canteen</v>
      </c>
      <c r="I351">
        <f>C351*D351*(1-VLOOKUP(A351,Orders!$A:$G,7,0))</f>
        <v>73.836399999999998</v>
      </c>
      <c r="J351" t="str">
        <f>VLOOKUP(A351,Orders!$A:$G,6,0)</f>
        <v>Lunch</v>
      </c>
      <c r="K351" t="str">
        <f>VLOOKUP(A351,Orders!$A:$G,5,0)</f>
        <v>Card</v>
      </c>
    </row>
    <row r="352" spans="1:11" x14ac:dyDescent="0.3">
      <c r="A352" t="s">
        <v>177</v>
      </c>
      <c r="B352" t="s">
        <v>404</v>
      </c>
      <c r="C352">
        <v>1</v>
      </c>
      <c r="D352">
        <f>VLOOKUP(B352, Menu!$A:$F, 6, 0)</f>
        <v>32.979999999999997</v>
      </c>
      <c r="E352">
        <f>VLOOKUP(B352, Menu!$A:$F, 5, 0)</f>
        <v>11.84</v>
      </c>
      <c r="F352" t="str">
        <f>VLOOKUP(B352, Menu!$A:$F, 3, 0)</f>
        <v>Beverage</v>
      </c>
      <c r="G352" s="5">
        <f>VLOOKUP(A352, Orders!$A:$B, 2, 0)</f>
        <v>45867.52847222222</v>
      </c>
      <c r="H352" t="str">
        <f>VLOOKUP(A352, Orders!$A:$C, 3, 0)</f>
        <v>Plant 1 Canteen</v>
      </c>
      <c r="I352">
        <f>C352*D352*(1-VLOOKUP(A352,Orders!$A:$G,7,0))</f>
        <v>31.990599999999997</v>
      </c>
      <c r="J352" t="str">
        <f>VLOOKUP(A352,Orders!$A:$G,6,0)</f>
        <v>Lunch</v>
      </c>
      <c r="K352" t="str">
        <f>VLOOKUP(A352,Orders!$A:$G,5,0)</f>
        <v>Card</v>
      </c>
    </row>
    <row r="353" spans="1:11" x14ac:dyDescent="0.3">
      <c r="A353" t="s">
        <v>177</v>
      </c>
      <c r="B353" t="s">
        <v>402</v>
      </c>
      <c r="C353">
        <v>2</v>
      </c>
      <c r="D353">
        <f>VLOOKUP(B353, Menu!$A:$F, 6, 0)</f>
        <v>30.34</v>
      </c>
      <c r="E353">
        <f>VLOOKUP(B353, Menu!$A:$F, 5, 0)</f>
        <v>14.18</v>
      </c>
      <c r="F353" t="str">
        <f>VLOOKUP(B353, Menu!$A:$F, 3, 0)</f>
        <v>Beverage</v>
      </c>
      <c r="G353" s="5">
        <f>VLOOKUP(A353, Orders!$A:$B, 2, 0)</f>
        <v>45867.52847222222</v>
      </c>
      <c r="H353" t="str">
        <f>VLOOKUP(A353, Orders!$A:$C, 3, 0)</f>
        <v>Plant 1 Canteen</v>
      </c>
      <c r="I353">
        <f>C353*D353*(1-VLOOKUP(A353,Orders!$A:$G,7,0))</f>
        <v>58.8596</v>
      </c>
      <c r="J353" t="str">
        <f>VLOOKUP(A353,Orders!$A:$G,6,0)</f>
        <v>Lunch</v>
      </c>
      <c r="K353" t="str">
        <f>VLOOKUP(A353,Orders!$A:$G,5,0)</f>
        <v>Card</v>
      </c>
    </row>
    <row r="354" spans="1:11" x14ac:dyDescent="0.3">
      <c r="A354" t="s">
        <v>178</v>
      </c>
      <c r="B354" t="s">
        <v>401</v>
      </c>
      <c r="C354">
        <v>1</v>
      </c>
      <c r="D354">
        <f>VLOOKUP(B354, Menu!$A:$F, 6, 0)</f>
        <v>52.45</v>
      </c>
      <c r="E354">
        <f>VLOOKUP(B354, Menu!$A:$F, 5, 0)</f>
        <v>25.8</v>
      </c>
      <c r="F354" t="str">
        <f>VLOOKUP(B354, Menu!$A:$F, 3, 0)</f>
        <v>Snack</v>
      </c>
      <c r="G354" s="5">
        <f>VLOOKUP(A354, Orders!$A:$B, 2, 0)</f>
        <v>45883.332060185188</v>
      </c>
      <c r="H354" t="str">
        <f>VLOOKUP(A354, Orders!$A:$C, 3, 0)</f>
        <v>Plant 1 Canteen</v>
      </c>
      <c r="I354">
        <f>C354*D354*(1-VLOOKUP(A354,Orders!$A:$G,7,0))</f>
        <v>51.401000000000003</v>
      </c>
      <c r="J354" t="str">
        <f>VLOOKUP(A354,Orders!$A:$G,6,0)</f>
        <v>Breakfast</v>
      </c>
      <c r="K354" t="str">
        <f>VLOOKUP(A354,Orders!$A:$G,5,0)</f>
        <v>Cash</v>
      </c>
    </row>
    <row r="355" spans="1:11" x14ac:dyDescent="0.3">
      <c r="A355" t="s">
        <v>178</v>
      </c>
      <c r="B355" t="s">
        <v>409</v>
      </c>
      <c r="C355">
        <v>1</v>
      </c>
      <c r="D355">
        <f>VLOOKUP(B355, Menu!$A:$F, 6, 0)</f>
        <v>28.43</v>
      </c>
      <c r="E355">
        <f>VLOOKUP(B355, Menu!$A:$F, 5, 0)</f>
        <v>13.89</v>
      </c>
      <c r="F355" t="str">
        <f>VLOOKUP(B355, Menu!$A:$F, 3, 0)</f>
        <v>Beverage</v>
      </c>
      <c r="G355" s="5">
        <f>VLOOKUP(A355, Orders!$A:$B, 2, 0)</f>
        <v>45883.332060185188</v>
      </c>
      <c r="H355" t="str">
        <f>VLOOKUP(A355, Orders!$A:$C, 3, 0)</f>
        <v>Plant 1 Canteen</v>
      </c>
      <c r="I355">
        <f>C355*D355*(1-VLOOKUP(A355,Orders!$A:$G,7,0))</f>
        <v>27.8614</v>
      </c>
      <c r="J355" t="str">
        <f>VLOOKUP(A355,Orders!$A:$G,6,0)</f>
        <v>Breakfast</v>
      </c>
      <c r="K355" t="str">
        <f>VLOOKUP(A355,Orders!$A:$G,5,0)</f>
        <v>Cash</v>
      </c>
    </row>
    <row r="356" spans="1:11" x14ac:dyDescent="0.3">
      <c r="A356" t="s">
        <v>179</v>
      </c>
      <c r="B356" t="s">
        <v>409</v>
      </c>
      <c r="C356">
        <v>1</v>
      </c>
      <c r="D356">
        <f>VLOOKUP(B356, Menu!$A:$F, 6, 0)</f>
        <v>28.43</v>
      </c>
      <c r="E356">
        <f>VLOOKUP(B356, Menu!$A:$F, 5, 0)</f>
        <v>13.89</v>
      </c>
      <c r="F356" t="str">
        <f>VLOOKUP(B356, Menu!$A:$F, 3, 0)</f>
        <v>Beverage</v>
      </c>
      <c r="G356" s="5">
        <f>VLOOKUP(A356, Orders!$A:$B, 2, 0)</f>
        <v>45896.512881944444</v>
      </c>
      <c r="H356" t="str">
        <f>VLOOKUP(A356, Orders!$A:$C, 3, 0)</f>
        <v>Head Office Café</v>
      </c>
      <c r="I356">
        <f>C356*D356*(1-VLOOKUP(A356,Orders!$A:$G,7,0))</f>
        <v>26.1556</v>
      </c>
      <c r="J356" t="str">
        <f>VLOOKUP(A356,Orders!$A:$G,6,0)</f>
        <v>Lunch</v>
      </c>
      <c r="K356" t="str">
        <f>VLOOKUP(A356,Orders!$A:$G,5,0)</f>
        <v>Card</v>
      </c>
    </row>
    <row r="357" spans="1:11" x14ac:dyDescent="0.3">
      <c r="A357" t="s">
        <v>179</v>
      </c>
      <c r="B357" t="s">
        <v>419</v>
      </c>
      <c r="C357">
        <v>3</v>
      </c>
      <c r="D357">
        <f>VLOOKUP(B357, Menu!$A:$F, 6, 0)</f>
        <v>50.19</v>
      </c>
      <c r="E357">
        <f>VLOOKUP(B357, Menu!$A:$F, 5, 0)</f>
        <v>22.61</v>
      </c>
      <c r="F357" t="str">
        <f>VLOOKUP(B357, Menu!$A:$F, 3, 0)</f>
        <v>Snack</v>
      </c>
      <c r="G357" s="5">
        <f>VLOOKUP(A357, Orders!$A:$B, 2, 0)</f>
        <v>45896.512881944444</v>
      </c>
      <c r="H357" t="str">
        <f>VLOOKUP(A357, Orders!$A:$C, 3, 0)</f>
        <v>Head Office Café</v>
      </c>
      <c r="I357">
        <f>C357*D357*(1-VLOOKUP(A357,Orders!$A:$G,7,0))</f>
        <v>138.52439999999999</v>
      </c>
      <c r="J357" t="str">
        <f>VLOOKUP(A357,Orders!$A:$G,6,0)</f>
        <v>Lunch</v>
      </c>
      <c r="K357" t="str">
        <f>VLOOKUP(A357,Orders!$A:$G,5,0)</f>
        <v>Card</v>
      </c>
    </row>
    <row r="358" spans="1:11" x14ac:dyDescent="0.3">
      <c r="A358" t="s">
        <v>180</v>
      </c>
      <c r="B358" t="s">
        <v>410</v>
      </c>
      <c r="C358">
        <v>2</v>
      </c>
      <c r="D358">
        <f>VLOOKUP(B358, Menu!$A:$F, 6, 0)</f>
        <v>20.11</v>
      </c>
      <c r="E358">
        <f>VLOOKUP(B358, Menu!$A:$F, 5, 0)</f>
        <v>8</v>
      </c>
      <c r="F358" t="str">
        <f>VLOOKUP(B358, Menu!$A:$F, 3, 0)</f>
        <v>Beverage</v>
      </c>
      <c r="G358" s="5">
        <f>VLOOKUP(A358, Orders!$A:$B, 2, 0)</f>
        <v>45892.121759259258</v>
      </c>
      <c r="H358" t="str">
        <f>VLOOKUP(A358, Orders!$A:$C, 3, 0)</f>
        <v>Plant 1 Canteen</v>
      </c>
      <c r="I358">
        <f>C358*D358*(1-VLOOKUP(A358,Orders!$A:$G,7,0))</f>
        <v>38.208999999999996</v>
      </c>
      <c r="J358" t="str">
        <f>VLOOKUP(A358,Orders!$A:$G,6,0)</f>
        <v>Breakfast</v>
      </c>
      <c r="K358" t="str">
        <f>VLOOKUP(A358,Orders!$A:$G,5,0)</f>
        <v>Cash</v>
      </c>
    </row>
    <row r="359" spans="1:11" x14ac:dyDescent="0.3">
      <c r="A359" t="s">
        <v>181</v>
      </c>
      <c r="B359" t="s">
        <v>401</v>
      </c>
      <c r="C359">
        <v>1</v>
      </c>
      <c r="D359">
        <f>VLOOKUP(B359, Menu!$A:$F, 6, 0)</f>
        <v>52.45</v>
      </c>
      <c r="E359">
        <f>VLOOKUP(B359, Menu!$A:$F, 5, 0)</f>
        <v>25.8</v>
      </c>
      <c r="F359" t="str">
        <f>VLOOKUP(B359, Menu!$A:$F, 3, 0)</f>
        <v>Snack</v>
      </c>
      <c r="G359" s="5">
        <f>VLOOKUP(A359, Orders!$A:$B, 2, 0)</f>
        <v>45853.05976851852</v>
      </c>
      <c r="H359" t="str">
        <f>VLOOKUP(A359, Orders!$A:$C, 3, 0)</f>
        <v>Plant 1 Canteen</v>
      </c>
      <c r="I359">
        <f>C359*D359*(1-VLOOKUP(A359,Orders!$A:$G,7,0))</f>
        <v>47.729500000000002</v>
      </c>
      <c r="J359" t="str">
        <f>VLOOKUP(A359,Orders!$A:$G,6,0)</f>
        <v>Breakfast</v>
      </c>
      <c r="K359" t="str">
        <f>VLOOKUP(A359,Orders!$A:$G,5,0)</f>
        <v>Cash</v>
      </c>
    </row>
    <row r="360" spans="1:11" x14ac:dyDescent="0.3">
      <c r="A360" t="s">
        <v>182</v>
      </c>
      <c r="B360" t="s">
        <v>404</v>
      </c>
      <c r="C360">
        <v>2</v>
      </c>
      <c r="D360">
        <f>VLOOKUP(B360, Menu!$A:$F, 6, 0)</f>
        <v>32.979999999999997</v>
      </c>
      <c r="E360">
        <f>VLOOKUP(B360, Menu!$A:$F, 5, 0)</f>
        <v>11.84</v>
      </c>
      <c r="F360" t="str">
        <f>VLOOKUP(B360, Menu!$A:$F, 3, 0)</f>
        <v>Beverage</v>
      </c>
      <c r="G360" s="5">
        <f>VLOOKUP(A360, Orders!$A:$B, 2, 0)</f>
        <v>45897.023043981477</v>
      </c>
      <c r="H360" t="str">
        <f>VLOOKUP(A360, Orders!$A:$C, 3, 0)</f>
        <v>Head Office Café</v>
      </c>
      <c r="I360">
        <f>C360*D360*(1-VLOOKUP(A360,Orders!$A:$G,7,0))</f>
        <v>60.683199999999999</v>
      </c>
      <c r="J360" t="str">
        <f>VLOOKUP(A360,Orders!$A:$G,6,0)</f>
        <v>Breakfast</v>
      </c>
      <c r="K360" t="str">
        <f>VLOOKUP(A360,Orders!$A:$G,5,0)</f>
        <v>Card</v>
      </c>
    </row>
    <row r="361" spans="1:11" x14ac:dyDescent="0.3">
      <c r="A361" t="s">
        <v>182</v>
      </c>
      <c r="B361" t="s">
        <v>412</v>
      </c>
      <c r="C361">
        <v>1</v>
      </c>
      <c r="D361">
        <f>VLOOKUP(B361, Menu!$A:$F, 6, 0)</f>
        <v>57.07</v>
      </c>
      <c r="E361">
        <f>VLOOKUP(B361, Menu!$A:$F, 5, 0)</f>
        <v>29.14</v>
      </c>
      <c r="F361" t="str">
        <f>VLOOKUP(B361, Menu!$A:$F, 3, 0)</f>
        <v>Dessert</v>
      </c>
      <c r="G361" s="5">
        <f>VLOOKUP(A361, Orders!$A:$B, 2, 0)</f>
        <v>45897.023043981477</v>
      </c>
      <c r="H361" t="str">
        <f>VLOOKUP(A361, Orders!$A:$C, 3, 0)</f>
        <v>Head Office Café</v>
      </c>
      <c r="I361">
        <f>C361*D361*(1-VLOOKUP(A361,Orders!$A:$G,7,0))</f>
        <v>52.504400000000004</v>
      </c>
      <c r="J361" t="str">
        <f>VLOOKUP(A361,Orders!$A:$G,6,0)</f>
        <v>Breakfast</v>
      </c>
      <c r="K361" t="str">
        <f>VLOOKUP(A361,Orders!$A:$G,5,0)</f>
        <v>Card</v>
      </c>
    </row>
    <row r="362" spans="1:11" x14ac:dyDescent="0.3">
      <c r="A362" t="s">
        <v>182</v>
      </c>
      <c r="B362" t="s">
        <v>414</v>
      </c>
      <c r="C362">
        <v>2</v>
      </c>
      <c r="D362">
        <f>VLOOKUP(B362, Menu!$A:$F, 6, 0)</f>
        <v>116.8</v>
      </c>
      <c r="E362">
        <f>VLOOKUP(B362, Menu!$A:$F, 5, 0)</f>
        <v>48.97</v>
      </c>
      <c r="F362" t="str">
        <f>VLOOKUP(B362, Menu!$A:$F, 3, 0)</f>
        <v>Dessert</v>
      </c>
      <c r="G362" s="5">
        <f>VLOOKUP(A362, Orders!$A:$B, 2, 0)</f>
        <v>45897.023043981477</v>
      </c>
      <c r="H362" t="str">
        <f>VLOOKUP(A362, Orders!$A:$C, 3, 0)</f>
        <v>Head Office Café</v>
      </c>
      <c r="I362">
        <f>C362*D362*(1-VLOOKUP(A362,Orders!$A:$G,7,0))</f>
        <v>214.91200000000001</v>
      </c>
      <c r="J362" t="str">
        <f>VLOOKUP(A362,Orders!$A:$G,6,0)</f>
        <v>Breakfast</v>
      </c>
      <c r="K362" t="str">
        <f>VLOOKUP(A362,Orders!$A:$G,5,0)</f>
        <v>Card</v>
      </c>
    </row>
    <row r="363" spans="1:11" x14ac:dyDescent="0.3">
      <c r="A363" t="s">
        <v>183</v>
      </c>
      <c r="B363" t="s">
        <v>415</v>
      </c>
      <c r="C363">
        <v>3</v>
      </c>
      <c r="D363">
        <f>VLOOKUP(B363, Menu!$A:$F, 6, 0)</f>
        <v>256.91000000000003</v>
      </c>
      <c r="E363">
        <f>VLOOKUP(B363, Menu!$A:$F, 5, 0)</f>
        <v>121.24</v>
      </c>
      <c r="F363" t="str">
        <f>VLOOKUP(B363, Menu!$A:$F, 3, 0)</f>
        <v>Hot Meal</v>
      </c>
      <c r="G363" s="5">
        <f>VLOOKUP(A363, Orders!$A:$B, 2, 0)</f>
        <v>45851.323541666658</v>
      </c>
      <c r="H363" t="str">
        <f>VLOOKUP(A363, Orders!$A:$C, 3, 0)</f>
        <v>Plant 2 Canteen</v>
      </c>
      <c r="I363">
        <f>C363*D363*(1-VLOOKUP(A363,Orders!$A:$G,7,0))</f>
        <v>724.48619999999994</v>
      </c>
      <c r="J363" t="str">
        <f>VLOOKUP(A363,Orders!$A:$G,6,0)</f>
        <v>Breakfast</v>
      </c>
      <c r="K363" t="str">
        <f>VLOOKUP(A363,Orders!$A:$G,5,0)</f>
        <v>Card</v>
      </c>
    </row>
    <row r="364" spans="1:11" x14ac:dyDescent="0.3">
      <c r="A364" t="s">
        <v>183</v>
      </c>
      <c r="B364" t="s">
        <v>411</v>
      </c>
      <c r="C364">
        <v>2</v>
      </c>
      <c r="D364">
        <f>VLOOKUP(B364, Menu!$A:$F, 6, 0)</f>
        <v>22.2</v>
      </c>
      <c r="E364">
        <f>VLOOKUP(B364, Menu!$A:$F, 5, 0)</f>
        <v>9.3800000000000008</v>
      </c>
      <c r="F364" t="str">
        <f>VLOOKUP(B364, Menu!$A:$F, 3, 0)</f>
        <v>Beverage</v>
      </c>
      <c r="G364" s="5">
        <f>VLOOKUP(A364, Orders!$A:$B, 2, 0)</f>
        <v>45851.323541666658</v>
      </c>
      <c r="H364" t="str">
        <f>VLOOKUP(A364, Orders!$A:$C, 3, 0)</f>
        <v>Plant 2 Canteen</v>
      </c>
      <c r="I364">
        <f>C364*D364*(1-VLOOKUP(A364,Orders!$A:$G,7,0))</f>
        <v>41.735999999999997</v>
      </c>
      <c r="J364" t="str">
        <f>VLOOKUP(A364,Orders!$A:$G,6,0)</f>
        <v>Breakfast</v>
      </c>
      <c r="K364" t="str">
        <f>VLOOKUP(A364,Orders!$A:$G,5,0)</f>
        <v>Card</v>
      </c>
    </row>
    <row r="365" spans="1:11" x14ac:dyDescent="0.3">
      <c r="A365" t="s">
        <v>183</v>
      </c>
      <c r="B365" t="s">
        <v>414</v>
      </c>
      <c r="C365">
        <v>1</v>
      </c>
      <c r="D365">
        <f>VLOOKUP(B365, Menu!$A:$F, 6, 0)</f>
        <v>116.8</v>
      </c>
      <c r="E365">
        <f>VLOOKUP(B365, Menu!$A:$F, 5, 0)</f>
        <v>48.97</v>
      </c>
      <c r="F365" t="str">
        <f>VLOOKUP(B365, Menu!$A:$F, 3, 0)</f>
        <v>Dessert</v>
      </c>
      <c r="G365" s="5">
        <f>VLOOKUP(A365, Orders!$A:$B, 2, 0)</f>
        <v>45851.323541666658</v>
      </c>
      <c r="H365" t="str">
        <f>VLOOKUP(A365, Orders!$A:$C, 3, 0)</f>
        <v>Plant 2 Canteen</v>
      </c>
      <c r="I365">
        <f>C365*D365*(1-VLOOKUP(A365,Orders!$A:$G,7,0))</f>
        <v>109.79199999999999</v>
      </c>
      <c r="J365" t="str">
        <f>VLOOKUP(A365,Orders!$A:$G,6,0)</f>
        <v>Breakfast</v>
      </c>
      <c r="K365" t="str">
        <f>VLOOKUP(A365,Orders!$A:$G,5,0)</f>
        <v>Card</v>
      </c>
    </row>
    <row r="366" spans="1:11" x14ac:dyDescent="0.3">
      <c r="A366" t="s">
        <v>183</v>
      </c>
      <c r="B366" t="s">
        <v>407</v>
      </c>
      <c r="C366">
        <v>3</v>
      </c>
      <c r="D366">
        <f>VLOOKUP(B366, Menu!$A:$F, 6, 0)</f>
        <v>246.09</v>
      </c>
      <c r="E366">
        <f>VLOOKUP(B366, Menu!$A:$F, 5, 0)</f>
        <v>112.08</v>
      </c>
      <c r="F366" t="str">
        <f>VLOOKUP(B366, Menu!$A:$F, 3, 0)</f>
        <v>Hot Meal</v>
      </c>
      <c r="G366" s="5">
        <f>VLOOKUP(A366, Orders!$A:$B, 2, 0)</f>
        <v>45851.323541666658</v>
      </c>
      <c r="H366" t="str">
        <f>VLOOKUP(A366, Orders!$A:$C, 3, 0)</f>
        <v>Plant 2 Canteen</v>
      </c>
      <c r="I366">
        <f>C366*D366*(1-VLOOKUP(A366,Orders!$A:$G,7,0))</f>
        <v>693.97379999999998</v>
      </c>
      <c r="J366" t="str">
        <f>VLOOKUP(A366,Orders!$A:$G,6,0)</f>
        <v>Breakfast</v>
      </c>
      <c r="K366" t="str">
        <f>VLOOKUP(A366,Orders!$A:$G,5,0)</f>
        <v>Card</v>
      </c>
    </row>
    <row r="367" spans="1:11" x14ac:dyDescent="0.3">
      <c r="A367" t="s">
        <v>184</v>
      </c>
      <c r="B367" t="s">
        <v>408</v>
      </c>
      <c r="C367">
        <v>1</v>
      </c>
      <c r="D367">
        <f>VLOOKUP(B367, Menu!$A:$F, 6, 0)</f>
        <v>70.540000000000006</v>
      </c>
      <c r="E367">
        <f>VLOOKUP(B367, Menu!$A:$F, 5, 0)</f>
        <v>35.81</v>
      </c>
      <c r="F367" t="str">
        <f>VLOOKUP(B367, Menu!$A:$F, 3, 0)</f>
        <v>Snack</v>
      </c>
      <c r="G367" s="5">
        <f>VLOOKUP(A367, Orders!$A:$B, 2, 0)</f>
        <v>45865.682476851849</v>
      </c>
      <c r="H367" t="str">
        <f>VLOOKUP(A367, Orders!$A:$C, 3, 0)</f>
        <v>Head Office Café</v>
      </c>
      <c r="I367">
        <f>C367*D367*(1-VLOOKUP(A367,Orders!$A:$G,7,0))</f>
        <v>68.4238</v>
      </c>
      <c r="J367" t="str">
        <f>VLOOKUP(A367,Orders!$A:$G,6,0)</f>
        <v>Dinner</v>
      </c>
      <c r="K367" t="str">
        <f>VLOOKUP(A367,Orders!$A:$G,5,0)</f>
        <v>Card</v>
      </c>
    </row>
    <row r="368" spans="1:11" x14ac:dyDescent="0.3">
      <c r="A368" t="s">
        <v>184</v>
      </c>
      <c r="B368" t="s">
        <v>405</v>
      </c>
      <c r="C368">
        <v>1</v>
      </c>
      <c r="D368">
        <f>VLOOKUP(B368, Menu!$A:$F, 6, 0)</f>
        <v>170.83</v>
      </c>
      <c r="E368">
        <f>VLOOKUP(B368, Menu!$A:$F, 5, 0)</f>
        <v>74.069999999999993</v>
      </c>
      <c r="F368" t="str">
        <f>VLOOKUP(B368, Menu!$A:$F, 3, 0)</f>
        <v>Hot Meal</v>
      </c>
      <c r="G368" s="5">
        <f>VLOOKUP(A368, Orders!$A:$B, 2, 0)</f>
        <v>45865.682476851849</v>
      </c>
      <c r="H368" t="str">
        <f>VLOOKUP(A368, Orders!$A:$C, 3, 0)</f>
        <v>Head Office Café</v>
      </c>
      <c r="I368">
        <f>C368*D368*(1-VLOOKUP(A368,Orders!$A:$G,7,0))</f>
        <v>165.70510000000002</v>
      </c>
      <c r="J368" t="str">
        <f>VLOOKUP(A368,Orders!$A:$G,6,0)</f>
        <v>Dinner</v>
      </c>
      <c r="K368" t="str">
        <f>VLOOKUP(A368,Orders!$A:$G,5,0)</f>
        <v>Card</v>
      </c>
    </row>
    <row r="369" spans="1:11" x14ac:dyDescent="0.3">
      <c r="A369" t="s">
        <v>184</v>
      </c>
      <c r="B369" t="s">
        <v>404</v>
      </c>
      <c r="C369">
        <v>3</v>
      </c>
      <c r="D369">
        <f>VLOOKUP(B369, Menu!$A:$F, 6, 0)</f>
        <v>32.979999999999997</v>
      </c>
      <c r="E369">
        <f>VLOOKUP(B369, Menu!$A:$F, 5, 0)</f>
        <v>11.84</v>
      </c>
      <c r="F369" t="str">
        <f>VLOOKUP(B369, Menu!$A:$F, 3, 0)</f>
        <v>Beverage</v>
      </c>
      <c r="G369" s="5">
        <f>VLOOKUP(A369, Orders!$A:$B, 2, 0)</f>
        <v>45865.682476851849</v>
      </c>
      <c r="H369" t="str">
        <f>VLOOKUP(A369, Orders!$A:$C, 3, 0)</f>
        <v>Head Office Café</v>
      </c>
      <c r="I369">
        <f>C369*D369*(1-VLOOKUP(A369,Orders!$A:$G,7,0))</f>
        <v>95.971800000000002</v>
      </c>
      <c r="J369" t="str">
        <f>VLOOKUP(A369,Orders!$A:$G,6,0)</f>
        <v>Dinner</v>
      </c>
      <c r="K369" t="str">
        <f>VLOOKUP(A369,Orders!$A:$G,5,0)</f>
        <v>Card</v>
      </c>
    </row>
    <row r="370" spans="1:11" x14ac:dyDescent="0.3">
      <c r="A370" t="s">
        <v>184</v>
      </c>
      <c r="B370" t="s">
        <v>409</v>
      </c>
      <c r="C370">
        <v>1</v>
      </c>
      <c r="D370">
        <f>VLOOKUP(B370, Menu!$A:$F, 6, 0)</f>
        <v>28.43</v>
      </c>
      <c r="E370">
        <f>VLOOKUP(B370, Menu!$A:$F, 5, 0)</f>
        <v>13.89</v>
      </c>
      <c r="F370" t="str">
        <f>VLOOKUP(B370, Menu!$A:$F, 3, 0)</f>
        <v>Beverage</v>
      </c>
      <c r="G370" s="5">
        <f>VLOOKUP(A370, Orders!$A:$B, 2, 0)</f>
        <v>45865.682476851849</v>
      </c>
      <c r="H370" t="str">
        <f>VLOOKUP(A370, Orders!$A:$C, 3, 0)</f>
        <v>Head Office Café</v>
      </c>
      <c r="I370">
        <f>C370*D370*(1-VLOOKUP(A370,Orders!$A:$G,7,0))</f>
        <v>27.577099999999998</v>
      </c>
      <c r="J370" t="str">
        <f>VLOOKUP(A370,Orders!$A:$G,6,0)</f>
        <v>Dinner</v>
      </c>
      <c r="K370" t="str">
        <f>VLOOKUP(A370,Orders!$A:$G,5,0)</f>
        <v>Card</v>
      </c>
    </row>
    <row r="371" spans="1:11" x14ac:dyDescent="0.3">
      <c r="A371" t="s">
        <v>185</v>
      </c>
      <c r="B371" t="s">
        <v>402</v>
      </c>
      <c r="C371">
        <v>1</v>
      </c>
      <c r="D371">
        <f>VLOOKUP(B371, Menu!$A:$F, 6, 0)</f>
        <v>30.34</v>
      </c>
      <c r="E371">
        <f>VLOOKUP(B371, Menu!$A:$F, 5, 0)</f>
        <v>14.18</v>
      </c>
      <c r="F371" t="str">
        <f>VLOOKUP(B371, Menu!$A:$F, 3, 0)</f>
        <v>Beverage</v>
      </c>
      <c r="G371" s="5">
        <f>VLOOKUP(A371, Orders!$A:$B, 2, 0)</f>
        <v>45847.060127314813</v>
      </c>
      <c r="H371" t="str">
        <f>VLOOKUP(A371, Orders!$A:$C, 3, 0)</f>
        <v>Head Office Café</v>
      </c>
      <c r="I371">
        <f>C371*D371*(1-VLOOKUP(A371,Orders!$A:$G,7,0))</f>
        <v>30.34</v>
      </c>
      <c r="J371" t="str">
        <f>VLOOKUP(A371,Orders!$A:$G,6,0)</f>
        <v>Breakfast</v>
      </c>
      <c r="K371" t="str">
        <f>VLOOKUP(A371,Orders!$A:$G,5,0)</f>
        <v>Card</v>
      </c>
    </row>
    <row r="372" spans="1:11" x14ac:dyDescent="0.3">
      <c r="A372" t="s">
        <v>185</v>
      </c>
      <c r="B372" t="s">
        <v>418</v>
      </c>
      <c r="C372">
        <v>1</v>
      </c>
      <c r="D372">
        <f>VLOOKUP(B372, Menu!$A:$F, 6, 0)</f>
        <v>39.950000000000003</v>
      </c>
      <c r="E372">
        <f>VLOOKUP(B372, Menu!$A:$F, 5, 0)</f>
        <v>15.51</v>
      </c>
      <c r="F372" t="str">
        <f>VLOOKUP(B372, Menu!$A:$F, 3, 0)</f>
        <v>Snack</v>
      </c>
      <c r="G372" s="5">
        <f>VLOOKUP(A372, Orders!$A:$B, 2, 0)</f>
        <v>45847.060127314813</v>
      </c>
      <c r="H372" t="str">
        <f>VLOOKUP(A372, Orders!$A:$C, 3, 0)</f>
        <v>Head Office Café</v>
      </c>
      <c r="I372">
        <f>C372*D372*(1-VLOOKUP(A372,Orders!$A:$G,7,0))</f>
        <v>39.950000000000003</v>
      </c>
      <c r="J372" t="str">
        <f>VLOOKUP(A372,Orders!$A:$G,6,0)</f>
        <v>Breakfast</v>
      </c>
      <c r="K372" t="str">
        <f>VLOOKUP(A372,Orders!$A:$G,5,0)</f>
        <v>Card</v>
      </c>
    </row>
    <row r="373" spans="1:11" x14ac:dyDescent="0.3">
      <c r="A373" t="s">
        <v>186</v>
      </c>
      <c r="B373" t="s">
        <v>416</v>
      </c>
      <c r="C373">
        <v>1</v>
      </c>
      <c r="D373">
        <f>VLOOKUP(B373, Menu!$A:$F, 6, 0)</f>
        <v>227.61</v>
      </c>
      <c r="E373">
        <f>VLOOKUP(B373, Menu!$A:$F, 5, 0)</f>
        <v>96.22</v>
      </c>
      <c r="F373" t="str">
        <f>VLOOKUP(B373, Menu!$A:$F, 3, 0)</f>
        <v>Hot Meal</v>
      </c>
      <c r="G373" s="5">
        <f>VLOOKUP(A373, Orders!$A:$B, 2, 0)</f>
        <v>45897.86478009259</v>
      </c>
      <c r="H373" t="str">
        <f>VLOOKUP(A373, Orders!$A:$C, 3, 0)</f>
        <v>Plant 2 Canteen</v>
      </c>
      <c r="I373">
        <f>C373*D373*(1-VLOOKUP(A373,Orders!$A:$G,7,0))</f>
        <v>218.50560000000002</v>
      </c>
      <c r="J373" t="str">
        <f>VLOOKUP(A373,Orders!$A:$G,6,0)</f>
        <v>Dinner</v>
      </c>
      <c r="K373" t="str">
        <f>VLOOKUP(A373,Orders!$A:$G,5,0)</f>
        <v>Cash</v>
      </c>
    </row>
    <row r="374" spans="1:11" x14ac:dyDescent="0.3">
      <c r="A374" t="s">
        <v>186</v>
      </c>
      <c r="B374" t="s">
        <v>408</v>
      </c>
      <c r="C374">
        <v>1</v>
      </c>
      <c r="D374">
        <f>VLOOKUP(B374, Menu!$A:$F, 6, 0)</f>
        <v>70.540000000000006</v>
      </c>
      <c r="E374">
        <f>VLOOKUP(B374, Menu!$A:$F, 5, 0)</f>
        <v>35.81</v>
      </c>
      <c r="F374" t="str">
        <f>VLOOKUP(B374, Menu!$A:$F, 3, 0)</f>
        <v>Snack</v>
      </c>
      <c r="G374" s="5">
        <f>VLOOKUP(A374, Orders!$A:$B, 2, 0)</f>
        <v>45897.86478009259</v>
      </c>
      <c r="H374" t="str">
        <f>VLOOKUP(A374, Orders!$A:$C, 3, 0)</f>
        <v>Plant 2 Canteen</v>
      </c>
      <c r="I374">
        <f>C374*D374*(1-VLOOKUP(A374,Orders!$A:$G,7,0))</f>
        <v>67.718400000000003</v>
      </c>
      <c r="J374" t="str">
        <f>VLOOKUP(A374,Orders!$A:$G,6,0)</f>
        <v>Dinner</v>
      </c>
      <c r="K374" t="str">
        <f>VLOOKUP(A374,Orders!$A:$G,5,0)</f>
        <v>Cash</v>
      </c>
    </row>
    <row r="375" spans="1:11" x14ac:dyDescent="0.3">
      <c r="A375" t="s">
        <v>187</v>
      </c>
      <c r="B375" t="s">
        <v>405</v>
      </c>
      <c r="C375">
        <v>2</v>
      </c>
      <c r="D375">
        <f>VLOOKUP(B375, Menu!$A:$F, 6, 0)</f>
        <v>170.83</v>
      </c>
      <c r="E375">
        <f>VLOOKUP(B375, Menu!$A:$F, 5, 0)</f>
        <v>74.069999999999993</v>
      </c>
      <c r="F375" t="str">
        <f>VLOOKUP(B375, Menu!$A:$F, 3, 0)</f>
        <v>Hot Meal</v>
      </c>
      <c r="G375" s="5">
        <f>VLOOKUP(A375, Orders!$A:$B, 2, 0)</f>
        <v>45895.096284722233</v>
      </c>
      <c r="H375" t="str">
        <f>VLOOKUP(A375, Orders!$A:$C, 3, 0)</f>
        <v>Head Office Café</v>
      </c>
      <c r="I375">
        <f>C375*D375*(1-VLOOKUP(A375,Orders!$A:$G,7,0))</f>
        <v>310.91060000000004</v>
      </c>
      <c r="J375" t="str">
        <f>VLOOKUP(A375,Orders!$A:$G,6,0)</f>
        <v>Breakfast</v>
      </c>
      <c r="K375" t="str">
        <f>VLOOKUP(A375,Orders!$A:$G,5,0)</f>
        <v>UPI</v>
      </c>
    </row>
    <row r="376" spans="1:11" x14ac:dyDescent="0.3">
      <c r="A376" t="s">
        <v>187</v>
      </c>
      <c r="B376" t="s">
        <v>407</v>
      </c>
      <c r="C376">
        <v>1</v>
      </c>
      <c r="D376">
        <f>VLOOKUP(B376, Menu!$A:$F, 6, 0)</f>
        <v>246.09</v>
      </c>
      <c r="E376">
        <f>VLOOKUP(B376, Menu!$A:$F, 5, 0)</f>
        <v>112.08</v>
      </c>
      <c r="F376" t="str">
        <f>VLOOKUP(B376, Menu!$A:$F, 3, 0)</f>
        <v>Hot Meal</v>
      </c>
      <c r="G376" s="5">
        <f>VLOOKUP(A376, Orders!$A:$B, 2, 0)</f>
        <v>45895.096284722233</v>
      </c>
      <c r="H376" t="str">
        <f>VLOOKUP(A376, Orders!$A:$C, 3, 0)</f>
        <v>Head Office Café</v>
      </c>
      <c r="I376">
        <f>C376*D376*(1-VLOOKUP(A376,Orders!$A:$G,7,0))</f>
        <v>223.9419</v>
      </c>
      <c r="J376" t="str">
        <f>VLOOKUP(A376,Orders!$A:$G,6,0)</f>
        <v>Breakfast</v>
      </c>
      <c r="K376" t="str">
        <f>VLOOKUP(A376,Orders!$A:$G,5,0)</f>
        <v>UPI</v>
      </c>
    </row>
    <row r="377" spans="1:11" x14ac:dyDescent="0.3">
      <c r="A377" t="s">
        <v>187</v>
      </c>
      <c r="B377" t="s">
        <v>416</v>
      </c>
      <c r="C377">
        <v>1</v>
      </c>
      <c r="D377">
        <f>VLOOKUP(B377, Menu!$A:$F, 6, 0)</f>
        <v>227.61</v>
      </c>
      <c r="E377">
        <f>VLOOKUP(B377, Menu!$A:$F, 5, 0)</f>
        <v>96.22</v>
      </c>
      <c r="F377" t="str">
        <f>VLOOKUP(B377, Menu!$A:$F, 3, 0)</f>
        <v>Hot Meal</v>
      </c>
      <c r="G377" s="5">
        <f>VLOOKUP(A377, Orders!$A:$B, 2, 0)</f>
        <v>45895.096284722233</v>
      </c>
      <c r="H377" t="str">
        <f>VLOOKUP(A377, Orders!$A:$C, 3, 0)</f>
        <v>Head Office Café</v>
      </c>
      <c r="I377">
        <f>C377*D377*(1-VLOOKUP(A377,Orders!$A:$G,7,0))</f>
        <v>207.12510000000003</v>
      </c>
      <c r="J377" t="str">
        <f>VLOOKUP(A377,Orders!$A:$G,6,0)</f>
        <v>Breakfast</v>
      </c>
      <c r="K377" t="str">
        <f>VLOOKUP(A377,Orders!$A:$G,5,0)</f>
        <v>UPI</v>
      </c>
    </row>
    <row r="378" spans="1:11" x14ac:dyDescent="0.3">
      <c r="A378" t="s">
        <v>188</v>
      </c>
      <c r="B378" t="s">
        <v>416</v>
      </c>
      <c r="C378">
        <v>2</v>
      </c>
      <c r="D378">
        <f>VLOOKUP(B378, Menu!$A:$F, 6, 0)</f>
        <v>227.61</v>
      </c>
      <c r="E378">
        <f>VLOOKUP(B378, Menu!$A:$F, 5, 0)</f>
        <v>96.22</v>
      </c>
      <c r="F378" t="str">
        <f>VLOOKUP(B378, Menu!$A:$F, 3, 0)</f>
        <v>Hot Meal</v>
      </c>
      <c r="G378" s="5">
        <f>VLOOKUP(A378, Orders!$A:$B, 2, 0)</f>
        <v>45895.19803240741</v>
      </c>
      <c r="H378" t="str">
        <f>VLOOKUP(A378, Orders!$A:$C, 3, 0)</f>
        <v>Plant 1 Canteen</v>
      </c>
      <c r="I378">
        <f>C378*D378*(1-VLOOKUP(A378,Orders!$A:$G,7,0))</f>
        <v>423.3546</v>
      </c>
      <c r="J378" t="str">
        <f>VLOOKUP(A378,Orders!$A:$G,6,0)</f>
        <v>Breakfast</v>
      </c>
      <c r="K378" t="str">
        <f>VLOOKUP(A378,Orders!$A:$G,5,0)</f>
        <v>Card</v>
      </c>
    </row>
    <row r="379" spans="1:11" x14ac:dyDescent="0.3">
      <c r="A379" t="s">
        <v>188</v>
      </c>
      <c r="B379" t="s">
        <v>417</v>
      </c>
      <c r="C379">
        <v>3</v>
      </c>
      <c r="D379">
        <f>VLOOKUP(B379, Menu!$A:$F, 6, 0)</f>
        <v>146.4</v>
      </c>
      <c r="E379">
        <f>VLOOKUP(B379, Menu!$A:$F, 5, 0)</f>
        <v>80.92</v>
      </c>
      <c r="F379" t="str">
        <f>VLOOKUP(B379, Menu!$A:$F, 3, 0)</f>
        <v>Hot Meal</v>
      </c>
      <c r="G379" s="5">
        <f>VLOOKUP(A379, Orders!$A:$B, 2, 0)</f>
        <v>45895.19803240741</v>
      </c>
      <c r="H379" t="str">
        <f>VLOOKUP(A379, Orders!$A:$C, 3, 0)</f>
        <v>Plant 1 Canteen</v>
      </c>
      <c r="I379">
        <f>C379*D379*(1-VLOOKUP(A379,Orders!$A:$G,7,0))</f>
        <v>408.45600000000002</v>
      </c>
      <c r="J379" t="str">
        <f>VLOOKUP(A379,Orders!$A:$G,6,0)</f>
        <v>Breakfast</v>
      </c>
      <c r="K379" t="str">
        <f>VLOOKUP(A379,Orders!$A:$G,5,0)</f>
        <v>Card</v>
      </c>
    </row>
    <row r="380" spans="1:11" x14ac:dyDescent="0.3">
      <c r="A380" t="s">
        <v>188</v>
      </c>
      <c r="B380" t="s">
        <v>407</v>
      </c>
      <c r="C380">
        <v>3</v>
      </c>
      <c r="D380">
        <f>VLOOKUP(B380, Menu!$A:$F, 6, 0)</f>
        <v>246.09</v>
      </c>
      <c r="E380">
        <f>VLOOKUP(B380, Menu!$A:$F, 5, 0)</f>
        <v>112.08</v>
      </c>
      <c r="F380" t="str">
        <f>VLOOKUP(B380, Menu!$A:$F, 3, 0)</f>
        <v>Hot Meal</v>
      </c>
      <c r="G380" s="5">
        <f>VLOOKUP(A380, Orders!$A:$B, 2, 0)</f>
        <v>45895.19803240741</v>
      </c>
      <c r="H380" t="str">
        <f>VLOOKUP(A380, Orders!$A:$C, 3, 0)</f>
        <v>Plant 1 Canteen</v>
      </c>
      <c r="I380">
        <f>C380*D380*(1-VLOOKUP(A380,Orders!$A:$G,7,0))</f>
        <v>686.59109999999998</v>
      </c>
      <c r="J380" t="str">
        <f>VLOOKUP(A380,Orders!$A:$G,6,0)</f>
        <v>Breakfast</v>
      </c>
      <c r="K380" t="str">
        <f>VLOOKUP(A380,Orders!$A:$G,5,0)</f>
        <v>Card</v>
      </c>
    </row>
    <row r="381" spans="1:11" x14ac:dyDescent="0.3">
      <c r="A381" t="s">
        <v>189</v>
      </c>
      <c r="B381" t="s">
        <v>417</v>
      </c>
      <c r="C381">
        <v>1</v>
      </c>
      <c r="D381">
        <f>VLOOKUP(B381, Menu!$A:$F, 6, 0)</f>
        <v>146.4</v>
      </c>
      <c r="E381">
        <f>VLOOKUP(B381, Menu!$A:$F, 5, 0)</f>
        <v>80.92</v>
      </c>
      <c r="F381" t="str">
        <f>VLOOKUP(B381, Menu!$A:$F, 3, 0)</f>
        <v>Hot Meal</v>
      </c>
      <c r="G381" s="5">
        <f>VLOOKUP(A381, Orders!$A:$B, 2, 0)</f>
        <v>45882.186215277783</v>
      </c>
      <c r="H381" t="str">
        <f>VLOOKUP(A381, Orders!$A:$C, 3, 0)</f>
        <v>Plant 2 Canteen</v>
      </c>
      <c r="I381">
        <f>C381*D381*(1-VLOOKUP(A381,Orders!$A:$G,7,0))</f>
        <v>144.93600000000001</v>
      </c>
      <c r="J381" t="str">
        <f>VLOOKUP(A381,Orders!$A:$G,6,0)</f>
        <v>Breakfast</v>
      </c>
      <c r="K381" t="str">
        <f>VLOOKUP(A381,Orders!$A:$G,5,0)</f>
        <v>UPI</v>
      </c>
    </row>
    <row r="382" spans="1:11" x14ac:dyDescent="0.3">
      <c r="A382" t="s">
        <v>189</v>
      </c>
      <c r="B382" t="s">
        <v>402</v>
      </c>
      <c r="C382">
        <v>3</v>
      </c>
      <c r="D382">
        <f>VLOOKUP(B382, Menu!$A:$F, 6, 0)</f>
        <v>30.34</v>
      </c>
      <c r="E382">
        <f>VLOOKUP(B382, Menu!$A:$F, 5, 0)</f>
        <v>14.18</v>
      </c>
      <c r="F382" t="str">
        <f>VLOOKUP(B382, Menu!$A:$F, 3, 0)</f>
        <v>Beverage</v>
      </c>
      <c r="G382" s="5">
        <f>VLOOKUP(A382, Orders!$A:$B, 2, 0)</f>
        <v>45882.186215277783</v>
      </c>
      <c r="H382" t="str">
        <f>VLOOKUP(A382, Orders!$A:$C, 3, 0)</f>
        <v>Plant 2 Canteen</v>
      </c>
      <c r="I382">
        <f>C382*D382*(1-VLOOKUP(A382,Orders!$A:$G,7,0))</f>
        <v>90.109799999999993</v>
      </c>
      <c r="J382" t="str">
        <f>VLOOKUP(A382,Orders!$A:$G,6,0)</f>
        <v>Breakfast</v>
      </c>
      <c r="K382" t="str">
        <f>VLOOKUP(A382,Orders!$A:$G,5,0)</f>
        <v>UPI</v>
      </c>
    </row>
    <row r="383" spans="1:11" x14ac:dyDescent="0.3">
      <c r="A383" t="s">
        <v>190</v>
      </c>
      <c r="B383" t="s">
        <v>410</v>
      </c>
      <c r="C383">
        <v>1</v>
      </c>
      <c r="D383">
        <f>VLOOKUP(B383, Menu!$A:$F, 6, 0)</f>
        <v>20.11</v>
      </c>
      <c r="E383">
        <f>VLOOKUP(B383, Menu!$A:$F, 5, 0)</f>
        <v>8</v>
      </c>
      <c r="F383" t="str">
        <f>VLOOKUP(B383, Menu!$A:$F, 3, 0)</f>
        <v>Beverage</v>
      </c>
      <c r="G383" s="5">
        <f>VLOOKUP(A383, Orders!$A:$B, 2, 0)</f>
        <v>45886.991828703707</v>
      </c>
      <c r="H383" t="str">
        <f>VLOOKUP(A383, Orders!$A:$C, 3, 0)</f>
        <v>Plant 1 Canteen</v>
      </c>
      <c r="I383">
        <f>C383*D383*(1-VLOOKUP(A383,Orders!$A:$G,7,0))</f>
        <v>18.702299999999997</v>
      </c>
      <c r="J383" t="str">
        <f>VLOOKUP(A383,Orders!$A:$G,6,0)</f>
        <v>Dinner</v>
      </c>
      <c r="K383" t="str">
        <f>VLOOKUP(A383,Orders!$A:$G,5,0)</f>
        <v>Card</v>
      </c>
    </row>
    <row r="384" spans="1:11" x14ac:dyDescent="0.3">
      <c r="A384" t="s">
        <v>190</v>
      </c>
      <c r="B384" t="s">
        <v>409</v>
      </c>
      <c r="C384">
        <v>2</v>
      </c>
      <c r="D384">
        <f>VLOOKUP(B384, Menu!$A:$F, 6, 0)</f>
        <v>28.43</v>
      </c>
      <c r="E384">
        <f>VLOOKUP(B384, Menu!$A:$F, 5, 0)</f>
        <v>13.89</v>
      </c>
      <c r="F384" t="str">
        <f>VLOOKUP(B384, Menu!$A:$F, 3, 0)</f>
        <v>Beverage</v>
      </c>
      <c r="G384" s="5">
        <f>VLOOKUP(A384, Orders!$A:$B, 2, 0)</f>
        <v>45886.991828703707</v>
      </c>
      <c r="H384" t="str">
        <f>VLOOKUP(A384, Orders!$A:$C, 3, 0)</f>
        <v>Plant 1 Canteen</v>
      </c>
      <c r="I384">
        <f>C384*D384*(1-VLOOKUP(A384,Orders!$A:$G,7,0))</f>
        <v>52.879799999999996</v>
      </c>
      <c r="J384" t="str">
        <f>VLOOKUP(A384,Orders!$A:$G,6,0)</f>
        <v>Dinner</v>
      </c>
      <c r="K384" t="str">
        <f>VLOOKUP(A384,Orders!$A:$G,5,0)</f>
        <v>Card</v>
      </c>
    </row>
    <row r="385" spans="1:11" x14ac:dyDescent="0.3">
      <c r="A385" t="s">
        <v>191</v>
      </c>
      <c r="B385" t="s">
        <v>419</v>
      </c>
      <c r="C385">
        <v>1</v>
      </c>
      <c r="D385">
        <f>VLOOKUP(B385, Menu!$A:$F, 6, 0)</f>
        <v>50.19</v>
      </c>
      <c r="E385">
        <f>VLOOKUP(B385, Menu!$A:$F, 5, 0)</f>
        <v>22.61</v>
      </c>
      <c r="F385" t="str">
        <f>VLOOKUP(B385, Menu!$A:$F, 3, 0)</f>
        <v>Snack</v>
      </c>
      <c r="G385" s="5">
        <f>VLOOKUP(A385, Orders!$A:$B, 2, 0)</f>
        <v>45871.611030092587</v>
      </c>
      <c r="H385" t="str">
        <f>VLOOKUP(A385, Orders!$A:$C, 3, 0)</f>
        <v>Plant 2 Canteen</v>
      </c>
      <c r="I385">
        <f>C385*D385*(1-VLOOKUP(A385,Orders!$A:$G,7,0))</f>
        <v>46.174799999999998</v>
      </c>
      <c r="J385" t="str">
        <f>VLOOKUP(A385,Orders!$A:$G,6,0)</f>
        <v>Lunch</v>
      </c>
      <c r="K385" t="str">
        <f>VLOOKUP(A385,Orders!$A:$G,5,0)</f>
        <v>Cash</v>
      </c>
    </row>
    <row r="386" spans="1:11" x14ac:dyDescent="0.3">
      <c r="A386" t="s">
        <v>191</v>
      </c>
      <c r="B386" t="s">
        <v>409</v>
      </c>
      <c r="C386">
        <v>2</v>
      </c>
      <c r="D386">
        <f>VLOOKUP(B386, Menu!$A:$F, 6, 0)</f>
        <v>28.43</v>
      </c>
      <c r="E386">
        <f>VLOOKUP(B386, Menu!$A:$F, 5, 0)</f>
        <v>13.89</v>
      </c>
      <c r="F386" t="str">
        <f>VLOOKUP(B386, Menu!$A:$F, 3, 0)</f>
        <v>Beverage</v>
      </c>
      <c r="G386" s="5">
        <f>VLOOKUP(A386, Orders!$A:$B, 2, 0)</f>
        <v>45871.611030092587</v>
      </c>
      <c r="H386" t="str">
        <f>VLOOKUP(A386, Orders!$A:$C, 3, 0)</f>
        <v>Plant 2 Canteen</v>
      </c>
      <c r="I386">
        <f>C386*D386*(1-VLOOKUP(A386,Orders!$A:$G,7,0))</f>
        <v>52.311199999999999</v>
      </c>
      <c r="J386" t="str">
        <f>VLOOKUP(A386,Orders!$A:$G,6,0)</f>
        <v>Lunch</v>
      </c>
      <c r="K386" t="str">
        <f>VLOOKUP(A386,Orders!$A:$G,5,0)</f>
        <v>Cash</v>
      </c>
    </row>
    <row r="387" spans="1:11" x14ac:dyDescent="0.3">
      <c r="A387" t="s">
        <v>191</v>
      </c>
      <c r="B387" t="s">
        <v>414</v>
      </c>
      <c r="C387">
        <v>2</v>
      </c>
      <c r="D387">
        <f>VLOOKUP(B387, Menu!$A:$F, 6, 0)</f>
        <v>116.8</v>
      </c>
      <c r="E387">
        <f>VLOOKUP(B387, Menu!$A:$F, 5, 0)</f>
        <v>48.97</v>
      </c>
      <c r="F387" t="str">
        <f>VLOOKUP(B387, Menu!$A:$F, 3, 0)</f>
        <v>Dessert</v>
      </c>
      <c r="G387" s="5">
        <f>VLOOKUP(A387, Orders!$A:$B, 2, 0)</f>
        <v>45871.611030092587</v>
      </c>
      <c r="H387" t="str">
        <f>VLOOKUP(A387, Orders!$A:$C, 3, 0)</f>
        <v>Plant 2 Canteen</v>
      </c>
      <c r="I387">
        <f>C387*D387*(1-VLOOKUP(A387,Orders!$A:$G,7,0))</f>
        <v>214.91200000000001</v>
      </c>
      <c r="J387" t="str">
        <f>VLOOKUP(A387,Orders!$A:$G,6,0)</f>
        <v>Lunch</v>
      </c>
      <c r="K387" t="str">
        <f>VLOOKUP(A387,Orders!$A:$G,5,0)</f>
        <v>Cash</v>
      </c>
    </row>
    <row r="388" spans="1:11" x14ac:dyDescent="0.3">
      <c r="A388" t="s">
        <v>191</v>
      </c>
      <c r="B388" t="s">
        <v>404</v>
      </c>
      <c r="C388">
        <v>1</v>
      </c>
      <c r="D388">
        <f>VLOOKUP(B388, Menu!$A:$F, 6, 0)</f>
        <v>32.979999999999997</v>
      </c>
      <c r="E388">
        <f>VLOOKUP(B388, Menu!$A:$F, 5, 0)</f>
        <v>11.84</v>
      </c>
      <c r="F388" t="str">
        <f>VLOOKUP(B388, Menu!$A:$F, 3, 0)</f>
        <v>Beverage</v>
      </c>
      <c r="G388" s="5">
        <f>VLOOKUP(A388, Orders!$A:$B, 2, 0)</f>
        <v>45871.611030092587</v>
      </c>
      <c r="H388" t="str">
        <f>VLOOKUP(A388, Orders!$A:$C, 3, 0)</f>
        <v>Plant 2 Canteen</v>
      </c>
      <c r="I388">
        <f>C388*D388*(1-VLOOKUP(A388,Orders!$A:$G,7,0))</f>
        <v>30.3416</v>
      </c>
      <c r="J388" t="str">
        <f>VLOOKUP(A388,Orders!$A:$G,6,0)</f>
        <v>Lunch</v>
      </c>
      <c r="K388" t="str">
        <f>VLOOKUP(A388,Orders!$A:$G,5,0)</f>
        <v>Cash</v>
      </c>
    </row>
    <row r="389" spans="1:11" x14ac:dyDescent="0.3">
      <c r="A389" t="s">
        <v>192</v>
      </c>
      <c r="B389" t="s">
        <v>418</v>
      </c>
      <c r="C389">
        <v>2</v>
      </c>
      <c r="D389">
        <f>VLOOKUP(B389, Menu!$A:$F, 6, 0)</f>
        <v>39.950000000000003</v>
      </c>
      <c r="E389">
        <f>VLOOKUP(B389, Menu!$A:$F, 5, 0)</f>
        <v>15.51</v>
      </c>
      <c r="F389" t="str">
        <f>VLOOKUP(B389, Menu!$A:$F, 3, 0)</f>
        <v>Snack</v>
      </c>
      <c r="G389" s="5">
        <f>VLOOKUP(A389, Orders!$A:$B, 2, 0)</f>
        <v>45871.270752314813</v>
      </c>
      <c r="H389" t="str">
        <f>VLOOKUP(A389, Orders!$A:$C, 3, 0)</f>
        <v>Plant 2 Canteen</v>
      </c>
      <c r="I389">
        <f>C389*D389*(1-VLOOKUP(A389,Orders!$A:$G,7,0))</f>
        <v>78.302000000000007</v>
      </c>
      <c r="J389" t="str">
        <f>VLOOKUP(A389,Orders!$A:$G,6,0)</f>
        <v>Breakfast</v>
      </c>
      <c r="K389" t="str">
        <f>VLOOKUP(A389,Orders!$A:$G,5,0)</f>
        <v>Card</v>
      </c>
    </row>
    <row r="390" spans="1:11" x14ac:dyDescent="0.3">
      <c r="A390" t="s">
        <v>192</v>
      </c>
      <c r="B390" t="s">
        <v>401</v>
      </c>
      <c r="C390">
        <v>3</v>
      </c>
      <c r="D390">
        <f>VLOOKUP(B390, Menu!$A:$F, 6, 0)</f>
        <v>52.45</v>
      </c>
      <c r="E390">
        <f>VLOOKUP(B390, Menu!$A:$F, 5, 0)</f>
        <v>25.8</v>
      </c>
      <c r="F390" t="str">
        <f>VLOOKUP(B390, Menu!$A:$F, 3, 0)</f>
        <v>Snack</v>
      </c>
      <c r="G390" s="5">
        <f>VLOOKUP(A390, Orders!$A:$B, 2, 0)</f>
        <v>45871.270752314813</v>
      </c>
      <c r="H390" t="str">
        <f>VLOOKUP(A390, Orders!$A:$C, 3, 0)</f>
        <v>Plant 2 Canteen</v>
      </c>
      <c r="I390">
        <f>C390*D390*(1-VLOOKUP(A390,Orders!$A:$G,7,0))</f>
        <v>154.20300000000003</v>
      </c>
      <c r="J390" t="str">
        <f>VLOOKUP(A390,Orders!$A:$G,6,0)</f>
        <v>Breakfast</v>
      </c>
      <c r="K390" t="str">
        <f>VLOOKUP(A390,Orders!$A:$G,5,0)</f>
        <v>Card</v>
      </c>
    </row>
    <row r="391" spans="1:11" x14ac:dyDescent="0.3">
      <c r="A391" t="s">
        <v>192</v>
      </c>
      <c r="B391" t="s">
        <v>415</v>
      </c>
      <c r="C391">
        <v>2</v>
      </c>
      <c r="D391">
        <f>VLOOKUP(B391, Menu!$A:$F, 6, 0)</f>
        <v>256.91000000000003</v>
      </c>
      <c r="E391">
        <f>VLOOKUP(B391, Menu!$A:$F, 5, 0)</f>
        <v>121.24</v>
      </c>
      <c r="F391" t="str">
        <f>VLOOKUP(B391, Menu!$A:$F, 3, 0)</f>
        <v>Hot Meal</v>
      </c>
      <c r="G391" s="5">
        <f>VLOOKUP(A391, Orders!$A:$B, 2, 0)</f>
        <v>45871.270752314813</v>
      </c>
      <c r="H391" t="str">
        <f>VLOOKUP(A391, Orders!$A:$C, 3, 0)</f>
        <v>Plant 2 Canteen</v>
      </c>
      <c r="I391">
        <f>C391*D391*(1-VLOOKUP(A391,Orders!$A:$G,7,0))</f>
        <v>503.54360000000003</v>
      </c>
      <c r="J391" t="str">
        <f>VLOOKUP(A391,Orders!$A:$G,6,0)</f>
        <v>Breakfast</v>
      </c>
      <c r="K391" t="str">
        <f>VLOOKUP(A391,Orders!$A:$G,5,0)</f>
        <v>Card</v>
      </c>
    </row>
    <row r="392" spans="1:11" x14ac:dyDescent="0.3">
      <c r="A392" t="s">
        <v>192</v>
      </c>
      <c r="B392" t="s">
        <v>412</v>
      </c>
      <c r="C392">
        <v>1</v>
      </c>
      <c r="D392">
        <f>VLOOKUP(B392, Menu!$A:$F, 6, 0)</f>
        <v>57.07</v>
      </c>
      <c r="E392">
        <f>VLOOKUP(B392, Menu!$A:$F, 5, 0)</f>
        <v>29.14</v>
      </c>
      <c r="F392" t="str">
        <f>VLOOKUP(B392, Menu!$A:$F, 3, 0)</f>
        <v>Dessert</v>
      </c>
      <c r="G392" s="5">
        <f>VLOOKUP(A392, Orders!$A:$B, 2, 0)</f>
        <v>45871.270752314813</v>
      </c>
      <c r="H392" t="str">
        <f>VLOOKUP(A392, Orders!$A:$C, 3, 0)</f>
        <v>Plant 2 Canteen</v>
      </c>
      <c r="I392">
        <f>C392*D392*(1-VLOOKUP(A392,Orders!$A:$G,7,0))</f>
        <v>55.928599999999996</v>
      </c>
      <c r="J392" t="str">
        <f>VLOOKUP(A392,Orders!$A:$G,6,0)</f>
        <v>Breakfast</v>
      </c>
      <c r="K392" t="str">
        <f>VLOOKUP(A392,Orders!$A:$G,5,0)</f>
        <v>Card</v>
      </c>
    </row>
    <row r="393" spans="1:11" x14ac:dyDescent="0.3">
      <c r="A393" t="s">
        <v>193</v>
      </c>
      <c r="B393" t="s">
        <v>402</v>
      </c>
      <c r="C393">
        <v>3</v>
      </c>
      <c r="D393">
        <f>VLOOKUP(B393, Menu!$A:$F, 6, 0)</f>
        <v>30.34</v>
      </c>
      <c r="E393">
        <f>VLOOKUP(B393, Menu!$A:$F, 5, 0)</f>
        <v>14.18</v>
      </c>
      <c r="F393" t="str">
        <f>VLOOKUP(B393, Menu!$A:$F, 3, 0)</f>
        <v>Beverage</v>
      </c>
      <c r="G393" s="5">
        <f>VLOOKUP(A393, Orders!$A:$B, 2, 0)</f>
        <v>45878.130046296297</v>
      </c>
      <c r="H393" t="str">
        <f>VLOOKUP(A393, Orders!$A:$C, 3, 0)</f>
        <v>Head Office Café</v>
      </c>
      <c r="I393">
        <f>C393*D393*(1-VLOOKUP(A393,Orders!$A:$G,7,0))</f>
        <v>84.648599999999988</v>
      </c>
      <c r="J393" t="str">
        <f>VLOOKUP(A393,Orders!$A:$G,6,0)</f>
        <v>Breakfast</v>
      </c>
      <c r="K393" t="str">
        <f>VLOOKUP(A393,Orders!$A:$G,5,0)</f>
        <v>Card</v>
      </c>
    </row>
    <row r="394" spans="1:11" x14ac:dyDescent="0.3">
      <c r="A394" t="s">
        <v>193</v>
      </c>
      <c r="B394" t="s">
        <v>414</v>
      </c>
      <c r="C394">
        <v>1</v>
      </c>
      <c r="D394">
        <f>VLOOKUP(B394, Menu!$A:$F, 6, 0)</f>
        <v>116.8</v>
      </c>
      <c r="E394">
        <f>VLOOKUP(B394, Menu!$A:$F, 5, 0)</f>
        <v>48.97</v>
      </c>
      <c r="F394" t="str">
        <f>VLOOKUP(B394, Menu!$A:$F, 3, 0)</f>
        <v>Dessert</v>
      </c>
      <c r="G394" s="5">
        <f>VLOOKUP(A394, Orders!$A:$B, 2, 0)</f>
        <v>45878.130046296297</v>
      </c>
      <c r="H394" t="str">
        <f>VLOOKUP(A394, Orders!$A:$C, 3, 0)</f>
        <v>Head Office Café</v>
      </c>
      <c r="I394">
        <f>C394*D394*(1-VLOOKUP(A394,Orders!$A:$G,7,0))</f>
        <v>108.624</v>
      </c>
      <c r="J394" t="str">
        <f>VLOOKUP(A394,Orders!$A:$G,6,0)</f>
        <v>Breakfast</v>
      </c>
      <c r="K394" t="str">
        <f>VLOOKUP(A394,Orders!$A:$G,5,0)</f>
        <v>Card</v>
      </c>
    </row>
    <row r="395" spans="1:11" x14ac:dyDescent="0.3">
      <c r="A395" t="s">
        <v>193</v>
      </c>
      <c r="B395" t="s">
        <v>416</v>
      </c>
      <c r="C395">
        <v>3</v>
      </c>
      <c r="D395">
        <f>VLOOKUP(B395, Menu!$A:$F, 6, 0)</f>
        <v>227.61</v>
      </c>
      <c r="E395">
        <f>VLOOKUP(B395, Menu!$A:$F, 5, 0)</f>
        <v>96.22</v>
      </c>
      <c r="F395" t="str">
        <f>VLOOKUP(B395, Menu!$A:$F, 3, 0)</f>
        <v>Hot Meal</v>
      </c>
      <c r="G395" s="5">
        <f>VLOOKUP(A395, Orders!$A:$B, 2, 0)</f>
        <v>45878.130046296297</v>
      </c>
      <c r="H395" t="str">
        <f>VLOOKUP(A395, Orders!$A:$C, 3, 0)</f>
        <v>Head Office Café</v>
      </c>
      <c r="I395">
        <f>C395*D395*(1-VLOOKUP(A395,Orders!$A:$G,7,0))</f>
        <v>635.03189999999995</v>
      </c>
      <c r="J395" t="str">
        <f>VLOOKUP(A395,Orders!$A:$G,6,0)</f>
        <v>Breakfast</v>
      </c>
      <c r="K395" t="str">
        <f>VLOOKUP(A395,Orders!$A:$G,5,0)</f>
        <v>Card</v>
      </c>
    </row>
    <row r="396" spans="1:11" x14ac:dyDescent="0.3">
      <c r="A396" t="s">
        <v>193</v>
      </c>
      <c r="B396" t="s">
        <v>418</v>
      </c>
      <c r="C396">
        <v>3</v>
      </c>
      <c r="D396">
        <f>VLOOKUP(B396, Menu!$A:$F, 6, 0)</f>
        <v>39.950000000000003</v>
      </c>
      <c r="E396">
        <f>VLOOKUP(B396, Menu!$A:$F, 5, 0)</f>
        <v>15.51</v>
      </c>
      <c r="F396" t="str">
        <f>VLOOKUP(B396, Menu!$A:$F, 3, 0)</f>
        <v>Snack</v>
      </c>
      <c r="G396" s="5">
        <f>VLOOKUP(A396, Orders!$A:$B, 2, 0)</f>
        <v>45878.130046296297</v>
      </c>
      <c r="H396" t="str">
        <f>VLOOKUP(A396, Orders!$A:$C, 3, 0)</f>
        <v>Head Office Café</v>
      </c>
      <c r="I396">
        <f>C396*D396*(1-VLOOKUP(A396,Orders!$A:$G,7,0))</f>
        <v>111.4605</v>
      </c>
      <c r="J396" t="str">
        <f>VLOOKUP(A396,Orders!$A:$G,6,0)</f>
        <v>Breakfast</v>
      </c>
      <c r="K396" t="str">
        <f>VLOOKUP(A396,Orders!$A:$G,5,0)</f>
        <v>Card</v>
      </c>
    </row>
    <row r="397" spans="1:11" x14ac:dyDescent="0.3">
      <c r="A397" t="s">
        <v>194</v>
      </c>
      <c r="B397" t="s">
        <v>418</v>
      </c>
      <c r="C397">
        <v>3</v>
      </c>
      <c r="D397">
        <f>VLOOKUP(B397, Menu!$A:$F, 6, 0)</f>
        <v>39.950000000000003</v>
      </c>
      <c r="E397">
        <f>VLOOKUP(B397, Menu!$A:$F, 5, 0)</f>
        <v>15.51</v>
      </c>
      <c r="F397" t="str">
        <f>VLOOKUP(B397, Menu!$A:$F, 3, 0)</f>
        <v>Snack</v>
      </c>
      <c r="G397" s="5">
        <f>VLOOKUP(A397, Orders!$A:$B, 2, 0)</f>
        <v>45869.786585648151</v>
      </c>
      <c r="H397" t="str">
        <f>VLOOKUP(A397, Orders!$A:$C, 3, 0)</f>
        <v>Plant 2 Canteen</v>
      </c>
      <c r="I397">
        <f>C397*D397*(1-VLOOKUP(A397,Orders!$A:$G,7,0))</f>
        <v>112.65900000000001</v>
      </c>
      <c r="J397" t="str">
        <f>VLOOKUP(A397,Orders!$A:$G,6,0)</f>
        <v>Dinner</v>
      </c>
      <c r="K397" t="str">
        <f>VLOOKUP(A397,Orders!$A:$G,5,0)</f>
        <v>Cash</v>
      </c>
    </row>
    <row r="398" spans="1:11" x14ac:dyDescent="0.3">
      <c r="A398" t="s">
        <v>194</v>
      </c>
      <c r="B398" t="s">
        <v>407</v>
      </c>
      <c r="C398">
        <v>3</v>
      </c>
      <c r="D398">
        <f>VLOOKUP(B398, Menu!$A:$F, 6, 0)</f>
        <v>246.09</v>
      </c>
      <c r="E398">
        <f>VLOOKUP(B398, Menu!$A:$F, 5, 0)</f>
        <v>112.08</v>
      </c>
      <c r="F398" t="str">
        <f>VLOOKUP(B398, Menu!$A:$F, 3, 0)</f>
        <v>Hot Meal</v>
      </c>
      <c r="G398" s="5">
        <f>VLOOKUP(A398, Orders!$A:$B, 2, 0)</f>
        <v>45869.786585648151</v>
      </c>
      <c r="H398" t="str">
        <f>VLOOKUP(A398, Orders!$A:$C, 3, 0)</f>
        <v>Plant 2 Canteen</v>
      </c>
      <c r="I398">
        <f>C398*D398*(1-VLOOKUP(A398,Orders!$A:$G,7,0))</f>
        <v>693.97379999999998</v>
      </c>
      <c r="J398" t="str">
        <f>VLOOKUP(A398,Orders!$A:$G,6,0)</f>
        <v>Dinner</v>
      </c>
      <c r="K398" t="str">
        <f>VLOOKUP(A398,Orders!$A:$G,5,0)</f>
        <v>Cash</v>
      </c>
    </row>
    <row r="399" spans="1:11" x14ac:dyDescent="0.3">
      <c r="A399" t="s">
        <v>194</v>
      </c>
      <c r="B399" t="s">
        <v>412</v>
      </c>
      <c r="C399">
        <v>1</v>
      </c>
      <c r="D399">
        <f>VLOOKUP(B399, Menu!$A:$F, 6, 0)</f>
        <v>57.07</v>
      </c>
      <c r="E399">
        <f>VLOOKUP(B399, Menu!$A:$F, 5, 0)</f>
        <v>29.14</v>
      </c>
      <c r="F399" t="str">
        <f>VLOOKUP(B399, Menu!$A:$F, 3, 0)</f>
        <v>Dessert</v>
      </c>
      <c r="G399" s="5">
        <f>VLOOKUP(A399, Orders!$A:$B, 2, 0)</f>
        <v>45869.786585648151</v>
      </c>
      <c r="H399" t="str">
        <f>VLOOKUP(A399, Orders!$A:$C, 3, 0)</f>
        <v>Plant 2 Canteen</v>
      </c>
      <c r="I399">
        <f>C399*D399*(1-VLOOKUP(A399,Orders!$A:$G,7,0))</f>
        <v>53.645799999999994</v>
      </c>
      <c r="J399" t="str">
        <f>VLOOKUP(A399,Orders!$A:$G,6,0)</f>
        <v>Dinner</v>
      </c>
      <c r="K399" t="str">
        <f>VLOOKUP(A399,Orders!$A:$G,5,0)</f>
        <v>Cash</v>
      </c>
    </row>
    <row r="400" spans="1:11" x14ac:dyDescent="0.3">
      <c r="A400" t="s">
        <v>195</v>
      </c>
      <c r="B400" t="s">
        <v>410</v>
      </c>
      <c r="C400">
        <v>1</v>
      </c>
      <c r="D400">
        <f>VLOOKUP(B400, Menu!$A:$F, 6, 0)</f>
        <v>20.11</v>
      </c>
      <c r="E400">
        <f>VLOOKUP(B400, Menu!$A:$F, 5, 0)</f>
        <v>8</v>
      </c>
      <c r="F400" t="str">
        <f>VLOOKUP(B400, Menu!$A:$F, 3, 0)</f>
        <v>Beverage</v>
      </c>
      <c r="G400" s="5">
        <f>VLOOKUP(A400, Orders!$A:$B, 2, 0)</f>
        <v>45889.212337962963</v>
      </c>
      <c r="H400" t="str">
        <f>VLOOKUP(A400, Orders!$A:$C, 3, 0)</f>
        <v>Plant 1 Canteen</v>
      </c>
      <c r="I400">
        <f>C400*D400*(1-VLOOKUP(A400,Orders!$A:$G,7,0))</f>
        <v>19.908899999999999</v>
      </c>
      <c r="J400" t="str">
        <f>VLOOKUP(A400,Orders!$A:$G,6,0)</f>
        <v>Breakfast</v>
      </c>
      <c r="K400" t="str">
        <f>VLOOKUP(A400,Orders!$A:$G,5,0)</f>
        <v>UPI</v>
      </c>
    </row>
    <row r="401" spans="1:11" x14ac:dyDescent="0.3">
      <c r="A401" t="s">
        <v>195</v>
      </c>
      <c r="B401" t="s">
        <v>413</v>
      </c>
      <c r="C401">
        <v>2</v>
      </c>
      <c r="D401">
        <f>VLOOKUP(B401, Menu!$A:$F, 6, 0)</f>
        <v>54.2</v>
      </c>
      <c r="E401">
        <f>VLOOKUP(B401, Menu!$A:$F, 5, 0)</f>
        <v>21.95</v>
      </c>
      <c r="F401" t="str">
        <f>VLOOKUP(B401, Menu!$A:$F, 3, 0)</f>
        <v>Dessert</v>
      </c>
      <c r="G401" s="5">
        <f>VLOOKUP(A401, Orders!$A:$B, 2, 0)</f>
        <v>45889.212337962963</v>
      </c>
      <c r="H401" t="str">
        <f>VLOOKUP(A401, Orders!$A:$C, 3, 0)</f>
        <v>Plant 1 Canteen</v>
      </c>
      <c r="I401">
        <f>C401*D401*(1-VLOOKUP(A401,Orders!$A:$G,7,0))</f>
        <v>107.316</v>
      </c>
      <c r="J401" t="str">
        <f>VLOOKUP(A401,Orders!$A:$G,6,0)</f>
        <v>Breakfast</v>
      </c>
      <c r="K401" t="str">
        <f>VLOOKUP(A401,Orders!$A:$G,5,0)</f>
        <v>UPI</v>
      </c>
    </row>
    <row r="402" spans="1:11" x14ac:dyDescent="0.3">
      <c r="A402" t="s">
        <v>195</v>
      </c>
      <c r="B402" t="s">
        <v>412</v>
      </c>
      <c r="C402">
        <v>3</v>
      </c>
      <c r="D402">
        <f>VLOOKUP(B402, Menu!$A:$F, 6, 0)</f>
        <v>57.07</v>
      </c>
      <c r="E402">
        <f>VLOOKUP(B402, Menu!$A:$F, 5, 0)</f>
        <v>29.14</v>
      </c>
      <c r="F402" t="str">
        <f>VLOOKUP(B402, Menu!$A:$F, 3, 0)</f>
        <v>Dessert</v>
      </c>
      <c r="G402" s="5">
        <f>VLOOKUP(A402, Orders!$A:$B, 2, 0)</f>
        <v>45889.212337962963</v>
      </c>
      <c r="H402" t="str">
        <f>VLOOKUP(A402, Orders!$A:$C, 3, 0)</f>
        <v>Plant 1 Canteen</v>
      </c>
      <c r="I402">
        <f>C402*D402*(1-VLOOKUP(A402,Orders!$A:$G,7,0))</f>
        <v>169.49790000000002</v>
      </c>
      <c r="J402" t="str">
        <f>VLOOKUP(A402,Orders!$A:$G,6,0)</f>
        <v>Breakfast</v>
      </c>
      <c r="K402" t="str">
        <f>VLOOKUP(A402,Orders!$A:$G,5,0)</f>
        <v>UPI</v>
      </c>
    </row>
    <row r="403" spans="1:11" x14ac:dyDescent="0.3">
      <c r="A403" t="s">
        <v>195</v>
      </c>
      <c r="B403" t="s">
        <v>406</v>
      </c>
      <c r="C403">
        <v>1</v>
      </c>
      <c r="D403">
        <f>VLOOKUP(B403, Menu!$A:$F, 6, 0)</f>
        <v>38.06</v>
      </c>
      <c r="E403">
        <f>VLOOKUP(B403, Menu!$A:$F, 5, 0)</f>
        <v>19.55</v>
      </c>
      <c r="F403" t="str">
        <f>VLOOKUP(B403, Menu!$A:$F, 3, 0)</f>
        <v>Snack</v>
      </c>
      <c r="G403" s="5">
        <f>VLOOKUP(A403, Orders!$A:$B, 2, 0)</f>
        <v>45889.212337962963</v>
      </c>
      <c r="H403" t="str">
        <f>VLOOKUP(A403, Orders!$A:$C, 3, 0)</f>
        <v>Plant 1 Canteen</v>
      </c>
      <c r="I403">
        <f>C403*D403*(1-VLOOKUP(A403,Orders!$A:$G,7,0))</f>
        <v>37.679400000000001</v>
      </c>
      <c r="J403" t="str">
        <f>VLOOKUP(A403,Orders!$A:$G,6,0)</f>
        <v>Breakfast</v>
      </c>
      <c r="K403" t="str">
        <f>VLOOKUP(A403,Orders!$A:$G,5,0)</f>
        <v>UPI</v>
      </c>
    </row>
    <row r="404" spans="1:11" x14ac:dyDescent="0.3">
      <c r="A404" t="s">
        <v>196</v>
      </c>
      <c r="B404" t="s">
        <v>407</v>
      </c>
      <c r="C404">
        <v>1</v>
      </c>
      <c r="D404">
        <f>VLOOKUP(B404, Menu!$A:$F, 6, 0)</f>
        <v>246.09</v>
      </c>
      <c r="E404">
        <f>VLOOKUP(B404, Menu!$A:$F, 5, 0)</f>
        <v>112.08</v>
      </c>
      <c r="F404" t="str">
        <f>VLOOKUP(B404, Menu!$A:$F, 3, 0)</f>
        <v>Hot Meal</v>
      </c>
      <c r="G404" s="5">
        <f>VLOOKUP(A404, Orders!$A:$B, 2, 0)</f>
        <v>45879.372349537043</v>
      </c>
      <c r="H404" t="str">
        <f>VLOOKUP(A404, Orders!$A:$C, 3, 0)</f>
        <v>Plant 1 Canteen</v>
      </c>
      <c r="I404">
        <f>C404*D404*(1-VLOOKUP(A404,Orders!$A:$G,7,0))</f>
        <v>228.86369999999999</v>
      </c>
      <c r="J404" t="str">
        <f>VLOOKUP(A404,Orders!$A:$G,6,0)</f>
        <v>Breakfast</v>
      </c>
      <c r="K404" t="str">
        <f>VLOOKUP(A404,Orders!$A:$G,5,0)</f>
        <v>UPI</v>
      </c>
    </row>
    <row r="405" spans="1:11" x14ac:dyDescent="0.3">
      <c r="A405" t="s">
        <v>197</v>
      </c>
      <c r="B405" t="s">
        <v>405</v>
      </c>
      <c r="C405">
        <v>2</v>
      </c>
      <c r="D405">
        <f>VLOOKUP(B405, Menu!$A:$F, 6, 0)</f>
        <v>170.83</v>
      </c>
      <c r="E405">
        <f>VLOOKUP(B405, Menu!$A:$F, 5, 0)</f>
        <v>74.069999999999993</v>
      </c>
      <c r="F405" t="str">
        <f>VLOOKUP(B405, Menu!$A:$F, 3, 0)</f>
        <v>Hot Meal</v>
      </c>
      <c r="G405" s="5">
        <f>VLOOKUP(A405, Orders!$A:$B, 2, 0)</f>
        <v>45887.648877314823</v>
      </c>
      <c r="H405" t="str">
        <f>VLOOKUP(A405, Orders!$A:$C, 3, 0)</f>
        <v>Head Office Café</v>
      </c>
      <c r="I405">
        <f>C405*D405*(1-VLOOKUP(A405,Orders!$A:$G,7,0))</f>
        <v>314.32720000000006</v>
      </c>
      <c r="J405" t="str">
        <f>VLOOKUP(A405,Orders!$A:$G,6,0)</f>
        <v>Lunch</v>
      </c>
      <c r="K405" t="str">
        <f>VLOOKUP(A405,Orders!$A:$G,5,0)</f>
        <v>Cash</v>
      </c>
    </row>
    <row r="406" spans="1:11" x14ac:dyDescent="0.3">
      <c r="A406" t="s">
        <v>198</v>
      </c>
      <c r="B406" t="s">
        <v>412</v>
      </c>
      <c r="C406">
        <v>1</v>
      </c>
      <c r="D406">
        <f>VLOOKUP(B406, Menu!$A:$F, 6, 0)</f>
        <v>57.07</v>
      </c>
      <c r="E406">
        <f>VLOOKUP(B406, Menu!$A:$F, 5, 0)</f>
        <v>29.14</v>
      </c>
      <c r="F406" t="str">
        <f>VLOOKUP(B406, Menu!$A:$F, 3, 0)</f>
        <v>Dessert</v>
      </c>
      <c r="G406" s="5">
        <f>VLOOKUP(A406, Orders!$A:$B, 2, 0)</f>
        <v>45865.178587962961</v>
      </c>
      <c r="H406" t="str">
        <f>VLOOKUP(A406, Orders!$A:$C, 3, 0)</f>
        <v>Head Office Café</v>
      </c>
      <c r="I406">
        <f>C406*D406*(1-VLOOKUP(A406,Orders!$A:$G,7,0))</f>
        <v>51.363</v>
      </c>
      <c r="J406" t="str">
        <f>VLOOKUP(A406,Orders!$A:$G,6,0)</f>
        <v>Breakfast</v>
      </c>
      <c r="K406" t="str">
        <f>VLOOKUP(A406,Orders!$A:$G,5,0)</f>
        <v>Card</v>
      </c>
    </row>
    <row r="407" spans="1:11" x14ac:dyDescent="0.3">
      <c r="A407" t="s">
        <v>198</v>
      </c>
      <c r="B407" t="s">
        <v>415</v>
      </c>
      <c r="C407">
        <v>2</v>
      </c>
      <c r="D407">
        <f>VLOOKUP(B407, Menu!$A:$F, 6, 0)</f>
        <v>256.91000000000003</v>
      </c>
      <c r="E407">
        <f>VLOOKUP(B407, Menu!$A:$F, 5, 0)</f>
        <v>121.24</v>
      </c>
      <c r="F407" t="str">
        <f>VLOOKUP(B407, Menu!$A:$F, 3, 0)</f>
        <v>Hot Meal</v>
      </c>
      <c r="G407" s="5">
        <f>VLOOKUP(A407, Orders!$A:$B, 2, 0)</f>
        <v>45865.178587962961</v>
      </c>
      <c r="H407" t="str">
        <f>VLOOKUP(A407, Orders!$A:$C, 3, 0)</f>
        <v>Head Office Café</v>
      </c>
      <c r="I407">
        <f>C407*D407*(1-VLOOKUP(A407,Orders!$A:$G,7,0))</f>
        <v>462.43800000000005</v>
      </c>
      <c r="J407" t="str">
        <f>VLOOKUP(A407,Orders!$A:$G,6,0)</f>
        <v>Breakfast</v>
      </c>
      <c r="K407" t="str">
        <f>VLOOKUP(A407,Orders!$A:$G,5,0)</f>
        <v>Card</v>
      </c>
    </row>
    <row r="408" spans="1:11" x14ac:dyDescent="0.3">
      <c r="A408" t="s">
        <v>198</v>
      </c>
      <c r="B408" t="s">
        <v>409</v>
      </c>
      <c r="C408">
        <v>1</v>
      </c>
      <c r="D408">
        <f>VLOOKUP(B408, Menu!$A:$F, 6, 0)</f>
        <v>28.43</v>
      </c>
      <c r="E408">
        <f>VLOOKUP(B408, Menu!$A:$F, 5, 0)</f>
        <v>13.89</v>
      </c>
      <c r="F408" t="str">
        <f>VLOOKUP(B408, Menu!$A:$F, 3, 0)</f>
        <v>Beverage</v>
      </c>
      <c r="G408" s="5">
        <f>VLOOKUP(A408, Orders!$A:$B, 2, 0)</f>
        <v>45865.178587962961</v>
      </c>
      <c r="H408" t="str">
        <f>VLOOKUP(A408, Orders!$A:$C, 3, 0)</f>
        <v>Head Office Café</v>
      </c>
      <c r="I408">
        <f>C408*D408*(1-VLOOKUP(A408,Orders!$A:$G,7,0))</f>
        <v>25.587</v>
      </c>
      <c r="J408" t="str">
        <f>VLOOKUP(A408,Orders!$A:$G,6,0)</f>
        <v>Breakfast</v>
      </c>
      <c r="K408" t="str">
        <f>VLOOKUP(A408,Orders!$A:$G,5,0)</f>
        <v>Card</v>
      </c>
    </row>
    <row r="409" spans="1:11" x14ac:dyDescent="0.3">
      <c r="A409" t="s">
        <v>198</v>
      </c>
      <c r="B409" t="s">
        <v>413</v>
      </c>
      <c r="C409">
        <v>2</v>
      </c>
      <c r="D409">
        <f>VLOOKUP(B409, Menu!$A:$F, 6, 0)</f>
        <v>54.2</v>
      </c>
      <c r="E409">
        <f>VLOOKUP(B409, Menu!$A:$F, 5, 0)</f>
        <v>21.95</v>
      </c>
      <c r="F409" t="str">
        <f>VLOOKUP(B409, Menu!$A:$F, 3, 0)</f>
        <v>Dessert</v>
      </c>
      <c r="G409" s="5">
        <f>VLOOKUP(A409, Orders!$A:$B, 2, 0)</f>
        <v>45865.178587962961</v>
      </c>
      <c r="H409" t="str">
        <f>VLOOKUP(A409, Orders!$A:$C, 3, 0)</f>
        <v>Head Office Café</v>
      </c>
      <c r="I409">
        <f>C409*D409*(1-VLOOKUP(A409,Orders!$A:$G,7,0))</f>
        <v>97.56</v>
      </c>
      <c r="J409" t="str">
        <f>VLOOKUP(A409,Orders!$A:$G,6,0)</f>
        <v>Breakfast</v>
      </c>
      <c r="K409" t="str">
        <f>VLOOKUP(A409,Orders!$A:$G,5,0)</f>
        <v>Card</v>
      </c>
    </row>
    <row r="410" spans="1:11" x14ac:dyDescent="0.3">
      <c r="A410" t="s">
        <v>199</v>
      </c>
      <c r="B410" t="s">
        <v>418</v>
      </c>
      <c r="C410">
        <v>2</v>
      </c>
      <c r="D410">
        <f>VLOOKUP(B410, Menu!$A:$F, 6, 0)</f>
        <v>39.950000000000003</v>
      </c>
      <c r="E410">
        <f>VLOOKUP(B410, Menu!$A:$F, 5, 0)</f>
        <v>15.51</v>
      </c>
      <c r="F410" t="str">
        <f>VLOOKUP(B410, Menu!$A:$F, 3, 0)</f>
        <v>Snack</v>
      </c>
      <c r="G410" s="5">
        <f>VLOOKUP(A410, Orders!$A:$B, 2, 0)</f>
        <v>45886.310844907413</v>
      </c>
      <c r="H410" t="str">
        <f>VLOOKUP(A410, Orders!$A:$C, 3, 0)</f>
        <v>Plant 1 Canteen</v>
      </c>
      <c r="I410">
        <f>C410*D410*(1-VLOOKUP(A410,Orders!$A:$G,7,0))</f>
        <v>71.910000000000011</v>
      </c>
      <c r="J410" t="str">
        <f>VLOOKUP(A410,Orders!$A:$G,6,0)</f>
        <v>Breakfast</v>
      </c>
      <c r="K410" t="str">
        <f>VLOOKUP(A410,Orders!$A:$G,5,0)</f>
        <v>UPI</v>
      </c>
    </row>
    <row r="411" spans="1:11" x14ac:dyDescent="0.3">
      <c r="A411" t="s">
        <v>199</v>
      </c>
      <c r="B411" t="s">
        <v>412</v>
      </c>
      <c r="C411">
        <v>3</v>
      </c>
      <c r="D411">
        <f>VLOOKUP(B411, Menu!$A:$F, 6, 0)</f>
        <v>57.07</v>
      </c>
      <c r="E411">
        <f>VLOOKUP(B411, Menu!$A:$F, 5, 0)</f>
        <v>29.14</v>
      </c>
      <c r="F411" t="str">
        <f>VLOOKUP(B411, Menu!$A:$F, 3, 0)</f>
        <v>Dessert</v>
      </c>
      <c r="G411" s="5">
        <f>VLOOKUP(A411, Orders!$A:$B, 2, 0)</f>
        <v>45886.310844907413</v>
      </c>
      <c r="H411" t="str">
        <f>VLOOKUP(A411, Orders!$A:$C, 3, 0)</f>
        <v>Plant 1 Canteen</v>
      </c>
      <c r="I411">
        <f>C411*D411*(1-VLOOKUP(A411,Orders!$A:$G,7,0))</f>
        <v>154.089</v>
      </c>
      <c r="J411" t="str">
        <f>VLOOKUP(A411,Orders!$A:$G,6,0)</f>
        <v>Breakfast</v>
      </c>
      <c r="K411" t="str">
        <f>VLOOKUP(A411,Orders!$A:$G,5,0)</f>
        <v>UPI</v>
      </c>
    </row>
    <row r="412" spans="1:11" x14ac:dyDescent="0.3">
      <c r="A412" t="s">
        <v>199</v>
      </c>
      <c r="B412" t="s">
        <v>417</v>
      </c>
      <c r="C412">
        <v>1</v>
      </c>
      <c r="D412">
        <f>VLOOKUP(B412, Menu!$A:$F, 6, 0)</f>
        <v>146.4</v>
      </c>
      <c r="E412">
        <f>VLOOKUP(B412, Menu!$A:$F, 5, 0)</f>
        <v>80.92</v>
      </c>
      <c r="F412" t="str">
        <f>VLOOKUP(B412, Menu!$A:$F, 3, 0)</f>
        <v>Hot Meal</v>
      </c>
      <c r="G412" s="5">
        <f>VLOOKUP(A412, Orders!$A:$B, 2, 0)</f>
        <v>45886.310844907413</v>
      </c>
      <c r="H412" t="str">
        <f>VLOOKUP(A412, Orders!$A:$C, 3, 0)</f>
        <v>Plant 1 Canteen</v>
      </c>
      <c r="I412">
        <f>C412*D412*(1-VLOOKUP(A412,Orders!$A:$G,7,0))</f>
        <v>131.76000000000002</v>
      </c>
      <c r="J412" t="str">
        <f>VLOOKUP(A412,Orders!$A:$G,6,0)</f>
        <v>Breakfast</v>
      </c>
      <c r="K412" t="str">
        <f>VLOOKUP(A412,Orders!$A:$G,5,0)</f>
        <v>UPI</v>
      </c>
    </row>
    <row r="413" spans="1:11" x14ac:dyDescent="0.3">
      <c r="A413" t="s">
        <v>199</v>
      </c>
      <c r="B413" t="s">
        <v>413</v>
      </c>
      <c r="C413">
        <v>1</v>
      </c>
      <c r="D413">
        <f>VLOOKUP(B413, Menu!$A:$F, 6, 0)</f>
        <v>54.2</v>
      </c>
      <c r="E413">
        <f>VLOOKUP(B413, Menu!$A:$F, 5, 0)</f>
        <v>21.95</v>
      </c>
      <c r="F413" t="str">
        <f>VLOOKUP(B413, Menu!$A:$F, 3, 0)</f>
        <v>Dessert</v>
      </c>
      <c r="G413" s="5">
        <f>VLOOKUP(A413, Orders!$A:$B, 2, 0)</f>
        <v>45886.310844907413</v>
      </c>
      <c r="H413" t="str">
        <f>VLOOKUP(A413, Orders!$A:$C, 3, 0)</f>
        <v>Plant 1 Canteen</v>
      </c>
      <c r="I413">
        <f>C413*D413*(1-VLOOKUP(A413,Orders!$A:$G,7,0))</f>
        <v>48.78</v>
      </c>
      <c r="J413" t="str">
        <f>VLOOKUP(A413,Orders!$A:$G,6,0)</f>
        <v>Breakfast</v>
      </c>
      <c r="K413" t="str">
        <f>VLOOKUP(A413,Orders!$A:$G,5,0)</f>
        <v>UPI</v>
      </c>
    </row>
    <row r="414" spans="1:11" x14ac:dyDescent="0.3">
      <c r="A414" t="s">
        <v>200</v>
      </c>
      <c r="B414" t="s">
        <v>415</v>
      </c>
      <c r="C414">
        <v>2</v>
      </c>
      <c r="D414">
        <f>VLOOKUP(B414, Menu!$A:$F, 6, 0)</f>
        <v>256.91000000000003</v>
      </c>
      <c r="E414">
        <f>VLOOKUP(B414, Menu!$A:$F, 5, 0)</f>
        <v>121.24</v>
      </c>
      <c r="F414" t="str">
        <f>VLOOKUP(B414, Menu!$A:$F, 3, 0)</f>
        <v>Hot Meal</v>
      </c>
      <c r="G414" s="5">
        <f>VLOOKUP(A414, Orders!$A:$B, 2, 0)</f>
        <v>45854.62699074074</v>
      </c>
      <c r="H414" t="str">
        <f>VLOOKUP(A414, Orders!$A:$C, 3, 0)</f>
        <v>Plant 2 Canteen</v>
      </c>
      <c r="I414">
        <f>C414*D414*(1-VLOOKUP(A414,Orders!$A:$G,7,0))</f>
        <v>513.82000000000005</v>
      </c>
      <c r="J414" t="str">
        <f>VLOOKUP(A414,Orders!$A:$G,6,0)</f>
        <v>Lunch</v>
      </c>
      <c r="K414" t="str">
        <f>VLOOKUP(A414,Orders!$A:$G,5,0)</f>
        <v>Cash</v>
      </c>
    </row>
    <row r="415" spans="1:11" x14ac:dyDescent="0.3">
      <c r="A415" t="s">
        <v>200</v>
      </c>
      <c r="B415" t="s">
        <v>418</v>
      </c>
      <c r="C415">
        <v>3</v>
      </c>
      <c r="D415">
        <f>VLOOKUP(B415, Menu!$A:$F, 6, 0)</f>
        <v>39.950000000000003</v>
      </c>
      <c r="E415">
        <f>VLOOKUP(B415, Menu!$A:$F, 5, 0)</f>
        <v>15.51</v>
      </c>
      <c r="F415" t="str">
        <f>VLOOKUP(B415, Menu!$A:$F, 3, 0)</f>
        <v>Snack</v>
      </c>
      <c r="G415" s="5">
        <f>VLOOKUP(A415, Orders!$A:$B, 2, 0)</f>
        <v>45854.62699074074</v>
      </c>
      <c r="H415" t="str">
        <f>VLOOKUP(A415, Orders!$A:$C, 3, 0)</f>
        <v>Plant 2 Canteen</v>
      </c>
      <c r="I415">
        <f>C415*D415*(1-VLOOKUP(A415,Orders!$A:$G,7,0))</f>
        <v>119.85000000000001</v>
      </c>
      <c r="J415" t="str">
        <f>VLOOKUP(A415,Orders!$A:$G,6,0)</f>
        <v>Lunch</v>
      </c>
      <c r="K415" t="str">
        <f>VLOOKUP(A415,Orders!$A:$G,5,0)</f>
        <v>Cash</v>
      </c>
    </row>
    <row r="416" spans="1:11" x14ac:dyDescent="0.3">
      <c r="A416" t="s">
        <v>201</v>
      </c>
      <c r="B416" t="s">
        <v>408</v>
      </c>
      <c r="C416">
        <v>2</v>
      </c>
      <c r="D416">
        <f>VLOOKUP(B416, Menu!$A:$F, 6, 0)</f>
        <v>70.540000000000006</v>
      </c>
      <c r="E416">
        <f>VLOOKUP(B416, Menu!$A:$F, 5, 0)</f>
        <v>35.81</v>
      </c>
      <c r="F416" t="str">
        <f>VLOOKUP(B416, Menu!$A:$F, 3, 0)</f>
        <v>Snack</v>
      </c>
      <c r="G416" s="5">
        <f>VLOOKUP(A416, Orders!$A:$B, 2, 0)</f>
        <v>45878.861956018518</v>
      </c>
      <c r="H416" t="str">
        <f>VLOOKUP(A416, Orders!$A:$C, 3, 0)</f>
        <v>Plant 1 Canteen</v>
      </c>
      <c r="I416">
        <f>C416*D416*(1-VLOOKUP(A416,Orders!$A:$G,7,0))</f>
        <v>138.25840000000002</v>
      </c>
      <c r="J416" t="str">
        <f>VLOOKUP(A416,Orders!$A:$G,6,0)</f>
        <v>Dinner</v>
      </c>
      <c r="K416" t="str">
        <f>VLOOKUP(A416,Orders!$A:$G,5,0)</f>
        <v>Cash</v>
      </c>
    </row>
    <row r="417" spans="1:11" x14ac:dyDescent="0.3">
      <c r="A417" t="s">
        <v>201</v>
      </c>
      <c r="B417" t="s">
        <v>412</v>
      </c>
      <c r="C417">
        <v>1</v>
      </c>
      <c r="D417">
        <f>VLOOKUP(B417, Menu!$A:$F, 6, 0)</f>
        <v>57.07</v>
      </c>
      <c r="E417">
        <f>VLOOKUP(B417, Menu!$A:$F, 5, 0)</f>
        <v>29.14</v>
      </c>
      <c r="F417" t="str">
        <f>VLOOKUP(B417, Menu!$A:$F, 3, 0)</f>
        <v>Dessert</v>
      </c>
      <c r="G417" s="5">
        <f>VLOOKUP(A417, Orders!$A:$B, 2, 0)</f>
        <v>45878.861956018518</v>
      </c>
      <c r="H417" t="str">
        <f>VLOOKUP(A417, Orders!$A:$C, 3, 0)</f>
        <v>Plant 1 Canteen</v>
      </c>
      <c r="I417">
        <f>C417*D417*(1-VLOOKUP(A417,Orders!$A:$G,7,0))</f>
        <v>55.928599999999996</v>
      </c>
      <c r="J417" t="str">
        <f>VLOOKUP(A417,Orders!$A:$G,6,0)</f>
        <v>Dinner</v>
      </c>
      <c r="K417" t="str">
        <f>VLOOKUP(A417,Orders!$A:$G,5,0)</f>
        <v>Cash</v>
      </c>
    </row>
    <row r="418" spans="1:11" x14ac:dyDescent="0.3">
      <c r="A418" t="s">
        <v>202</v>
      </c>
      <c r="B418" t="s">
        <v>411</v>
      </c>
      <c r="C418">
        <v>1</v>
      </c>
      <c r="D418">
        <f>VLOOKUP(B418, Menu!$A:$F, 6, 0)</f>
        <v>22.2</v>
      </c>
      <c r="E418">
        <f>VLOOKUP(B418, Menu!$A:$F, 5, 0)</f>
        <v>9.3800000000000008</v>
      </c>
      <c r="F418" t="str">
        <f>VLOOKUP(B418, Menu!$A:$F, 3, 0)</f>
        <v>Beverage</v>
      </c>
      <c r="G418" s="5">
        <f>VLOOKUP(A418, Orders!$A:$B, 2, 0)</f>
        <v>45850.654826388891</v>
      </c>
      <c r="H418" t="str">
        <f>VLOOKUP(A418, Orders!$A:$C, 3, 0)</f>
        <v>Head Office Café</v>
      </c>
      <c r="I418">
        <f>C418*D418*(1-VLOOKUP(A418,Orders!$A:$G,7,0))</f>
        <v>20.423999999999999</v>
      </c>
      <c r="J418" t="str">
        <f>VLOOKUP(A418,Orders!$A:$G,6,0)</f>
        <v>Lunch</v>
      </c>
      <c r="K418" t="str">
        <f>VLOOKUP(A418,Orders!$A:$G,5,0)</f>
        <v>Card</v>
      </c>
    </row>
    <row r="419" spans="1:11" x14ac:dyDescent="0.3">
      <c r="A419" t="s">
        <v>202</v>
      </c>
      <c r="B419" t="s">
        <v>404</v>
      </c>
      <c r="C419">
        <v>2</v>
      </c>
      <c r="D419">
        <f>VLOOKUP(B419, Menu!$A:$F, 6, 0)</f>
        <v>32.979999999999997</v>
      </c>
      <c r="E419">
        <f>VLOOKUP(B419, Menu!$A:$F, 5, 0)</f>
        <v>11.84</v>
      </c>
      <c r="F419" t="str">
        <f>VLOOKUP(B419, Menu!$A:$F, 3, 0)</f>
        <v>Beverage</v>
      </c>
      <c r="G419" s="5">
        <f>VLOOKUP(A419, Orders!$A:$B, 2, 0)</f>
        <v>45850.654826388891</v>
      </c>
      <c r="H419" t="str">
        <f>VLOOKUP(A419, Orders!$A:$C, 3, 0)</f>
        <v>Head Office Café</v>
      </c>
      <c r="I419">
        <f>C419*D419*(1-VLOOKUP(A419,Orders!$A:$G,7,0))</f>
        <v>60.683199999999999</v>
      </c>
      <c r="J419" t="str">
        <f>VLOOKUP(A419,Orders!$A:$G,6,0)</f>
        <v>Lunch</v>
      </c>
      <c r="K419" t="str">
        <f>VLOOKUP(A419,Orders!$A:$G,5,0)</f>
        <v>Card</v>
      </c>
    </row>
    <row r="420" spans="1:11" x14ac:dyDescent="0.3">
      <c r="A420" t="s">
        <v>202</v>
      </c>
      <c r="B420" t="s">
        <v>408</v>
      </c>
      <c r="C420">
        <v>1</v>
      </c>
      <c r="D420">
        <f>VLOOKUP(B420, Menu!$A:$F, 6, 0)</f>
        <v>70.540000000000006</v>
      </c>
      <c r="E420">
        <f>VLOOKUP(B420, Menu!$A:$F, 5, 0)</f>
        <v>35.81</v>
      </c>
      <c r="F420" t="str">
        <f>VLOOKUP(B420, Menu!$A:$F, 3, 0)</f>
        <v>Snack</v>
      </c>
      <c r="G420" s="5">
        <f>VLOOKUP(A420, Orders!$A:$B, 2, 0)</f>
        <v>45850.654826388891</v>
      </c>
      <c r="H420" t="str">
        <f>VLOOKUP(A420, Orders!$A:$C, 3, 0)</f>
        <v>Head Office Café</v>
      </c>
      <c r="I420">
        <f>C420*D420*(1-VLOOKUP(A420,Orders!$A:$G,7,0))</f>
        <v>64.896800000000013</v>
      </c>
      <c r="J420" t="str">
        <f>VLOOKUP(A420,Orders!$A:$G,6,0)</f>
        <v>Lunch</v>
      </c>
      <c r="K420" t="str">
        <f>VLOOKUP(A420,Orders!$A:$G,5,0)</f>
        <v>Card</v>
      </c>
    </row>
    <row r="421" spans="1:11" x14ac:dyDescent="0.3">
      <c r="A421" t="s">
        <v>203</v>
      </c>
      <c r="B421" t="s">
        <v>404</v>
      </c>
      <c r="C421">
        <v>3</v>
      </c>
      <c r="D421">
        <f>VLOOKUP(B421, Menu!$A:$F, 6, 0)</f>
        <v>32.979999999999997</v>
      </c>
      <c r="E421">
        <f>VLOOKUP(B421, Menu!$A:$F, 5, 0)</f>
        <v>11.84</v>
      </c>
      <c r="F421" t="str">
        <f>VLOOKUP(B421, Menu!$A:$F, 3, 0)</f>
        <v>Beverage</v>
      </c>
      <c r="G421" s="5">
        <f>VLOOKUP(A421, Orders!$A:$B, 2, 0)</f>
        <v>45888.6565625</v>
      </c>
      <c r="H421" t="str">
        <f>VLOOKUP(A421, Orders!$A:$C, 3, 0)</f>
        <v>Head Office Café</v>
      </c>
      <c r="I421">
        <f>C421*D421*(1-VLOOKUP(A421,Orders!$A:$G,7,0))</f>
        <v>91.024799999999999</v>
      </c>
      <c r="J421" t="str">
        <f>VLOOKUP(A421,Orders!$A:$G,6,0)</f>
        <v>Lunch</v>
      </c>
      <c r="K421" t="str">
        <f>VLOOKUP(A421,Orders!$A:$G,5,0)</f>
        <v>Card</v>
      </c>
    </row>
    <row r="422" spans="1:11" x14ac:dyDescent="0.3">
      <c r="A422" t="s">
        <v>204</v>
      </c>
      <c r="B422" t="s">
        <v>410</v>
      </c>
      <c r="C422">
        <v>2</v>
      </c>
      <c r="D422">
        <f>VLOOKUP(B422, Menu!$A:$F, 6, 0)</f>
        <v>20.11</v>
      </c>
      <c r="E422">
        <f>VLOOKUP(B422, Menu!$A:$F, 5, 0)</f>
        <v>8</v>
      </c>
      <c r="F422" t="str">
        <f>VLOOKUP(B422, Menu!$A:$F, 3, 0)</f>
        <v>Beverage</v>
      </c>
      <c r="G422" s="5">
        <f>VLOOKUP(A422, Orders!$A:$B, 2, 0)</f>
        <v>45885.097986111112</v>
      </c>
      <c r="H422" t="str">
        <f>VLOOKUP(A422, Orders!$A:$C, 3, 0)</f>
        <v>Plant 1 Canteen</v>
      </c>
      <c r="I422">
        <f>C422*D422*(1-VLOOKUP(A422,Orders!$A:$G,7,0))</f>
        <v>37.002400000000002</v>
      </c>
      <c r="J422" t="str">
        <f>VLOOKUP(A422,Orders!$A:$G,6,0)</f>
        <v>Breakfast</v>
      </c>
      <c r="K422" t="str">
        <f>VLOOKUP(A422,Orders!$A:$G,5,0)</f>
        <v>UPI</v>
      </c>
    </row>
    <row r="423" spans="1:11" x14ac:dyDescent="0.3">
      <c r="A423" t="s">
        <v>205</v>
      </c>
      <c r="B423" t="s">
        <v>417</v>
      </c>
      <c r="C423">
        <v>2</v>
      </c>
      <c r="D423">
        <f>VLOOKUP(B423, Menu!$A:$F, 6, 0)</f>
        <v>146.4</v>
      </c>
      <c r="E423">
        <f>VLOOKUP(B423, Menu!$A:$F, 5, 0)</f>
        <v>80.92</v>
      </c>
      <c r="F423" t="str">
        <f>VLOOKUP(B423, Menu!$A:$F, 3, 0)</f>
        <v>Hot Meal</v>
      </c>
      <c r="G423" s="5">
        <f>VLOOKUP(A423, Orders!$A:$B, 2, 0)</f>
        <v>45876.4925</v>
      </c>
      <c r="H423" t="str">
        <f>VLOOKUP(A423, Orders!$A:$C, 3, 0)</f>
        <v>Plant 1 Canteen</v>
      </c>
      <c r="I423">
        <f>C423*D423*(1-VLOOKUP(A423,Orders!$A:$G,7,0))</f>
        <v>231.31200000000001</v>
      </c>
      <c r="J423" t="str">
        <f>VLOOKUP(A423,Orders!$A:$G,6,0)</f>
        <v>Lunch</v>
      </c>
      <c r="K423" t="str">
        <f>VLOOKUP(A423,Orders!$A:$G,5,0)</f>
        <v>UPI</v>
      </c>
    </row>
    <row r="424" spans="1:11" x14ac:dyDescent="0.3">
      <c r="A424" t="s">
        <v>205</v>
      </c>
      <c r="B424" t="s">
        <v>419</v>
      </c>
      <c r="C424">
        <v>1</v>
      </c>
      <c r="D424">
        <f>VLOOKUP(B424, Menu!$A:$F, 6, 0)</f>
        <v>50.19</v>
      </c>
      <c r="E424">
        <f>VLOOKUP(B424, Menu!$A:$F, 5, 0)</f>
        <v>22.61</v>
      </c>
      <c r="F424" t="str">
        <f>VLOOKUP(B424, Menu!$A:$F, 3, 0)</f>
        <v>Snack</v>
      </c>
      <c r="G424" s="5">
        <f>VLOOKUP(A424, Orders!$A:$B, 2, 0)</f>
        <v>45876.4925</v>
      </c>
      <c r="H424" t="str">
        <f>VLOOKUP(A424, Orders!$A:$C, 3, 0)</f>
        <v>Plant 1 Canteen</v>
      </c>
      <c r="I424">
        <f>C424*D424*(1-VLOOKUP(A424,Orders!$A:$G,7,0))</f>
        <v>39.650100000000002</v>
      </c>
      <c r="J424" t="str">
        <f>VLOOKUP(A424,Orders!$A:$G,6,0)</f>
        <v>Lunch</v>
      </c>
      <c r="K424" t="str">
        <f>VLOOKUP(A424,Orders!$A:$G,5,0)</f>
        <v>UPI</v>
      </c>
    </row>
    <row r="425" spans="1:11" x14ac:dyDescent="0.3">
      <c r="A425" t="s">
        <v>205</v>
      </c>
      <c r="B425" t="s">
        <v>403</v>
      </c>
      <c r="C425">
        <v>1</v>
      </c>
      <c r="D425">
        <f>VLOOKUP(B425, Menu!$A:$F, 6, 0)</f>
        <v>76.55</v>
      </c>
      <c r="E425">
        <f>VLOOKUP(B425, Menu!$A:$F, 5, 0)</f>
        <v>38.229999999999997</v>
      </c>
      <c r="F425" t="str">
        <f>VLOOKUP(B425, Menu!$A:$F, 3, 0)</f>
        <v>Dessert</v>
      </c>
      <c r="G425" s="5">
        <f>VLOOKUP(A425, Orders!$A:$B, 2, 0)</f>
        <v>45876.4925</v>
      </c>
      <c r="H425" t="str">
        <f>VLOOKUP(A425, Orders!$A:$C, 3, 0)</f>
        <v>Plant 1 Canteen</v>
      </c>
      <c r="I425">
        <f>C425*D425*(1-VLOOKUP(A425,Orders!$A:$G,7,0))</f>
        <v>60.474499999999999</v>
      </c>
      <c r="J425" t="str">
        <f>VLOOKUP(A425,Orders!$A:$G,6,0)</f>
        <v>Lunch</v>
      </c>
      <c r="K425" t="str">
        <f>VLOOKUP(A425,Orders!$A:$G,5,0)</f>
        <v>UPI</v>
      </c>
    </row>
    <row r="426" spans="1:11" x14ac:dyDescent="0.3">
      <c r="A426" t="s">
        <v>206</v>
      </c>
      <c r="B426" t="s">
        <v>412</v>
      </c>
      <c r="C426">
        <v>1</v>
      </c>
      <c r="D426">
        <f>VLOOKUP(B426, Menu!$A:$F, 6, 0)</f>
        <v>57.07</v>
      </c>
      <c r="E426">
        <f>VLOOKUP(B426, Menu!$A:$F, 5, 0)</f>
        <v>29.14</v>
      </c>
      <c r="F426" t="str">
        <f>VLOOKUP(B426, Menu!$A:$F, 3, 0)</f>
        <v>Dessert</v>
      </c>
      <c r="G426" s="5">
        <f>VLOOKUP(A426, Orders!$A:$B, 2, 0)</f>
        <v>45846.027881944443</v>
      </c>
      <c r="H426" t="str">
        <f>VLOOKUP(A426, Orders!$A:$C, 3, 0)</f>
        <v>Plant 2 Canteen</v>
      </c>
      <c r="I426">
        <f>C426*D426*(1-VLOOKUP(A426,Orders!$A:$G,7,0))</f>
        <v>52.504400000000004</v>
      </c>
      <c r="J426" t="str">
        <f>VLOOKUP(A426,Orders!$A:$G,6,0)</f>
        <v>Breakfast</v>
      </c>
      <c r="K426" t="str">
        <f>VLOOKUP(A426,Orders!$A:$G,5,0)</f>
        <v>Card</v>
      </c>
    </row>
    <row r="427" spans="1:11" x14ac:dyDescent="0.3">
      <c r="A427" t="s">
        <v>206</v>
      </c>
      <c r="B427" t="s">
        <v>404</v>
      </c>
      <c r="C427">
        <v>1</v>
      </c>
      <c r="D427">
        <f>VLOOKUP(B427, Menu!$A:$F, 6, 0)</f>
        <v>32.979999999999997</v>
      </c>
      <c r="E427">
        <f>VLOOKUP(B427, Menu!$A:$F, 5, 0)</f>
        <v>11.84</v>
      </c>
      <c r="F427" t="str">
        <f>VLOOKUP(B427, Menu!$A:$F, 3, 0)</f>
        <v>Beverage</v>
      </c>
      <c r="G427" s="5">
        <f>VLOOKUP(A427, Orders!$A:$B, 2, 0)</f>
        <v>45846.027881944443</v>
      </c>
      <c r="H427" t="str">
        <f>VLOOKUP(A427, Orders!$A:$C, 3, 0)</f>
        <v>Plant 2 Canteen</v>
      </c>
      <c r="I427">
        <f>C427*D427*(1-VLOOKUP(A427,Orders!$A:$G,7,0))</f>
        <v>30.3416</v>
      </c>
      <c r="J427" t="str">
        <f>VLOOKUP(A427,Orders!$A:$G,6,0)</f>
        <v>Breakfast</v>
      </c>
      <c r="K427" t="str">
        <f>VLOOKUP(A427,Orders!$A:$G,5,0)</f>
        <v>Card</v>
      </c>
    </row>
    <row r="428" spans="1:11" x14ac:dyDescent="0.3">
      <c r="A428" t="s">
        <v>206</v>
      </c>
      <c r="B428" t="s">
        <v>416</v>
      </c>
      <c r="C428">
        <v>1</v>
      </c>
      <c r="D428">
        <f>VLOOKUP(B428, Menu!$A:$F, 6, 0)</f>
        <v>227.61</v>
      </c>
      <c r="E428">
        <f>VLOOKUP(B428, Menu!$A:$F, 5, 0)</f>
        <v>96.22</v>
      </c>
      <c r="F428" t="str">
        <f>VLOOKUP(B428, Menu!$A:$F, 3, 0)</f>
        <v>Hot Meal</v>
      </c>
      <c r="G428" s="5">
        <f>VLOOKUP(A428, Orders!$A:$B, 2, 0)</f>
        <v>45846.027881944443</v>
      </c>
      <c r="H428" t="str">
        <f>VLOOKUP(A428, Orders!$A:$C, 3, 0)</f>
        <v>Plant 2 Canteen</v>
      </c>
      <c r="I428">
        <f>C428*D428*(1-VLOOKUP(A428,Orders!$A:$G,7,0))</f>
        <v>209.40120000000002</v>
      </c>
      <c r="J428" t="str">
        <f>VLOOKUP(A428,Orders!$A:$G,6,0)</f>
        <v>Breakfast</v>
      </c>
      <c r="K428" t="str">
        <f>VLOOKUP(A428,Orders!$A:$G,5,0)</f>
        <v>Card</v>
      </c>
    </row>
    <row r="429" spans="1:11" x14ac:dyDescent="0.3">
      <c r="A429" t="s">
        <v>206</v>
      </c>
      <c r="B429" t="s">
        <v>409</v>
      </c>
      <c r="C429">
        <v>1</v>
      </c>
      <c r="D429">
        <f>VLOOKUP(B429, Menu!$A:$F, 6, 0)</f>
        <v>28.43</v>
      </c>
      <c r="E429">
        <f>VLOOKUP(B429, Menu!$A:$F, 5, 0)</f>
        <v>13.89</v>
      </c>
      <c r="F429" t="str">
        <f>VLOOKUP(B429, Menu!$A:$F, 3, 0)</f>
        <v>Beverage</v>
      </c>
      <c r="G429" s="5">
        <f>VLOOKUP(A429, Orders!$A:$B, 2, 0)</f>
        <v>45846.027881944443</v>
      </c>
      <c r="H429" t="str">
        <f>VLOOKUP(A429, Orders!$A:$C, 3, 0)</f>
        <v>Plant 2 Canteen</v>
      </c>
      <c r="I429">
        <f>C429*D429*(1-VLOOKUP(A429,Orders!$A:$G,7,0))</f>
        <v>26.1556</v>
      </c>
      <c r="J429" t="str">
        <f>VLOOKUP(A429,Orders!$A:$G,6,0)</f>
        <v>Breakfast</v>
      </c>
      <c r="K429" t="str">
        <f>VLOOKUP(A429,Orders!$A:$G,5,0)</f>
        <v>Card</v>
      </c>
    </row>
    <row r="430" spans="1:11" x14ac:dyDescent="0.3">
      <c r="A430" t="s">
        <v>207</v>
      </c>
      <c r="B430" t="s">
        <v>406</v>
      </c>
      <c r="C430">
        <v>1</v>
      </c>
      <c r="D430">
        <f>VLOOKUP(B430, Menu!$A:$F, 6, 0)</f>
        <v>38.06</v>
      </c>
      <c r="E430">
        <f>VLOOKUP(B430, Menu!$A:$F, 5, 0)</f>
        <v>19.55</v>
      </c>
      <c r="F430" t="str">
        <f>VLOOKUP(B430, Menu!$A:$F, 3, 0)</f>
        <v>Snack</v>
      </c>
      <c r="G430" s="5">
        <f>VLOOKUP(A430, Orders!$A:$B, 2, 0)</f>
        <v>45865.189884259264</v>
      </c>
      <c r="H430" t="str">
        <f>VLOOKUP(A430, Orders!$A:$C, 3, 0)</f>
        <v>Plant 1 Canteen</v>
      </c>
      <c r="I430">
        <f>C430*D430*(1-VLOOKUP(A430,Orders!$A:$G,7,0))</f>
        <v>33.873400000000004</v>
      </c>
      <c r="J430" t="str">
        <f>VLOOKUP(A430,Orders!$A:$G,6,0)</f>
        <v>Breakfast</v>
      </c>
      <c r="K430" t="str">
        <f>VLOOKUP(A430,Orders!$A:$G,5,0)</f>
        <v>UPI</v>
      </c>
    </row>
    <row r="431" spans="1:11" x14ac:dyDescent="0.3">
      <c r="A431" t="s">
        <v>207</v>
      </c>
      <c r="B431" t="s">
        <v>411</v>
      </c>
      <c r="C431">
        <v>2</v>
      </c>
      <c r="D431">
        <f>VLOOKUP(B431, Menu!$A:$F, 6, 0)</f>
        <v>22.2</v>
      </c>
      <c r="E431">
        <f>VLOOKUP(B431, Menu!$A:$F, 5, 0)</f>
        <v>9.3800000000000008</v>
      </c>
      <c r="F431" t="str">
        <f>VLOOKUP(B431, Menu!$A:$F, 3, 0)</f>
        <v>Beverage</v>
      </c>
      <c r="G431" s="5">
        <f>VLOOKUP(A431, Orders!$A:$B, 2, 0)</f>
        <v>45865.189884259264</v>
      </c>
      <c r="H431" t="str">
        <f>VLOOKUP(A431, Orders!$A:$C, 3, 0)</f>
        <v>Plant 1 Canteen</v>
      </c>
      <c r="I431">
        <f>C431*D431*(1-VLOOKUP(A431,Orders!$A:$G,7,0))</f>
        <v>39.515999999999998</v>
      </c>
      <c r="J431" t="str">
        <f>VLOOKUP(A431,Orders!$A:$G,6,0)</f>
        <v>Breakfast</v>
      </c>
      <c r="K431" t="str">
        <f>VLOOKUP(A431,Orders!$A:$G,5,0)</f>
        <v>UPI</v>
      </c>
    </row>
    <row r="432" spans="1:11" x14ac:dyDescent="0.3">
      <c r="A432" t="s">
        <v>207</v>
      </c>
      <c r="B432" t="s">
        <v>419</v>
      </c>
      <c r="C432">
        <v>1</v>
      </c>
      <c r="D432">
        <f>VLOOKUP(B432, Menu!$A:$F, 6, 0)</f>
        <v>50.19</v>
      </c>
      <c r="E432">
        <f>VLOOKUP(B432, Menu!$A:$F, 5, 0)</f>
        <v>22.61</v>
      </c>
      <c r="F432" t="str">
        <f>VLOOKUP(B432, Menu!$A:$F, 3, 0)</f>
        <v>Snack</v>
      </c>
      <c r="G432" s="5">
        <f>VLOOKUP(A432, Orders!$A:$B, 2, 0)</f>
        <v>45865.189884259264</v>
      </c>
      <c r="H432" t="str">
        <f>VLOOKUP(A432, Orders!$A:$C, 3, 0)</f>
        <v>Plant 1 Canteen</v>
      </c>
      <c r="I432">
        <f>C432*D432*(1-VLOOKUP(A432,Orders!$A:$G,7,0))</f>
        <v>44.6691</v>
      </c>
      <c r="J432" t="str">
        <f>VLOOKUP(A432,Orders!$A:$G,6,0)</f>
        <v>Breakfast</v>
      </c>
      <c r="K432" t="str">
        <f>VLOOKUP(A432,Orders!$A:$G,5,0)</f>
        <v>UPI</v>
      </c>
    </row>
    <row r="433" spans="1:11" x14ac:dyDescent="0.3">
      <c r="A433" t="s">
        <v>207</v>
      </c>
      <c r="B433" t="s">
        <v>418</v>
      </c>
      <c r="C433">
        <v>1</v>
      </c>
      <c r="D433">
        <f>VLOOKUP(B433, Menu!$A:$F, 6, 0)</f>
        <v>39.950000000000003</v>
      </c>
      <c r="E433">
        <f>VLOOKUP(B433, Menu!$A:$F, 5, 0)</f>
        <v>15.51</v>
      </c>
      <c r="F433" t="str">
        <f>VLOOKUP(B433, Menu!$A:$F, 3, 0)</f>
        <v>Snack</v>
      </c>
      <c r="G433" s="5">
        <f>VLOOKUP(A433, Orders!$A:$B, 2, 0)</f>
        <v>45865.189884259264</v>
      </c>
      <c r="H433" t="str">
        <f>VLOOKUP(A433, Orders!$A:$C, 3, 0)</f>
        <v>Plant 1 Canteen</v>
      </c>
      <c r="I433">
        <f>C433*D433*(1-VLOOKUP(A433,Orders!$A:$G,7,0))</f>
        <v>35.555500000000002</v>
      </c>
      <c r="J433" t="str">
        <f>VLOOKUP(A433,Orders!$A:$G,6,0)</f>
        <v>Breakfast</v>
      </c>
      <c r="K433" t="str">
        <f>VLOOKUP(A433,Orders!$A:$G,5,0)</f>
        <v>UPI</v>
      </c>
    </row>
    <row r="434" spans="1:11" x14ac:dyDescent="0.3">
      <c r="A434" t="s">
        <v>208</v>
      </c>
      <c r="B434" t="s">
        <v>417</v>
      </c>
      <c r="C434">
        <v>1</v>
      </c>
      <c r="D434">
        <f>VLOOKUP(B434, Menu!$A:$F, 6, 0)</f>
        <v>146.4</v>
      </c>
      <c r="E434">
        <f>VLOOKUP(B434, Menu!$A:$F, 5, 0)</f>
        <v>80.92</v>
      </c>
      <c r="F434" t="str">
        <f>VLOOKUP(B434, Menu!$A:$F, 3, 0)</f>
        <v>Hot Meal</v>
      </c>
      <c r="G434" s="5">
        <f>VLOOKUP(A434, Orders!$A:$B, 2, 0)</f>
        <v>45896.235995370371</v>
      </c>
      <c r="H434" t="str">
        <f>VLOOKUP(A434, Orders!$A:$C, 3, 0)</f>
        <v>Head Office Café</v>
      </c>
      <c r="I434">
        <f>C434*D434*(1-VLOOKUP(A434,Orders!$A:$G,7,0))</f>
        <v>131.76000000000002</v>
      </c>
      <c r="J434" t="str">
        <f>VLOOKUP(A434,Orders!$A:$G,6,0)</f>
        <v>Breakfast</v>
      </c>
      <c r="K434" t="str">
        <f>VLOOKUP(A434,Orders!$A:$G,5,0)</f>
        <v>Card</v>
      </c>
    </row>
    <row r="435" spans="1:11" x14ac:dyDescent="0.3">
      <c r="A435" t="s">
        <v>208</v>
      </c>
      <c r="B435" t="s">
        <v>408</v>
      </c>
      <c r="C435">
        <v>1</v>
      </c>
      <c r="D435">
        <f>VLOOKUP(B435, Menu!$A:$F, 6, 0)</f>
        <v>70.540000000000006</v>
      </c>
      <c r="E435">
        <f>VLOOKUP(B435, Menu!$A:$F, 5, 0)</f>
        <v>35.81</v>
      </c>
      <c r="F435" t="str">
        <f>VLOOKUP(B435, Menu!$A:$F, 3, 0)</f>
        <v>Snack</v>
      </c>
      <c r="G435" s="5">
        <f>VLOOKUP(A435, Orders!$A:$B, 2, 0)</f>
        <v>45896.235995370371</v>
      </c>
      <c r="H435" t="str">
        <f>VLOOKUP(A435, Orders!$A:$C, 3, 0)</f>
        <v>Head Office Café</v>
      </c>
      <c r="I435">
        <f>C435*D435*(1-VLOOKUP(A435,Orders!$A:$G,7,0))</f>
        <v>63.486000000000004</v>
      </c>
      <c r="J435" t="str">
        <f>VLOOKUP(A435,Orders!$A:$G,6,0)</f>
        <v>Breakfast</v>
      </c>
      <c r="K435" t="str">
        <f>VLOOKUP(A435,Orders!$A:$G,5,0)</f>
        <v>Card</v>
      </c>
    </row>
    <row r="436" spans="1:11" x14ac:dyDescent="0.3">
      <c r="A436" t="s">
        <v>208</v>
      </c>
      <c r="B436" t="s">
        <v>405</v>
      </c>
      <c r="C436">
        <v>2</v>
      </c>
      <c r="D436">
        <f>VLOOKUP(B436, Menu!$A:$F, 6, 0)</f>
        <v>170.83</v>
      </c>
      <c r="E436">
        <f>VLOOKUP(B436, Menu!$A:$F, 5, 0)</f>
        <v>74.069999999999993</v>
      </c>
      <c r="F436" t="str">
        <f>VLOOKUP(B436, Menu!$A:$F, 3, 0)</f>
        <v>Hot Meal</v>
      </c>
      <c r="G436" s="5">
        <f>VLOOKUP(A436, Orders!$A:$B, 2, 0)</f>
        <v>45896.235995370371</v>
      </c>
      <c r="H436" t="str">
        <f>VLOOKUP(A436, Orders!$A:$C, 3, 0)</f>
        <v>Head Office Café</v>
      </c>
      <c r="I436">
        <f>C436*D436*(1-VLOOKUP(A436,Orders!$A:$G,7,0))</f>
        <v>307.49400000000003</v>
      </c>
      <c r="J436" t="str">
        <f>VLOOKUP(A436,Orders!$A:$G,6,0)</f>
        <v>Breakfast</v>
      </c>
      <c r="K436" t="str">
        <f>VLOOKUP(A436,Orders!$A:$G,5,0)</f>
        <v>Card</v>
      </c>
    </row>
    <row r="437" spans="1:11" x14ac:dyDescent="0.3">
      <c r="A437" t="s">
        <v>209</v>
      </c>
      <c r="B437" t="s">
        <v>416</v>
      </c>
      <c r="C437">
        <v>2</v>
      </c>
      <c r="D437">
        <f>VLOOKUP(B437, Menu!$A:$F, 6, 0)</f>
        <v>227.61</v>
      </c>
      <c r="E437">
        <f>VLOOKUP(B437, Menu!$A:$F, 5, 0)</f>
        <v>96.22</v>
      </c>
      <c r="F437" t="str">
        <f>VLOOKUP(B437, Menu!$A:$F, 3, 0)</f>
        <v>Hot Meal</v>
      </c>
      <c r="G437" s="5">
        <f>VLOOKUP(A437, Orders!$A:$B, 2, 0)</f>
        <v>45882.605451388888</v>
      </c>
      <c r="H437" t="str">
        <f>VLOOKUP(A437, Orders!$A:$C, 3, 0)</f>
        <v>Head Office Café</v>
      </c>
      <c r="I437">
        <f>C437*D437*(1-VLOOKUP(A437,Orders!$A:$G,7,0))</f>
        <v>414.25020000000006</v>
      </c>
      <c r="J437" t="str">
        <f>VLOOKUP(A437,Orders!$A:$G,6,0)</f>
        <v>Lunch</v>
      </c>
      <c r="K437" t="str">
        <f>VLOOKUP(A437,Orders!$A:$G,5,0)</f>
        <v>Card</v>
      </c>
    </row>
    <row r="438" spans="1:11" x14ac:dyDescent="0.3">
      <c r="A438" t="s">
        <v>210</v>
      </c>
      <c r="B438" t="s">
        <v>415</v>
      </c>
      <c r="C438">
        <v>2</v>
      </c>
      <c r="D438">
        <f>VLOOKUP(B438, Menu!$A:$F, 6, 0)</f>
        <v>256.91000000000003</v>
      </c>
      <c r="E438">
        <f>VLOOKUP(B438, Menu!$A:$F, 5, 0)</f>
        <v>121.24</v>
      </c>
      <c r="F438" t="str">
        <f>VLOOKUP(B438, Menu!$A:$F, 3, 0)</f>
        <v>Hot Meal</v>
      </c>
      <c r="G438" s="5">
        <f>VLOOKUP(A438, Orders!$A:$B, 2, 0)</f>
        <v>45892.835856481477</v>
      </c>
      <c r="H438" t="str">
        <f>VLOOKUP(A438, Orders!$A:$C, 3, 0)</f>
        <v>Head Office Café</v>
      </c>
      <c r="I438">
        <f>C438*D438*(1-VLOOKUP(A438,Orders!$A:$G,7,0))</f>
        <v>488.12900000000002</v>
      </c>
      <c r="J438" t="str">
        <f>VLOOKUP(A438,Orders!$A:$G,6,0)</f>
        <v>Dinner</v>
      </c>
      <c r="K438" t="str">
        <f>VLOOKUP(A438,Orders!$A:$G,5,0)</f>
        <v>Card</v>
      </c>
    </row>
    <row r="439" spans="1:11" x14ac:dyDescent="0.3">
      <c r="A439" t="s">
        <v>211</v>
      </c>
      <c r="B439" t="s">
        <v>410</v>
      </c>
      <c r="C439">
        <v>2</v>
      </c>
      <c r="D439">
        <f>VLOOKUP(B439, Menu!$A:$F, 6, 0)</f>
        <v>20.11</v>
      </c>
      <c r="E439">
        <f>VLOOKUP(B439, Menu!$A:$F, 5, 0)</f>
        <v>8</v>
      </c>
      <c r="F439" t="str">
        <f>VLOOKUP(B439, Menu!$A:$F, 3, 0)</f>
        <v>Beverage</v>
      </c>
      <c r="G439" s="5">
        <f>VLOOKUP(A439, Orders!$A:$B, 2, 0)</f>
        <v>45857.566319444442</v>
      </c>
      <c r="H439" t="str">
        <f>VLOOKUP(A439, Orders!$A:$C, 3, 0)</f>
        <v>Head Office Café</v>
      </c>
      <c r="I439">
        <f>C439*D439*(1-VLOOKUP(A439,Orders!$A:$G,7,0))</f>
        <v>36.600200000000001</v>
      </c>
      <c r="J439" t="str">
        <f>VLOOKUP(A439,Orders!$A:$G,6,0)</f>
        <v>Lunch</v>
      </c>
      <c r="K439" t="str">
        <f>VLOOKUP(A439,Orders!$A:$G,5,0)</f>
        <v>UPI</v>
      </c>
    </row>
    <row r="440" spans="1:11" x14ac:dyDescent="0.3">
      <c r="A440" t="s">
        <v>211</v>
      </c>
      <c r="B440" t="s">
        <v>403</v>
      </c>
      <c r="C440">
        <v>1</v>
      </c>
      <c r="D440">
        <f>VLOOKUP(B440, Menu!$A:$F, 6, 0)</f>
        <v>76.55</v>
      </c>
      <c r="E440">
        <f>VLOOKUP(B440, Menu!$A:$F, 5, 0)</f>
        <v>38.229999999999997</v>
      </c>
      <c r="F440" t="str">
        <f>VLOOKUP(B440, Menu!$A:$F, 3, 0)</f>
        <v>Dessert</v>
      </c>
      <c r="G440" s="5">
        <f>VLOOKUP(A440, Orders!$A:$B, 2, 0)</f>
        <v>45857.566319444442</v>
      </c>
      <c r="H440" t="str">
        <f>VLOOKUP(A440, Orders!$A:$C, 3, 0)</f>
        <v>Head Office Café</v>
      </c>
      <c r="I440">
        <f>C440*D440*(1-VLOOKUP(A440,Orders!$A:$G,7,0))</f>
        <v>69.660499999999999</v>
      </c>
      <c r="J440" t="str">
        <f>VLOOKUP(A440,Orders!$A:$G,6,0)</f>
        <v>Lunch</v>
      </c>
      <c r="K440" t="str">
        <f>VLOOKUP(A440,Orders!$A:$G,5,0)</f>
        <v>UPI</v>
      </c>
    </row>
    <row r="441" spans="1:11" x14ac:dyDescent="0.3">
      <c r="A441" t="s">
        <v>211</v>
      </c>
      <c r="B441" t="s">
        <v>404</v>
      </c>
      <c r="C441">
        <v>2</v>
      </c>
      <c r="D441">
        <f>VLOOKUP(B441, Menu!$A:$F, 6, 0)</f>
        <v>32.979999999999997</v>
      </c>
      <c r="E441">
        <f>VLOOKUP(B441, Menu!$A:$F, 5, 0)</f>
        <v>11.84</v>
      </c>
      <c r="F441" t="str">
        <f>VLOOKUP(B441, Menu!$A:$F, 3, 0)</f>
        <v>Beverage</v>
      </c>
      <c r="G441" s="5">
        <f>VLOOKUP(A441, Orders!$A:$B, 2, 0)</f>
        <v>45857.566319444442</v>
      </c>
      <c r="H441" t="str">
        <f>VLOOKUP(A441, Orders!$A:$C, 3, 0)</f>
        <v>Head Office Café</v>
      </c>
      <c r="I441">
        <f>C441*D441*(1-VLOOKUP(A441,Orders!$A:$G,7,0))</f>
        <v>60.023599999999995</v>
      </c>
      <c r="J441" t="str">
        <f>VLOOKUP(A441,Orders!$A:$G,6,0)</f>
        <v>Lunch</v>
      </c>
      <c r="K441" t="str">
        <f>VLOOKUP(A441,Orders!$A:$G,5,0)</f>
        <v>UPI</v>
      </c>
    </row>
    <row r="442" spans="1:11" x14ac:dyDescent="0.3">
      <c r="A442" t="s">
        <v>211</v>
      </c>
      <c r="B442" t="s">
        <v>409</v>
      </c>
      <c r="C442">
        <v>3</v>
      </c>
      <c r="D442">
        <f>VLOOKUP(B442, Menu!$A:$F, 6, 0)</f>
        <v>28.43</v>
      </c>
      <c r="E442">
        <f>VLOOKUP(B442, Menu!$A:$F, 5, 0)</f>
        <v>13.89</v>
      </c>
      <c r="F442" t="str">
        <f>VLOOKUP(B442, Menu!$A:$F, 3, 0)</f>
        <v>Beverage</v>
      </c>
      <c r="G442" s="5">
        <f>VLOOKUP(A442, Orders!$A:$B, 2, 0)</f>
        <v>45857.566319444442</v>
      </c>
      <c r="H442" t="str">
        <f>VLOOKUP(A442, Orders!$A:$C, 3, 0)</f>
        <v>Head Office Café</v>
      </c>
      <c r="I442">
        <f>C442*D442*(1-VLOOKUP(A442,Orders!$A:$G,7,0))</f>
        <v>77.613900000000001</v>
      </c>
      <c r="J442" t="str">
        <f>VLOOKUP(A442,Orders!$A:$G,6,0)</f>
        <v>Lunch</v>
      </c>
      <c r="K442" t="str">
        <f>VLOOKUP(A442,Orders!$A:$G,5,0)</f>
        <v>UPI</v>
      </c>
    </row>
    <row r="443" spans="1:11" x14ac:dyDescent="0.3">
      <c r="A443" t="s">
        <v>212</v>
      </c>
      <c r="B443" t="s">
        <v>419</v>
      </c>
      <c r="C443">
        <v>2</v>
      </c>
      <c r="D443">
        <f>VLOOKUP(B443, Menu!$A:$F, 6, 0)</f>
        <v>50.19</v>
      </c>
      <c r="E443">
        <f>VLOOKUP(B443, Menu!$A:$F, 5, 0)</f>
        <v>22.61</v>
      </c>
      <c r="F443" t="str">
        <f>VLOOKUP(B443, Menu!$A:$F, 3, 0)</f>
        <v>Snack</v>
      </c>
      <c r="G443" s="5">
        <f>VLOOKUP(A443, Orders!$A:$B, 2, 0)</f>
        <v>45861.926655092589</v>
      </c>
      <c r="H443" t="str">
        <f>VLOOKUP(A443, Orders!$A:$C, 3, 0)</f>
        <v>Plant 2 Canteen</v>
      </c>
      <c r="I443">
        <f>C443*D443*(1-VLOOKUP(A443,Orders!$A:$G,7,0))</f>
        <v>97.368599999999986</v>
      </c>
      <c r="J443" t="str">
        <f>VLOOKUP(A443,Orders!$A:$G,6,0)</f>
        <v>Dinner</v>
      </c>
      <c r="K443" t="str">
        <f>VLOOKUP(A443,Orders!$A:$G,5,0)</f>
        <v>Card</v>
      </c>
    </row>
    <row r="444" spans="1:11" x14ac:dyDescent="0.3">
      <c r="A444" t="s">
        <v>212</v>
      </c>
      <c r="B444" t="s">
        <v>416</v>
      </c>
      <c r="C444">
        <v>1</v>
      </c>
      <c r="D444">
        <f>VLOOKUP(B444, Menu!$A:$F, 6, 0)</f>
        <v>227.61</v>
      </c>
      <c r="E444">
        <f>VLOOKUP(B444, Menu!$A:$F, 5, 0)</f>
        <v>96.22</v>
      </c>
      <c r="F444" t="str">
        <f>VLOOKUP(B444, Menu!$A:$F, 3, 0)</f>
        <v>Hot Meal</v>
      </c>
      <c r="G444" s="5">
        <f>VLOOKUP(A444, Orders!$A:$B, 2, 0)</f>
        <v>45861.926655092589</v>
      </c>
      <c r="H444" t="str">
        <f>VLOOKUP(A444, Orders!$A:$C, 3, 0)</f>
        <v>Plant 2 Canteen</v>
      </c>
      <c r="I444">
        <f>C444*D444*(1-VLOOKUP(A444,Orders!$A:$G,7,0))</f>
        <v>220.7817</v>
      </c>
      <c r="J444" t="str">
        <f>VLOOKUP(A444,Orders!$A:$G,6,0)</f>
        <v>Dinner</v>
      </c>
      <c r="K444" t="str">
        <f>VLOOKUP(A444,Orders!$A:$G,5,0)</f>
        <v>Card</v>
      </c>
    </row>
    <row r="445" spans="1:11" x14ac:dyDescent="0.3">
      <c r="A445" t="s">
        <v>213</v>
      </c>
      <c r="B445" t="s">
        <v>410</v>
      </c>
      <c r="C445">
        <v>1</v>
      </c>
      <c r="D445">
        <f>VLOOKUP(B445, Menu!$A:$F, 6, 0)</f>
        <v>20.11</v>
      </c>
      <c r="E445">
        <f>VLOOKUP(B445, Menu!$A:$F, 5, 0)</f>
        <v>8</v>
      </c>
      <c r="F445" t="str">
        <f>VLOOKUP(B445, Menu!$A:$F, 3, 0)</f>
        <v>Beverage</v>
      </c>
      <c r="G445" s="5">
        <f>VLOOKUP(A445, Orders!$A:$B, 2, 0)</f>
        <v>45876.263865740737</v>
      </c>
      <c r="H445" t="str">
        <f>VLOOKUP(A445, Orders!$A:$C, 3, 0)</f>
        <v>Plant 2 Canteen</v>
      </c>
      <c r="I445">
        <f>C445*D445*(1-VLOOKUP(A445,Orders!$A:$G,7,0))</f>
        <v>19.104499999999998</v>
      </c>
      <c r="J445" t="str">
        <f>VLOOKUP(A445,Orders!$A:$G,6,0)</f>
        <v>Breakfast</v>
      </c>
      <c r="K445" t="str">
        <f>VLOOKUP(A445,Orders!$A:$G,5,0)</f>
        <v>UPI</v>
      </c>
    </row>
    <row r="446" spans="1:11" x14ac:dyDescent="0.3">
      <c r="A446" t="s">
        <v>213</v>
      </c>
      <c r="B446" t="s">
        <v>415</v>
      </c>
      <c r="C446">
        <v>1</v>
      </c>
      <c r="D446">
        <f>VLOOKUP(B446, Menu!$A:$F, 6, 0)</f>
        <v>256.91000000000003</v>
      </c>
      <c r="E446">
        <f>VLOOKUP(B446, Menu!$A:$F, 5, 0)</f>
        <v>121.24</v>
      </c>
      <c r="F446" t="str">
        <f>VLOOKUP(B446, Menu!$A:$F, 3, 0)</f>
        <v>Hot Meal</v>
      </c>
      <c r="G446" s="5">
        <f>VLOOKUP(A446, Orders!$A:$B, 2, 0)</f>
        <v>45876.263865740737</v>
      </c>
      <c r="H446" t="str">
        <f>VLOOKUP(A446, Orders!$A:$C, 3, 0)</f>
        <v>Plant 2 Canteen</v>
      </c>
      <c r="I446">
        <f>C446*D446*(1-VLOOKUP(A446,Orders!$A:$G,7,0))</f>
        <v>244.06450000000001</v>
      </c>
      <c r="J446" t="str">
        <f>VLOOKUP(A446,Orders!$A:$G,6,0)</f>
        <v>Breakfast</v>
      </c>
      <c r="K446" t="str">
        <f>VLOOKUP(A446,Orders!$A:$G,5,0)</f>
        <v>UPI</v>
      </c>
    </row>
    <row r="447" spans="1:11" x14ac:dyDescent="0.3">
      <c r="A447" t="s">
        <v>213</v>
      </c>
      <c r="B447" t="s">
        <v>416</v>
      </c>
      <c r="C447">
        <v>1</v>
      </c>
      <c r="D447">
        <f>VLOOKUP(B447, Menu!$A:$F, 6, 0)</f>
        <v>227.61</v>
      </c>
      <c r="E447">
        <f>VLOOKUP(B447, Menu!$A:$F, 5, 0)</f>
        <v>96.22</v>
      </c>
      <c r="F447" t="str">
        <f>VLOOKUP(B447, Menu!$A:$F, 3, 0)</f>
        <v>Hot Meal</v>
      </c>
      <c r="G447" s="5">
        <f>VLOOKUP(A447, Orders!$A:$B, 2, 0)</f>
        <v>45876.263865740737</v>
      </c>
      <c r="H447" t="str">
        <f>VLOOKUP(A447, Orders!$A:$C, 3, 0)</f>
        <v>Plant 2 Canteen</v>
      </c>
      <c r="I447">
        <f>C447*D447*(1-VLOOKUP(A447,Orders!$A:$G,7,0))</f>
        <v>216.2295</v>
      </c>
      <c r="J447" t="str">
        <f>VLOOKUP(A447,Orders!$A:$G,6,0)</f>
        <v>Breakfast</v>
      </c>
      <c r="K447" t="str">
        <f>VLOOKUP(A447,Orders!$A:$G,5,0)</f>
        <v>UPI</v>
      </c>
    </row>
    <row r="448" spans="1:11" x14ac:dyDescent="0.3">
      <c r="A448" t="s">
        <v>214</v>
      </c>
      <c r="B448" t="s">
        <v>412</v>
      </c>
      <c r="C448">
        <v>1</v>
      </c>
      <c r="D448">
        <f>VLOOKUP(B448, Menu!$A:$F, 6, 0)</f>
        <v>57.07</v>
      </c>
      <c r="E448">
        <f>VLOOKUP(B448, Menu!$A:$F, 5, 0)</f>
        <v>29.14</v>
      </c>
      <c r="F448" t="str">
        <f>VLOOKUP(B448, Menu!$A:$F, 3, 0)</f>
        <v>Dessert</v>
      </c>
      <c r="G448" s="5">
        <f>VLOOKUP(A448, Orders!$A:$B, 2, 0)</f>
        <v>45887.341631944437</v>
      </c>
      <c r="H448" t="str">
        <f>VLOOKUP(A448, Orders!$A:$C, 3, 0)</f>
        <v>Plant 1 Canteen</v>
      </c>
      <c r="I448">
        <f>C448*D448*(1-VLOOKUP(A448,Orders!$A:$G,7,0))</f>
        <v>54.787199999999999</v>
      </c>
      <c r="J448" t="str">
        <f>VLOOKUP(A448,Orders!$A:$G,6,0)</f>
        <v>Breakfast</v>
      </c>
      <c r="K448" t="str">
        <f>VLOOKUP(A448,Orders!$A:$G,5,0)</f>
        <v>UPI</v>
      </c>
    </row>
    <row r="449" spans="1:11" x14ac:dyDescent="0.3">
      <c r="A449" t="s">
        <v>214</v>
      </c>
      <c r="B449" t="s">
        <v>409</v>
      </c>
      <c r="C449">
        <v>2</v>
      </c>
      <c r="D449">
        <f>VLOOKUP(B449, Menu!$A:$F, 6, 0)</f>
        <v>28.43</v>
      </c>
      <c r="E449">
        <f>VLOOKUP(B449, Menu!$A:$F, 5, 0)</f>
        <v>13.89</v>
      </c>
      <c r="F449" t="str">
        <f>VLOOKUP(B449, Menu!$A:$F, 3, 0)</f>
        <v>Beverage</v>
      </c>
      <c r="G449" s="5">
        <f>VLOOKUP(A449, Orders!$A:$B, 2, 0)</f>
        <v>45887.341631944437</v>
      </c>
      <c r="H449" t="str">
        <f>VLOOKUP(A449, Orders!$A:$C, 3, 0)</f>
        <v>Plant 1 Canteen</v>
      </c>
      <c r="I449">
        <f>C449*D449*(1-VLOOKUP(A449,Orders!$A:$G,7,0))</f>
        <v>54.585599999999999</v>
      </c>
      <c r="J449" t="str">
        <f>VLOOKUP(A449,Orders!$A:$G,6,0)</f>
        <v>Breakfast</v>
      </c>
      <c r="K449" t="str">
        <f>VLOOKUP(A449,Orders!$A:$G,5,0)</f>
        <v>UPI</v>
      </c>
    </row>
    <row r="450" spans="1:11" x14ac:dyDescent="0.3">
      <c r="A450" t="s">
        <v>214</v>
      </c>
      <c r="B450" t="s">
        <v>406</v>
      </c>
      <c r="C450">
        <v>1</v>
      </c>
      <c r="D450">
        <f>VLOOKUP(B450, Menu!$A:$F, 6, 0)</f>
        <v>38.06</v>
      </c>
      <c r="E450">
        <f>VLOOKUP(B450, Menu!$A:$F, 5, 0)</f>
        <v>19.55</v>
      </c>
      <c r="F450" t="str">
        <f>VLOOKUP(B450, Menu!$A:$F, 3, 0)</f>
        <v>Snack</v>
      </c>
      <c r="G450" s="5">
        <f>VLOOKUP(A450, Orders!$A:$B, 2, 0)</f>
        <v>45887.341631944437</v>
      </c>
      <c r="H450" t="str">
        <f>VLOOKUP(A450, Orders!$A:$C, 3, 0)</f>
        <v>Plant 1 Canteen</v>
      </c>
      <c r="I450">
        <f>C450*D450*(1-VLOOKUP(A450,Orders!$A:$G,7,0))</f>
        <v>36.537599999999998</v>
      </c>
      <c r="J450" t="str">
        <f>VLOOKUP(A450,Orders!$A:$G,6,0)</f>
        <v>Breakfast</v>
      </c>
      <c r="K450" t="str">
        <f>VLOOKUP(A450,Orders!$A:$G,5,0)</f>
        <v>UPI</v>
      </c>
    </row>
    <row r="451" spans="1:11" x14ac:dyDescent="0.3">
      <c r="A451" t="s">
        <v>215</v>
      </c>
      <c r="B451" t="s">
        <v>405</v>
      </c>
      <c r="C451">
        <v>2</v>
      </c>
      <c r="D451">
        <f>VLOOKUP(B451, Menu!$A:$F, 6, 0)</f>
        <v>170.83</v>
      </c>
      <c r="E451">
        <f>VLOOKUP(B451, Menu!$A:$F, 5, 0)</f>
        <v>74.069999999999993</v>
      </c>
      <c r="F451" t="str">
        <f>VLOOKUP(B451, Menu!$A:$F, 3, 0)</f>
        <v>Hot Meal</v>
      </c>
      <c r="G451" s="5">
        <f>VLOOKUP(A451, Orders!$A:$B, 2, 0)</f>
        <v>45848.994432870371</v>
      </c>
      <c r="H451" t="str">
        <f>VLOOKUP(A451, Orders!$A:$C, 3, 0)</f>
        <v>Plant 2 Canteen</v>
      </c>
      <c r="I451">
        <f>C451*D451*(1-VLOOKUP(A451,Orders!$A:$G,7,0))</f>
        <v>321.16039999999998</v>
      </c>
      <c r="J451" t="str">
        <f>VLOOKUP(A451,Orders!$A:$G,6,0)</f>
        <v>Dinner</v>
      </c>
      <c r="K451" t="str">
        <f>VLOOKUP(A451,Orders!$A:$G,5,0)</f>
        <v>UPI</v>
      </c>
    </row>
    <row r="452" spans="1:11" x14ac:dyDescent="0.3">
      <c r="A452" t="s">
        <v>215</v>
      </c>
      <c r="B452" t="s">
        <v>413</v>
      </c>
      <c r="C452">
        <v>1</v>
      </c>
      <c r="D452">
        <f>VLOOKUP(B452, Menu!$A:$F, 6, 0)</f>
        <v>54.2</v>
      </c>
      <c r="E452">
        <f>VLOOKUP(B452, Menu!$A:$F, 5, 0)</f>
        <v>21.95</v>
      </c>
      <c r="F452" t="str">
        <f>VLOOKUP(B452, Menu!$A:$F, 3, 0)</f>
        <v>Dessert</v>
      </c>
      <c r="G452" s="5">
        <f>VLOOKUP(A452, Orders!$A:$B, 2, 0)</f>
        <v>45848.994432870371</v>
      </c>
      <c r="H452" t="str">
        <f>VLOOKUP(A452, Orders!$A:$C, 3, 0)</f>
        <v>Plant 2 Canteen</v>
      </c>
      <c r="I452">
        <f>C452*D452*(1-VLOOKUP(A452,Orders!$A:$G,7,0))</f>
        <v>50.948</v>
      </c>
      <c r="J452" t="str">
        <f>VLOOKUP(A452,Orders!$A:$G,6,0)</f>
        <v>Dinner</v>
      </c>
      <c r="K452" t="str">
        <f>VLOOKUP(A452,Orders!$A:$G,5,0)</f>
        <v>UPI</v>
      </c>
    </row>
    <row r="453" spans="1:11" x14ac:dyDescent="0.3">
      <c r="A453" t="s">
        <v>215</v>
      </c>
      <c r="B453" t="s">
        <v>417</v>
      </c>
      <c r="C453">
        <v>2</v>
      </c>
      <c r="D453">
        <f>VLOOKUP(B453, Menu!$A:$F, 6, 0)</f>
        <v>146.4</v>
      </c>
      <c r="E453">
        <f>VLOOKUP(B453, Menu!$A:$F, 5, 0)</f>
        <v>80.92</v>
      </c>
      <c r="F453" t="str">
        <f>VLOOKUP(B453, Menu!$A:$F, 3, 0)</f>
        <v>Hot Meal</v>
      </c>
      <c r="G453" s="5">
        <f>VLOOKUP(A453, Orders!$A:$B, 2, 0)</f>
        <v>45848.994432870371</v>
      </c>
      <c r="H453" t="str">
        <f>VLOOKUP(A453, Orders!$A:$C, 3, 0)</f>
        <v>Plant 2 Canteen</v>
      </c>
      <c r="I453">
        <f>C453*D453*(1-VLOOKUP(A453,Orders!$A:$G,7,0))</f>
        <v>275.23199999999997</v>
      </c>
      <c r="J453" t="str">
        <f>VLOOKUP(A453,Orders!$A:$G,6,0)</f>
        <v>Dinner</v>
      </c>
      <c r="K453" t="str">
        <f>VLOOKUP(A453,Orders!$A:$G,5,0)</f>
        <v>UPI</v>
      </c>
    </row>
    <row r="454" spans="1:11" x14ac:dyDescent="0.3">
      <c r="A454" t="s">
        <v>215</v>
      </c>
      <c r="B454" t="s">
        <v>414</v>
      </c>
      <c r="C454">
        <v>3</v>
      </c>
      <c r="D454">
        <f>VLOOKUP(B454, Menu!$A:$F, 6, 0)</f>
        <v>116.8</v>
      </c>
      <c r="E454">
        <f>VLOOKUP(B454, Menu!$A:$F, 5, 0)</f>
        <v>48.97</v>
      </c>
      <c r="F454" t="str">
        <f>VLOOKUP(B454, Menu!$A:$F, 3, 0)</f>
        <v>Dessert</v>
      </c>
      <c r="G454" s="5">
        <f>VLOOKUP(A454, Orders!$A:$B, 2, 0)</f>
        <v>45848.994432870371</v>
      </c>
      <c r="H454" t="str">
        <f>VLOOKUP(A454, Orders!$A:$C, 3, 0)</f>
        <v>Plant 2 Canteen</v>
      </c>
      <c r="I454">
        <f>C454*D454*(1-VLOOKUP(A454,Orders!$A:$G,7,0))</f>
        <v>329.37599999999998</v>
      </c>
      <c r="J454" t="str">
        <f>VLOOKUP(A454,Orders!$A:$G,6,0)</f>
        <v>Dinner</v>
      </c>
      <c r="K454" t="str">
        <f>VLOOKUP(A454,Orders!$A:$G,5,0)</f>
        <v>UPI</v>
      </c>
    </row>
    <row r="455" spans="1:11" x14ac:dyDescent="0.3">
      <c r="A455" t="s">
        <v>216</v>
      </c>
      <c r="B455" t="s">
        <v>407</v>
      </c>
      <c r="C455">
        <v>1</v>
      </c>
      <c r="D455">
        <f>VLOOKUP(B455, Menu!$A:$F, 6, 0)</f>
        <v>246.09</v>
      </c>
      <c r="E455">
        <f>VLOOKUP(B455, Menu!$A:$F, 5, 0)</f>
        <v>112.08</v>
      </c>
      <c r="F455" t="str">
        <f>VLOOKUP(B455, Menu!$A:$F, 3, 0)</f>
        <v>Hot Meal</v>
      </c>
      <c r="G455" s="5">
        <f>VLOOKUP(A455, Orders!$A:$B, 2, 0)</f>
        <v>45840.74009259259</v>
      </c>
      <c r="H455" t="str">
        <f>VLOOKUP(A455, Orders!$A:$C, 3, 0)</f>
        <v>Head Office Café</v>
      </c>
      <c r="I455">
        <f>C455*D455*(1-VLOOKUP(A455,Orders!$A:$G,7,0))</f>
        <v>209.1765</v>
      </c>
      <c r="J455" t="str">
        <f>VLOOKUP(A455,Orders!$A:$G,6,0)</f>
        <v>Dinner</v>
      </c>
      <c r="K455" t="str">
        <f>VLOOKUP(A455,Orders!$A:$G,5,0)</f>
        <v>Card</v>
      </c>
    </row>
    <row r="456" spans="1:11" x14ac:dyDescent="0.3">
      <c r="A456" t="s">
        <v>216</v>
      </c>
      <c r="B456" t="s">
        <v>419</v>
      </c>
      <c r="C456">
        <v>2</v>
      </c>
      <c r="D456">
        <f>VLOOKUP(B456, Menu!$A:$F, 6, 0)</f>
        <v>50.19</v>
      </c>
      <c r="E456">
        <f>VLOOKUP(B456, Menu!$A:$F, 5, 0)</f>
        <v>22.61</v>
      </c>
      <c r="F456" t="str">
        <f>VLOOKUP(B456, Menu!$A:$F, 3, 0)</f>
        <v>Snack</v>
      </c>
      <c r="G456" s="5">
        <f>VLOOKUP(A456, Orders!$A:$B, 2, 0)</f>
        <v>45840.74009259259</v>
      </c>
      <c r="H456" t="str">
        <f>VLOOKUP(A456, Orders!$A:$C, 3, 0)</f>
        <v>Head Office Café</v>
      </c>
      <c r="I456">
        <f>C456*D456*(1-VLOOKUP(A456,Orders!$A:$G,7,0))</f>
        <v>85.322999999999993</v>
      </c>
      <c r="J456" t="str">
        <f>VLOOKUP(A456,Orders!$A:$G,6,0)</f>
        <v>Dinner</v>
      </c>
      <c r="K456" t="str">
        <f>VLOOKUP(A456,Orders!$A:$G,5,0)</f>
        <v>Card</v>
      </c>
    </row>
    <row r="457" spans="1:11" x14ac:dyDescent="0.3">
      <c r="A457" t="s">
        <v>216</v>
      </c>
      <c r="B457" t="s">
        <v>401</v>
      </c>
      <c r="C457">
        <v>1</v>
      </c>
      <c r="D457">
        <f>VLOOKUP(B457, Menu!$A:$F, 6, 0)</f>
        <v>52.45</v>
      </c>
      <c r="E457">
        <f>VLOOKUP(B457, Menu!$A:$F, 5, 0)</f>
        <v>25.8</v>
      </c>
      <c r="F457" t="str">
        <f>VLOOKUP(B457, Menu!$A:$F, 3, 0)</f>
        <v>Snack</v>
      </c>
      <c r="G457" s="5">
        <f>VLOOKUP(A457, Orders!$A:$B, 2, 0)</f>
        <v>45840.74009259259</v>
      </c>
      <c r="H457" t="str">
        <f>VLOOKUP(A457, Orders!$A:$C, 3, 0)</f>
        <v>Head Office Café</v>
      </c>
      <c r="I457">
        <f>C457*D457*(1-VLOOKUP(A457,Orders!$A:$G,7,0))</f>
        <v>44.582500000000003</v>
      </c>
      <c r="J457" t="str">
        <f>VLOOKUP(A457,Orders!$A:$G,6,0)</f>
        <v>Dinner</v>
      </c>
      <c r="K457" t="str">
        <f>VLOOKUP(A457,Orders!$A:$G,5,0)</f>
        <v>Card</v>
      </c>
    </row>
    <row r="458" spans="1:11" x14ac:dyDescent="0.3">
      <c r="A458" t="s">
        <v>217</v>
      </c>
      <c r="B458" t="s">
        <v>409</v>
      </c>
      <c r="C458">
        <v>1</v>
      </c>
      <c r="D458">
        <f>VLOOKUP(B458, Menu!$A:$F, 6, 0)</f>
        <v>28.43</v>
      </c>
      <c r="E458">
        <f>VLOOKUP(B458, Menu!$A:$F, 5, 0)</f>
        <v>13.89</v>
      </c>
      <c r="F458" t="str">
        <f>VLOOKUP(B458, Menu!$A:$F, 3, 0)</f>
        <v>Beverage</v>
      </c>
      <c r="G458" s="5">
        <f>VLOOKUP(A458, Orders!$A:$B, 2, 0)</f>
        <v>45846.515092592592</v>
      </c>
      <c r="H458" t="str">
        <f>VLOOKUP(A458, Orders!$A:$C, 3, 0)</f>
        <v>Plant 2 Canteen</v>
      </c>
      <c r="I458">
        <f>C458*D458*(1-VLOOKUP(A458,Orders!$A:$G,7,0))</f>
        <v>28.43</v>
      </c>
      <c r="J458" t="str">
        <f>VLOOKUP(A458,Orders!$A:$G,6,0)</f>
        <v>Lunch</v>
      </c>
      <c r="K458" t="str">
        <f>VLOOKUP(A458,Orders!$A:$G,5,0)</f>
        <v>Card</v>
      </c>
    </row>
    <row r="459" spans="1:11" x14ac:dyDescent="0.3">
      <c r="A459" t="s">
        <v>218</v>
      </c>
      <c r="B459" t="s">
        <v>416</v>
      </c>
      <c r="C459">
        <v>3</v>
      </c>
      <c r="D459">
        <f>VLOOKUP(B459, Menu!$A:$F, 6, 0)</f>
        <v>227.61</v>
      </c>
      <c r="E459">
        <f>VLOOKUP(B459, Menu!$A:$F, 5, 0)</f>
        <v>96.22</v>
      </c>
      <c r="F459" t="str">
        <f>VLOOKUP(B459, Menu!$A:$F, 3, 0)</f>
        <v>Hot Meal</v>
      </c>
      <c r="G459" s="5">
        <f>VLOOKUP(A459, Orders!$A:$B, 2, 0)</f>
        <v>45847.047835648147</v>
      </c>
      <c r="H459" t="str">
        <f>VLOOKUP(A459, Orders!$A:$C, 3, 0)</f>
        <v>Plant 2 Canteen</v>
      </c>
      <c r="I459">
        <f>C459*D459*(1-VLOOKUP(A459,Orders!$A:$G,7,0))</f>
        <v>621.37530000000004</v>
      </c>
      <c r="J459" t="str">
        <f>VLOOKUP(A459,Orders!$A:$G,6,0)</f>
        <v>Breakfast</v>
      </c>
      <c r="K459" t="str">
        <f>VLOOKUP(A459,Orders!$A:$G,5,0)</f>
        <v>UPI</v>
      </c>
    </row>
    <row r="460" spans="1:11" x14ac:dyDescent="0.3">
      <c r="A460" t="s">
        <v>218</v>
      </c>
      <c r="B460" t="s">
        <v>407</v>
      </c>
      <c r="C460">
        <v>1</v>
      </c>
      <c r="D460">
        <f>VLOOKUP(B460, Menu!$A:$F, 6, 0)</f>
        <v>246.09</v>
      </c>
      <c r="E460">
        <f>VLOOKUP(B460, Menu!$A:$F, 5, 0)</f>
        <v>112.08</v>
      </c>
      <c r="F460" t="str">
        <f>VLOOKUP(B460, Menu!$A:$F, 3, 0)</f>
        <v>Hot Meal</v>
      </c>
      <c r="G460" s="5">
        <f>VLOOKUP(A460, Orders!$A:$B, 2, 0)</f>
        <v>45847.047835648147</v>
      </c>
      <c r="H460" t="str">
        <f>VLOOKUP(A460, Orders!$A:$C, 3, 0)</f>
        <v>Plant 2 Canteen</v>
      </c>
      <c r="I460">
        <f>C460*D460*(1-VLOOKUP(A460,Orders!$A:$G,7,0))</f>
        <v>223.9419</v>
      </c>
      <c r="J460" t="str">
        <f>VLOOKUP(A460,Orders!$A:$G,6,0)</f>
        <v>Breakfast</v>
      </c>
      <c r="K460" t="str">
        <f>VLOOKUP(A460,Orders!$A:$G,5,0)</f>
        <v>UPI</v>
      </c>
    </row>
    <row r="461" spans="1:11" x14ac:dyDescent="0.3">
      <c r="A461" t="s">
        <v>218</v>
      </c>
      <c r="B461" t="s">
        <v>415</v>
      </c>
      <c r="C461">
        <v>1</v>
      </c>
      <c r="D461">
        <f>VLOOKUP(B461, Menu!$A:$F, 6, 0)</f>
        <v>256.91000000000003</v>
      </c>
      <c r="E461">
        <f>VLOOKUP(B461, Menu!$A:$F, 5, 0)</f>
        <v>121.24</v>
      </c>
      <c r="F461" t="str">
        <f>VLOOKUP(B461, Menu!$A:$F, 3, 0)</f>
        <v>Hot Meal</v>
      </c>
      <c r="G461" s="5">
        <f>VLOOKUP(A461, Orders!$A:$B, 2, 0)</f>
        <v>45847.047835648147</v>
      </c>
      <c r="H461" t="str">
        <f>VLOOKUP(A461, Orders!$A:$C, 3, 0)</f>
        <v>Plant 2 Canteen</v>
      </c>
      <c r="I461">
        <f>C461*D461*(1-VLOOKUP(A461,Orders!$A:$G,7,0))</f>
        <v>233.78810000000004</v>
      </c>
      <c r="J461" t="str">
        <f>VLOOKUP(A461,Orders!$A:$G,6,0)</f>
        <v>Breakfast</v>
      </c>
      <c r="K461" t="str">
        <f>VLOOKUP(A461,Orders!$A:$G,5,0)</f>
        <v>UPI</v>
      </c>
    </row>
    <row r="462" spans="1:11" x14ac:dyDescent="0.3">
      <c r="A462" t="s">
        <v>218</v>
      </c>
      <c r="B462" t="s">
        <v>412</v>
      </c>
      <c r="C462">
        <v>2</v>
      </c>
      <c r="D462">
        <f>VLOOKUP(B462, Menu!$A:$F, 6, 0)</f>
        <v>57.07</v>
      </c>
      <c r="E462">
        <f>VLOOKUP(B462, Menu!$A:$F, 5, 0)</f>
        <v>29.14</v>
      </c>
      <c r="F462" t="str">
        <f>VLOOKUP(B462, Menu!$A:$F, 3, 0)</f>
        <v>Dessert</v>
      </c>
      <c r="G462" s="5">
        <f>VLOOKUP(A462, Orders!$A:$B, 2, 0)</f>
        <v>45847.047835648147</v>
      </c>
      <c r="H462" t="str">
        <f>VLOOKUP(A462, Orders!$A:$C, 3, 0)</f>
        <v>Plant 2 Canteen</v>
      </c>
      <c r="I462">
        <f>C462*D462*(1-VLOOKUP(A462,Orders!$A:$G,7,0))</f>
        <v>103.8674</v>
      </c>
      <c r="J462" t="str">
        <f>VLOOKUP(A462,Orders!$A:$G,6,0)</f>
        <v>Breakfast</v>
      </c>
      <c r="K462" t="str">
        <f>VLOOKUP(A462,Orders!$A:$G,5,0)</f>
        <v>UPI</v>
      </c>
    </row>
    <row r="463" spans="1:11" x14ac:dyDescent="0.3">
      <c r="A463" t="s">
        <v>219</v>
      </c>
      <c r="B463" t="s">
        <v>401</v>
      </c>
      <c r="C463">
        <v>1</v>
      </c>
      <c r="D463">
        <f>VLOOKUP(B463, Menu!$A:$F, 6, 0)</f>
        <v>52.45</v>
      </c>
      <c r="E463">
        <f>VLOOKUP(B463, Menu!$A:$F, 5, 0)</f>
        <v>25.8</v>
      </c>
      <c r="F463" t="str">
        <f>VLOOKUP(B463, Menu!$A:$F, 3, 0)</f>
        <v>Snack</v>
      </c>
      <c r="G463" s="5">
        <f>VLOOKUP(A463, Orders!$A:$B, 2, 0)</f>
        <v>45869.994745370372</v>
      </c>
      <c r="H463" t="str">
        <f>VLOOKUP(A463, Orders!$A:$C, 3, 0)</f>
        <v>Head Office Café</v>
      </c>
      <c r="I463">
        <f>C463*D463*(1-VLOOKUP(A463,Orders!$A:$G,7,0))</f>
        <v>52.45</v>
      </c>
      <c r="J463" t="str">
        <f>VLOOKUP(A463,Orders!$A:$G,6,0)</f>
        <v>Dinner</v>
      </c>
      <c r="K463" t="str">
        <f>VLOOKUP(A463,Orders!$A:$G,5,0)</f>
        <v>Card</v>
      </c>
    </row>
    <row r="464" spans="1:11" x14ac:dyDescent="0.3">
      <c r="A464" t="s">
        <v>220</v>
      </c>
      <c r="B464" t="s">
        <v>402</v>
      </c>
      <c r="C464">
        <v>3</v>
      </c>
      <c r="D464">
        <f>VLOOKUP(B464, Menu!$A:$F, 6, 0)</f>
        <v>30.34</v>
      </c>
      <c r="E464">
        <f>VLOOKUP(B464, Menu!$A:$F, 5, 0)</f>
        <v>14.18</v>
      </c>
      <c r="F464" t="str">
        <f>VLOOKUP(B464, Menu!$A:$F, 3, 0)</f>
        <v>Beverage</v>
      </c>
      <c r="G464" s="5">
        <f>VLOOKUP(A464, Orders!$A:$B, 2, 0)</f>
        <v>45842.735451388893</v>
      </c>
      <c r="H464" t="str">
        <f>VLOOKUP(A464, Orders!$A:$C, 3, 0)</f>
        <v>Head Office Café</v>
      </c>
      <c r="I464">
        <f>C464*D464*(1-VLOOKUP(A464,Orders!$A:$G,7,0))</f>
        <v>87.379199999999997</v>
      </c>
      <c r="J464" t="str">
        <f>VLOOKUP(A464,Orders!$A:$G,6,0)</f>
        <v>Dinner</v>
      </c>
      <c r="K464" t="str">
        <f>VLOOKUP(A464,Orders!$A:$G,5,0)</f>
        <v>Cash</v>
      </c>
    </row>
    <row r="465" spans="1:11" x14ac:dyDescent="0.3">
      <c r="A465" t="s">
        <v>220</v>
      </c>
      <c r="B465" t="s">
        <v>404</v>
      </c>
      <c r="C465">
        <v>2</v>
      </c>
      <c r="D465">
        <f>VLOOKUP(B465, Menu!$A:$F, 6, 0)</f>
        <v>32.979999999999997</v>
      </c>
      <c r="E465">
        <f>VLOOKUP(B465, Menu!$A:$F, 5, 0)</f>
        <v>11.84</v>
      </c>
      <c r="F465" t="str">
        <f>VLOOKUP(B465, Menu!$A:$F, 3, 0)</f>
        <v>Beverage</v>
      </c>
      <c r="G465" s="5">
        <f>VLOOKUP(A465, Orders!$A:$B, 2, 0)</f>
        <v>45842.735451388893</v>
      </c>
      <c r="H465" t="str">
        <f>VLOOKUP(A465, Orders!$A:$C, 3, 0)</f>
        <v>Head Office Café</v>
      </c>
      <c r="I465">
        <f>C465*D465*(1-VLOOKUP(A465,Orders!$A:$G,7,0))</f>
        <v>63.321599999999989</v>
      </c>
      <c r="J465" t="str">
        <f>VLOOKUP(A465,Orders!$A:$G,6,0)</f>
        <v>Dinner</v>
      </c>
      <c r="K465" t="str">
        <f>VLOOKUP(A465,Orders!$A:$G,5,0)</f>
        <v>Cash</v>
      </c>
    </row>
    <row r="466" spans="1:11" x14ac:dyDescent="0.3">
      <c r="A466" t="s">
        <v>221</v>
      </c>
      <c r="B466" t="s">
        <v>406</v>
      </c>
      <c r="C466">
        <v>1</v>
      </c>
      <c r="D466">
        <f>VLOOKUP(B466, Menu!$A:$F, 6, 0)</f>
        <v>38.06</v>
      </c>
      <c r="E466">
        <f>VLOOKUP(B466, Menu!$A:$F, 5, 0)</f>
        <v>19.55</v>
      </c>
      <c r="F466" t="str">
        <f>VLOOKUP(B466, Menu!$A:$F, 3, 0)</f>
        <v>Snack</v>
      </c>
      <c r="G466" s="5">
        <f>VLOOKUP(A466, Orders!$A:$B, 2, 0)</f>
        <v>45861.336724537039</v>
      </c>
      <c r="H466" t="str">
        <f>VLOOKUP(A466, Orders!$A:$C, 3, 0)</f>
        <v>Head Office Café</v>
      </c>
      <c r="I466">
        <f>C466*D466*(1-VLOOKUP(A466,Orders!$A:$G,7,0))</f>
        <v>34.254000000000005</v>
      </c>
      <c r="J466" t="str">
        <f>VLOOKUP(A466,Orders!$A:$G,6,0)</f>
        <v>Breakfast</v>
      </c>
      <c r="K466" t="str">
        <f>VLOOKUP(A466,Orders!$A:$G,5,0)</f>
        <v>Card</v>
      </c>
    </row>
    <row r="467" spans="1:11" x14ac:dyDescent="0.3">
      <c r="A467" t="s">
        <v>221</v>
      </c>
      <c r="B467" t="s">
        <v>419</v>
      </c>
      <c r="C467">
        <v>1</v>
      </c>
      <c r="D467">
        <f>VLOOKUP(B467, Menu!$A:$F, 6, 0)</f>
        <v>50.19</v>
      </c>
      <c r="E467">
        <f>VLOOKUP(B467, Menu!$A:$F, 5, 0)</f>
        <v>22.61</v>
      </c>
      <c r="F467" t="str">
        <f>VLOOKUP(B467, Menu!$A:$F, 3, 0)</f>
        <v>Snack</v>
      </c>
      <c r="G467" s="5">
        <f>VLOOKUP(A467, Orders!$A:$B, 2, 0)</f>
        <v>45861.336724537039</v>
      </c>
      <c r="H467" t="str">
        <f>VLOOKUP(A467, Orders!$A:$C, 3, 0)</f>
        <v>Head Office Café</v>
      </c>
      <c r="I467">
        <f>C467*D467*(1-VLOOKUP(A467,Orders!$A:$G,7,0))</f>
        <v>45.170999999999999</v>
      </c>
      <c r="J467" t="str">
        <f>VLOOKUP(A467,Orders!$A:$G,6,0)</f>
        <v>Breakfast</v>
      </c>
      <c r="K467" t="str">
        <f>VLOOKUP(A467,Orders!$A:$G,5,0)</f>
        <v>Card</v>
      </c>
    </row>
    <row r="468" spans="1:11" x14ac:dyDescent="0.3">
      <c r="A468" t="s">
        <v>221</v>
      </c>
      <c r="B468" t="s">
        <v>412</v>
      </c>
      <c r="C468">
        <v>1</v>
      </c>
      <c r="D468">
        <f>VLOOKUP(B468, Menu!$A:$F, 6, 0)</f>
        <v>57.07</v>
      </c>
      <c r="E468">
        <f>VLOOKUP(B468, Menu!$A:$F, 5, 0)</f>
        <v>29.14</v>
      </c>
      <c r="F468" t="str">
        <f>VLOOKUP(B468, Menu!$A:$F, 3, 0)</f>
        <v>Dessert</v>
      </c>
      <c r="G468" s="5">
        <f>VLOOKUP(A468, Orders!$A:$B, 2, 0)</f>
        <v>45861.336724537039</v>
      </c>
      <c r="H468" t="str">
        <f>VLOOKUP(A468, Orders!$A:$C, 3, 0)</f>
        <v>Head Office Café</v>
      </c>
      <c r="I468">
        <f>C468*D468*(1-VLOOKUP(A468,Orders!$A:$G,7,0))</f>
        <v>51.363</v>
      </c>
      <c r="J468" t="str">
        <f>VLOOKUP(A468,Orders!$A:$G,6,0)</f>
        <v>Breakfast</v>
      </c>
      <c r="K468" t="str">
        <f>VLOOKUP(A468,Orders!$A:$G,5,0)</f>
        <v>Card</v>
      </c>
    </row>
    <row r="469" spans="1:11" x14ac:dyDescent="0.3">
      <c r="A469" t="s">
        <v>222</v>
      </c>
      <c r="B469" t="s">
        <v>408</v>
      </c>
      <c r="C469">
        <v>1</v>
      </c>
      <c r="D469">
        <f>VLOOKUP(B469, Menu!$A:$F, 6, 0)</f>
        <v>70.540000000000006</v>
      </c>
      <c r="E469">
        <f>VLOOKUP(B469, Menu!$A:$F, 5, 0)</f>
        <v>35.81</v>
      </c>
      <c r="F469" t="str">
        <f>VLOOKUP(B469, Menu!$A:$F, 3, 0)</f>
        <v>Snack</v>
      </c>
      <c r="G469" s="5">
        <f>VLOOKUP(A469, Orders!$A:$B, 2, 0)</f>
        <v>45849.008275462962</v>
      </c>
      <c r="H469" t="str">
        <f>VLOOKUP(A469, Orders!$A:$C, 3, 0)</f>
        <v>Plant 2 Canteen</v>
      </c>
      <c r="I469">
        <f>C469*D469*(1-VLOOKUP(A469,Orders!$A:$G,7,0))</f>
        <v>66.307600000000008</v>
      </c>
      <c r="J469" t="str">
        <f>VLOOKUP(A469,Orders!$A:$G,6,0)</f>
        <v>Breakfast</v>
      </c>
      <c r="K469" t="str">
        <f>VLOOKUP(A469,Orders!$A:$G,5,0)</f>
        <v>UPI</v>
      </c>
    </row>
    <row r="470" spans="1:11" x14ac:dyDescent="0.3">
      <c r="A470" t="s">
        <v>222</v>
      </c>
      <c r="B470" t="s">
        <v>412</v>
      </c>
      <c r="C470">
        <v>1</v>
      </c>
      <c r="D470">
        <f>VLOOKUP(B470, Menu!$A:$F, 6, 0)</f>
        <v>57.07</v>
      </c>
      <c r="E470">
        <f>VLOOKUP(B470, Menu!$A:$F, 5, 0)</f>
        <v>29.14</v>
      </c>
      <c r="F470" t="str">
        <f>VLOOKUP(B470, Menu!$A:$F, 3, 0)</f>
        <v>Dessert</v>
      </c>
      <c r="G470" s="5">
        <f>VLOOKUP(A470, Orders!$A:$B, 2, 0)</f>
        <v>45849.008275462962</v>
      </c>
      <c r="H470" t="str">
        <f>VLOOKUP(A470, Orders!$A:$C, 3, 0)</f>
        <v>Plant 2 Canteen</v>
      </c>
      <c r="I470">
        <f>C470*D470*(1-VLOOKUP(A470,Orders!$A:$G,7,0))</f>
        <v>53.645799999999994</v>
      </c>
      <c r="J470" t="str">
        <f>VLOOKUP(A470,Orders!$A:$G,6,0)</f>
        <v>Breakfast</v>
      </c>
      <c r="K470" t="str">
        <f>VLOOKUP(A470,Orders!$A:$G,5,0)</f>
        <v>UPI</v>
      </c>
    </row>
    <row r="471" spans="1:11" x14ac:dyDescent="0.3">
      <c r="A471" t="s">
        <v>222</v>
      </c>
      <c r="B471" t="s">
        <v>410</v>
      </c>
      <c r="C471">
        <v>1</v>
      </c>
      <c r="D471">
        <f>VLOOKUP(B471, Menu!$A:$F, 6, 0)</f>
        <v>20.11</v>
      </c>
      <c r="E471">
        <f>VLOOKUP(B471, Menu!$A:$F, 5, 0)</f>
        <v>8</v>
      </c>
      <c r="F471" t="str">
        <f>VLOOKUP(B471, Menu!$A:$F, 3, 0)</f>
        <v>Beverage</v>
      </c>
      <c r="G471" s="5">
        <f>VLOOKUP(A471, Orders!$A:$B, 2, 0)</f>
        <v>45849.008275462962</v>
      </c>
      <c r="H471" t="str">
        <f>VLOOKUP(A471, Orders!$A:$C, 3, 0)</f>
        <v>Plant 2 Canteen</v>
      </c>
      <c r="I471">
        <f>C471*D471*(1-VLOOKUP(A471,Orders!$A:$G,7,0))</f>
        <v>18.903399999999998</v>
      </c>
      <c r="J471" t="str">
        <f>VLOOKUP(A471,Orders!$A:$G,6,0)</f>
        <v>Breakfast</v>
      </c>
      <c r="K471" t="str">
        <f>VLOOKUP(A471,Orders!$A:$G,5,0)</f>
        <v>UPI</v>
      </c>
    </row>
    <row r="472" spans="1:11" x14ac:dyDescent="0.3">
      <c r="A472" t="s">
        <v>223</v>
      </c>
      <c r="B472" t="s">
        <v>402</v>
      </c>
      <c r="C472">
        <v>2</v>
      </c>
      <c r="D472">
        <f>VLOOKUP(B472, Menu!$A:$F, 6, 0)</f>
        <v>30.34</v>
      </c>
      <c r="E472">
        <f>VLOOKUP(B472, Menu!$A:$F, 5, 0)</f>
        <v>14.18</v>
      </c>
      <c r="F472" t="str">
        <f>VLOOKUP(B472, Menu!$A:$F, 3, 0)</f>
        <v>Beverage</v>
      </c>
      <c r="G472" s="5">
        <f>VLOOKUP(A472, Orders!$A:$B, 2, 0)</f>
        <v>45842.060497685183</v>
      </c>
      <c r="H472" t="str">
        <f>VLOOKUP(A472, Orders!$A:$C, 3, 0)</f>
        <v>Plant 1 Canteen</v>
      </c>
      <c r="I472">
        <f>C472*D472*(1-VLOOKUP(A472,Orders!$A:$G,7,0))</f>
        <v>59.4664</v>
      </c>
      <c r="J472" t="str">
        <f>VLOOKUP(A472,Orders!$A:$G,6,0)</f>
        <v>Breakfast</v>
      </c>
      <c r="K472" t="str">
        <f>VLOOKUP(A472,Orders!$A:$G,5,0)</f>
        <v>Cash</v>
      </c>
    </row>
    <row r="473" spans="1:11" x14ac:dyDescent="0.3">
      <c r="A473" t="s">
        <v>224</v>
      </c>
      <c r="B473" t="s">
        <v>408</v>
      </c>
      <c r="C473">
        <v>1</v>
      </c>
      <c r="D473">
        <f>VLOOKUP(B473, Menu!$A:$F, 6, 0)</f>
        <v>70.540000000000006</v>
      </c>
      <c r="E473">
        <f>VLOOKUP(B473, Menu!$A:$F, 5, 0)</f>
        <v>35.81</v>
      </c>
      <c r="F473" t="str">
        <f>VLOOKUP(B473, Menu!$A:$F, 3, 0)</f>
        <v>Snack</v>
      </c>
      <c r="G473" s="5">
        <f>VLOOKUP(A473, Orders!$A:$B, 2, 0)</f>
        <v>45874.053333333337</v>
      </c>
      <c r="H473" t="str">
        <f>VLOOKUP(A473, Orders!$A:$C, 3, 0)</f>
        <v>Plant 2 Canteen</v>
      </c>
      <c r="I473">
        <f>C473*D473*(1-VLOOKUP(A473,Orders!$A:$G,7,0))</f>
        <v>68.4238</v>
      </c>
      <c r="J473" t="str">
        <f>VLOOKUP(A473,Orders!$A:$G,6,0)</f>
        <v>Breakfast</v>
      </c>
      <c r="K473" t="str">
        <f>VLOOKUP(A473,Orders!$A:$G,5,0)</f>
        <v>Cash</v>
      </c>
    </row>
    <row r="474" spans="1:11" x14ac:dyDescent="0.3">
      <c r="A474" t="s">
        <v>224</v>
      </c>
      <c r="B474" t="s">
        <v>404</v>
      </c>
      <c r="C474">
        <v>2</v>
      </c>
      <c r="D474">
        <f>VLOOKUP(B474, Menu!$A:$F, 6, 0)</f>
        <v>32.979999999999997</v>
      </c>
      <c r="E474">
        <f>VLOOKUP(B474, Menu!$A:$F, 5, 0)</f>
        <v>11.84</v>
      </c>
      <c r="F474" t="str">
        <f>VLOOKUP(B474, Menu!$A:$F, 3, 0)</f>
        <v>Beverage</v>
      </c>
      <c r="G474" s="5">
        <f>VLOOKUP(A474, Orders!$A:$B, 2, 0)</f>
        <v>45874.053333333337</v>
      </c>
      <c r="H474" t="str">
        <f>VLOOKUP(A474, Orders!$A:$C, 3, 0)</f>
        <v>Plant 2 Canteen</v>
      </c>
      <c r="I474">
        <f>C474*D474*(1-VLOOKUP(A474,Orders!$A:$G,7,0))</f>
        <v>63.981199999999994</v>
      </c>
      <c r="J474" t="str">
        <f>VLOOKUP(A474,Orders!$A:$G,6,0)</f>
        <v>Breakfast</v>
      </c>
      <c r="K474" t="str">
        <f>VLOOKUP(A474,Orders!$A:$G,5,0)</f>
        <v>Cash</v>
      </c>
    </row>
    <row r="475" spans="1:11" x14ac:dyDescent="0.3">
      <c r="A475" t="s">
        <v>224</v>
      </c>
      <c r="B475" t="s">
        <v>413</v>
      </c>
      <c r="C475">
        <v>2</v>
      </c>
      <c r="D475">
        <f>VLOOKUP(B475, Menu!$A:$F, 6, 0)</f>
        <v>54.2</v>
      </c>
      <c r="E475">
        <f>VLOOKUP(B475, Menu!$A:$F, 5, 0)</f>
        <v>21.95</v>
      </c>
      <c r="F475" t="str">
        <f>VLOOKUP(B475, Menu!$A:$F, 3, 0)</f>
        <v>Dessert</v>
      </c>
      <c r="G475" s="5">
        <f>VLOOKUP(A475, Orders!$A:$B, 2, 0)</f>
        <v>45874.053333333337</v>
      </c>
      <c r="H475" t="str">
        <f>VLOOKUP(A475, Orders!$A:$C, 3, 0)</f>
        <v>Plant 2 Canteen</v>
      </c>
      <c r="I475">
        <f>C475*D475*(1-VLOOKUP(A475,Orders!$A:$G,7,0))</f>
        <v>105.148</v>
      </c>
      <c r="J475" t="str">
        <f>VLOOKUP(A475,Orders!$A:$G,6,0)</f>
        <v>Breakfast</v>
      </c>
      <c r="K475" t="str">
        <f>VLOOKUP(A475,Orders!$A:$G,5,0)</f>
        <v>Cash</v>
      </c>
    </row>
    <row r="476" spans="1:11" x14ac:dyDescent="0.3">
      <c r="A476" t="s">
        <v>224</v>
      </c>
      <c r="B476" t="s">
        <v>405</v>
      </c>
      <c r="C476">
        <v>1</v>
      </c>
      <c r="D476">
        <f>VLOOKUP(B476, Menu!$A:$F, 6, 0)</f>
        <v>170.83</v>
      </c>
      <c r="E476">
        <f>VLOOKUP(B476, Menu!$A:$F, 5, 0)</f>
        <v>74.069999999999993</v>
      </c>
      <c r="F476" t="str">
        <f>VLOOKUP(B476, Menu!$A:$F, 3, 0)</f>
        <v>Hot Meal</v>
      </c>
      <c r="G476" s="5">
        <f>VLOOKUP(A476, Orders!$A:$B, 2, 0)</f>
        <v>45874.053333333337</v>
      </c>
      <c r="H476" t="str">
        <f>VLOOKUP(A476, Orders!$A:$C, 3, 0)</f>
        <v>Plant 2 Canteen</v>
      </c>
      <c r="I476">
        <f>C476*D476*(1-VLOOKUP(A476,Orders!$A:$G,7,0))</f>
        <v>165.70510000000002</v>
      </c>
      <c r="J476" t="str">
        <f>VLOOKUP(A476,Orders!$A:$G,6,0)</f>
        <v>Breakfast</v>
      </c>
      <c r="K476" t="str">
        <f>VLOOKUP(A476,Orders!$A:$G,5,0)</f>
        <v>Cash</v>
      </c>
    </row>
    <row r="477" spans="1:11" x14ac:dyDescent="0.3">
      <c r="A477" t="s">
        <v>225</v>
      </c>
      <c r="B477" t="s">
        <v>411</v>
      </c>
      <c r="C477">
        <v>2</v>
      </c>
      <c r="D477">
        <f>VLOOKUP(B477, Menu!$A:$F, 6, 0)</f>
        <v>22.2</v>
      </c>
      <c r="E477">
        <f>VLOOKUP(B477, Menu!$A:$F, 5, 0)</f>
        <v>9.3800000000000008</v>
      </c>
      <c r="F477" t="str">
        <f>VLOOKUP(B477, Menu!$A:$F, 3, 0)</f>
        <v>Beverage</v>
      </c>
      <c r="G477" s="5">
        <f>VLOOKUP(A477, Orders!$A:$B, 2, 0)</f>
        <v>45890.821134259262</v>
      </c>
      <c r="H477" t="str">
        <f>VLOOKUP(A477, Orders!$A:$C, 3, 0)</f>
        <v>Plant 2 Canteen</v>
      </c>
      <c r="I477">
        <f>C477*D477*(1-VLOOKUP(A477,Orders!$A:$G,7,0))</f>
        <v>40.404000000000003</v>
      </c>
      <c r="J477" t="str">
        <f>VLOOKUP(A477,Orders!$A:$G,6,0)</f>
        <v>Dinner</v>
      </c>
      <c r="K477" t="str">
        <f>VLOOKUP(A477,Orders!$A:$G,5,0)</f>
        <v>UPI</v>
      </c>
    </row>
    <row r="478" spans="1:11" x14ac:dyDescent="0.3">
      <c r="A478" t="s">
        <v>225</v>
      </c>
      <c r="B478" t="s">
        <v>410</v>
      </c>
      <c r="C478">
        <v>2</v>
      </c>
      <c r="D478">
        <f>VLOOKUP(B478, Menu!$A:$F, 6, 0)</f>
        <v>20.11</v>
      </c>
      <c r="E478">
        <f>VLOOKUP(B478, Menu!$A:$F, 5, 0)</f>
        <v>8</v>
      </c>
      <c r="F478" t="str">
        <f>VLOOKUP(B478, Menu!$A:$F, 3, 0)</f>
        <v>Beverage</v>
      </c>
      <c r="G478" s="5">
        <f>VLOOKUP(A478, Orders!$A:$B, 2, 0)</f>
        <v>45890.821134259262</v>
      </c>
      <c r="H478" t="str">
        <f>VLOOKUP(A478, Orders!$A:$C, 3, 0)</f>
        <v>Plant 2 Canteen</v>
      </c>
      <c r="I478">
        <f>C478*D478*(1-VLOOKUP(A478,Orders!$A:$G,7,0))</f>
        <v>36.600200000000001</v>
      </c>
      <c r="J478" t="str">
        <f>VLOOKUP(A478,Orders!$A:$G,6,0)</f>
        <v>Dinner</v>
      </c>
      <c r="K478" t="str">
        <f>VLOOKUP(A478,Orders!$A:$G,5,0)</f>
        <v>UPI</v>
      </c>
    </row>
    <row r="479" spans="1:11" x14ac:dyDescent="0.3">
      <c r="A479" t="s">
        <v>225</v>
      </c>
      <c r="B479" t="s">
        <v>408</v>
      </c>
      <c r="C479">
        <v>1</v>
      </c>
      <c r="D479">
        <f>VLOOKUP(B479, Menu!$A:$F, 6, 0)</f>
        <v>70.540000000000006</v>
      </c>
      <c r="E479">
        <f>VLOOKUP(B479, Menu!$A:$F, 5, 0)</f>
        <v>35.81</v>
      </c>
      <c r="F479" t="str">
        <f>VLOOKUP(B479, Menu!$A:$F, 3, 0)</f>
        <v>Snack</v>
      </c>
      <c r="G479" s="5">
        <f>VLOOKUP(A479, Orders!$A:$B, 2, 0)</f>
        <v>45890.821134259262</v>
      </c>
      <c r="H479" t="str">
        <f>VLOOKUP(A479, Orders!$A:$C, 3, 0)</f>
        <v>Plant 2 Canteen</v>
      </c>
      <c r="I479">
        <f>C479*D479*(1-VLOOKUP(A479,Orders!$A:$G,7,0))</f>
        <v>64.191400000000002</v>
      </c>
      <c r="J479" t="str">
        <f>VLOOKUP(A479,Orders!$A:$G,6,0)</f>
        <v>Dinner</v>
      </c>
      <c r="K479" t="str">
        <f>VLOOKUP(A479,Orders!$A:$G,5,0)</f>
        <v>UPI</v>
      </c>
    </row>
    <row r="480" spans="1:11" x14ac:dyDescent="0.3">
      <c r="A480" t="s">
        <v>225</v>
      </c>
      <c r="B480" t="s">
        <v>419</v>
      </c>
      <c r="C480">
        <v>1</v>
      </c>
      <c r="D480">
        <f>VLOOKUP(B480, Menu!$A:$F, 6, 0)</f>
        <v>50.19</v>
      </c>
      <c r="E480">
        <f>VLOOKUP(B480, Menu!$A:$F, 5, 0)</f>
        <v>22.61</v>
      </c>
      <c r="F480" t="str">
        <f>VLOOKUP(B480, Menu!$A:$F, 3, 0)</f>
        <v>Snack</v>
      </c>
      <c r="G480" s="5">
        <f>VLOOKUP(A480, Orders!$A:$B, 2, 0)</f>
        <v>45890.821134259262</v>
      </c>
      <c r="H480" t="str">
        <f>VLOOKUP(A480, Orders!$A:$C, 3, 0)</f>
        <v>Plant 2 Canteen</v>
      </c>
      <c r="I480">
        <f>C480*D480*(1-VLOOKUP(A480,Orders!$A:$G,7,0))</f>
        <v>45.672899999999998</v>
      </c>
      <c r="J480" t="str">
        <f>VLOOKUP(A480,Orders!$A:$G,6,0)</f>
        <v>Dinner</v>
      </c>
      <c r="K480" t="str">
        <f>VLOOKUP(A480,Orders!$A:$G,5,0)</f>
        <v>UPI</v>
      </c>
    </row>
    <row r="481" spans="1:11" x14ac:dyDescent="0.3">
      <c r="A481" t="s">
        <v>226</v>
      </c>
      <c r="B481" t="s">
        <v>408</v>
      </c>
      <c r="C481">
        <v>1</v>
      </c>
      <c r="D481">
        <f>VLOOKUP(B481, Menu!$A:$F, 6, 0)</f>
        <v>70.540000000000006</v>
      </c>
      <c r="E481">
        <f>VLOOKUP(B481, Menu!$A:$F, 5, 0)</f>
        <v>35.81</v>
      </c>
      <c r="F481" t="str">
        <f>VLOOKUP(B481, Menu!$A:$F, 3, 0)</f>
        <v>Snack</v>
      </c>
      <c r="G481" s="5">
        <f>VLOOKUP(A481, Orders!$A:$B, 2, 0)</f>
        <v>45855.75377314815</v>
      </c>
      <c r="H481" t="str">
        <f>VLOOKUP(A481, Orders!$A:$C, 3, 0)</f>
        <v>Plant 1 Canteen</v>
      </c>
      <c r="I481">
        <f>C481*D481*(1-VLOOKUP(A481,Orders!$A:$G,7,0))</f>
        <v>68.4238</v>
      </c>
      <c r="J481" t="str">
        <f>VLOOKUP(A481,Orders!$A:$G,6,0)</f>
        <v>Dinner</v>
      </c>
      <c r="K481" t="str">
        <f>VLOOKUP(A481,Orders!$A:$G,5,0)</f>
        <v>UPI</v>
      </c>
    </row>
    <row r="482" spans="1:11" x14ac:dyDescent="0.3">
      <c r="A482" t="s">
        <v>226</v>
      </c>
      <c r="B482" t="s">
        <v>410</v>
      </c>
      <c r="C482">
        <v>2</v>
      </c>
      <c r="D482">
        <f>VLOOKUP(B482, Menu!$A:$F, 6, 0)</f>
        <v>20.11</v>
      </c>
      <c r="E482">
        <f>VLOOKUP(B482, Menu!$A:$F, 5, 0)</f>
        <v>8</v>
      </c>
      <c r="F482" t="str">
        <f>VLOOKUP(B482, Menu!$A:$F, 3, 0)</f>
        <v>Beverage</v>
      </c>
      <c r="G482" s="5">
        <f>VLOOKUP(A482, Orders!$A:$B, 2, 0)</f>
        <v>45855.75377314815</v>
      </c>
      <c r="H482" t="str">
        <f>VLOOKUP(A482, Orders!$A:$C, 3, 0)</f>
        <v>Plant 1 Canteen</v>
      </c>
      <c r="I482">
        <f>C482*D482*(1-VLOOKUP(A482,Orders!$A:$G,7,0))</f>
        <v>39.013399999999997</v>
      </c>
      <c r="J482" t="str">
        <f>VLOOKUP(A482,Orders!$A:$G,6,0)</f>
        <v>Dinner</v>
      </c>
      <c r="K482" t="str">
        <f>VLOOKUP(A482,Orders!$A:$G,5,0)</f>
        <v>UPI</v>
      </c>
    </row>
    <row r="483" spans="1:11" x14ac:dyDescent="0.3">
      <c r="A483" t="s">
        <v>226</v>
      </c>
      <c r="B483" t="s">
        <v>407</v>
      </c>
      <c r="C483">
        <v>2</v>
      </c>
      <c r="D483">
        <f>VLOOKUP(B483, Menu!$A:$F, 6, 0)</f>
        <v>246.09</v>
      </c>
      <c r="E483">
        <f>VLOOKUP(B483, Menu!$A:$F, 5, 0)</f>
        <v>112.08</v>
      </c>
      <c r="F483" t="str">
        <f>VLOOKUP(B483, Menu!$A:$F, 3, 0)</f>
        <v>Hot Meal</v>
      </c>
      <c r="G483" s="5">
        <f>VLOOKUP(A483, Orders!$A:$B, 2, 0)</f>
        <v>45855.75377314815</v>
      </c>
      <c r="H483" t="str">
        <f>VLOOKUP(A483, Orders!$A:$C, 3, 0)</f>
        <v>Plant 1 Canteen</v>
      </c>
      <c r="I483">
        <f>C483*D483*(1-VLOOKUP(A483,Orders!$A:$G,7,0))</f>
        <v>477.41460000000001</v>
      </c>
      <c r="J483" t="str">
        <f>VLOOKUP(A483,Orders!$A:$G,6,0)</f>
        <v>Dinner</v>
      </c>
      <c r="K483" t="str">
        <f>VLOOKUP(A483,Orders!$A:$G,5,0)</f>
        <v>UPI</v>
      </c>
    </row>
    <row r="484" spans="1:11" x14ac:dyDescent="0.3">
      <c r="A484" t="s">
        <v>227</v>
      </c>
      <c r="B484" t="s">
        <v>417</v>
      </c>
      <c r="C484">
        <v>1</v>
      </c>
      <c r="D484">
        <f>VLOOKUP(B484, Menu!$A:$F, 6, 0)</f>
        <v>146.4</v>
      </c>
      <c r="E484">
        <f>VLOOKUP(B484, Menu!$A:$F, 5, 0)</f>
        <v>80.92</v>
      </c>
      <c r="F484" t="str">
        <f>VLOOKUP(B484, Menu!$A:$F, 3, 0)</f>
        <v>Hot Meal</v>
      </c>
      <c r="G484" s="5">
        <f>VLOOKUP(A484, Orders!$A:$B, 2, 0)</f>
        <v>45862.632245370369</v>
      </c>
      <c r="H484" t="str">
        <f>VLOOKUP(A484, Orders!$A:$C, 3, 0)</f>
        <v>Plant 2 Canteen</v>
      </c>
      <c r="I484">
        <f>C484*D484*(1-VLOOKUP(A484,Orders!$A:$G,7,0))</f>
        <v>136.15199999999999</v>
      </c>
      <c r="J484" t="str">
        <f>VLOOKUP(A484,Orders!$A:$G,6,0)</f>
        <v>Lunch</v>
      </c>
      <c r="K484" t="str">
        <f>VLOOKUP(A484,Orders!$A:$G,5,0)</f>
        <v>Cash</v>
      </c>
    </row>
    <row r="485" spans="1:11" x14ac:dyDescent="0.3">
      <c r="A485" t="s">
        <v>228</v>
      </c>
      <c r="B485" t="s">
        <v>419</v>
      </c>
      <c r="C485">
        <v>2</v>
      </c>
      <c r="D485">
        <f>VLOOKUP(B485, Menu!$A:$F, 6, 0)</f>
        <v>50.19</v>
      </c>
      <c r="E485">
        <f>VLOOKUP(B485, Menu!$A:$F, 5, 0)</f>
        <v>22.61</v>
      </c>
      <c r="F485" t="str">
        <f>VLOOKUP(B485, Menu!$A:$F, 3, 0)</f>
        <v>Snack</v>
      </c>
      <c r="G485" s="5">
        <f>VLOOKUP(A485, Orders!$A:$B, 2, 0)</f>
        <v>45884.023206018523</v>
      </c>
      <c r="H485" t="str">
        <f>VLOOKUP(A485, Orders!$A:$C, 3, 0)</f>
        <v>Head Office Café</v>
      </c>
      <c r="I485">
        <f>C485*D485*(1-VLOOKUP(A485,Orders!$A:$G,7,0))</f>
        <v>94.357199999999992</v>
      </c>
      <c r="J485" t="str">
        <f>VLOOKUP(A485,Orders!$A:$G,6,0)</f>
        <v>Breakfast</v>
      </c>
      <c r="K485" t="str">
        <f>VLOOKUP(A485,Orders!$A:$G,5,0)</f>
        <v>Card</v>
      </c>
    </row>
    <row r="486" spans="1:11" x14ac:dyDescent="0.3">
      <c r="A486" t="s">
        <v>228</v>
      </c>
      <c r="B486" t="s">
        <v>412</v>
      </c>
      <c r="C486">
        <v>3</v>
      </c>
      <c r="D486">
        <f>VLOOKUP(B486, Menu!$A:$F, 6, 0)</f>
        <v>57.07</v>
      </c>
      <c r="E486">
        <f>VLOOKUP(B486, Menu!$A:$F, 5, 0)</f>
        <v>29.14</v>
      </c>
      <c r="F486" t="str">
        <f>VLOOKUP(B486, Menu!$A:$F, 3, 0)</f>
        <v>Dessert</v>
      </c>
      <c r="G486" s="5">
        <f>VLOOKUP(A486, Orders!$A:$B, 2, 0)</f>
        <v>45884.023206018523</v>
      </c>
      <c r="H486" t="str">
        <f>VLOOKUP(A486, Orders!$A:$C, 3, 0)</f>
        <v>Head Office Café</v>
      </c>
      <c r="I486">
        <f>C486*D486*(1-VLOOKUP(A486,Orders!$A:$G,7,0))</f>
        <v>160.9374</v>
      </c>
      <c r="J486" t="str">
        <f>VLOOKUP(A486,Orders!$A:$G,6,0)</f>
        <v>Breakfast</v>
      </c>
      <c r="K486" t="str">
        <f>VLOOKUP(A486,Orders!$A:$G,5,0)</f>
        <v>Card</v>
      </c>
    </row>
    <row r="487" spans="1:11" x14ac:dyDescent="0.3">
      <c r="A487" t="s">
        <v>229</v>
      </c>
      <c r="B487" t="s">
        <v>415</v>
      </c>
      <c r="C487">
        <v>2</v>
      </c>
      <c r="D487">
        <f>VLOOKUP(B487, Menu!$A:$F, 6, 0)</f>
        <v>256.91000000000003</v>
      </c>
      <c r="E487">
        <f>VLOOKUP(B487, Menu!$A:$F, 5, 0)</f>
        <v>121.24</v>
      </c>
      <c r="F487" t="str">
        <f>VLOOKUP(B487, Menu!$A:$F, 3, 0)</f>
        <v>Hot Meal</v>
      </c>
      <c r="G487" s="5">
        <f>VLOOKUP(A487, Orders!$A:$B, 2, 0)</f>
        <v>45840.162395833337</v>
      </c>
      <c r="H487" t="str">
        <f>VLOOKUP(A487, Orders!$A:$C, 3, 0)</f>
        <v>Plant 2 Canteen</v>
      </c>
      <c r="I487">
        <f>C487*D487*(1-VLOOKUP(A487,Orders!$A:$G,7,0))</f>
        <v>498.40540000000004</v>
      </c>
      <c r="J487" t="str">
        <f>VLOOKUP(A487,Orders!$A:$G,6,0)</f>
        <v>Breakfast</v>
      </c>
      <c r="K487" t="str">
        <f>VLOOKUP(A487,Orders!$A:$G,5,0)</f>
        <v>UPI</v>
      </c>
    </row>
    <row r="488" spans="1:11" x14ac:dyDescent="0.3">
      <c r="A488" t="s">
        <v>230</v>
      </c>
      <c r="B488" t="s">
        <v>410</v>
      </c>
      <c r="C488">
        <v>1</v>
      </c>
      <c r="D488">
        <f>VLOOKUP(B488, Menu!$A:$F, 6, 0)</f>
        <v>20.11</v>
      </c>
      <c r="E488">
        <f>VLOOKUP(B488, Menu!$A:$F, 5, 0)</f>
        <v>8</v>
      </c>
      <c r="F488" t="str">
        <f>VLOOKUP(B488, Menu!$A:$F, 3, 0)</f>
        <v>Beverage</v>
      </c>
      <c r="G488" s="5">
        <f>VLOOKUP(A488, Orders!$A:$B, 2, 0)</f>
        <v>45854.587905092587</v>
      </c>
      <c r="H488" t="str">
        <f>VLOOKUP(A488, Orders!$A:$C, 3, 0)</f>
        <v>Plant 1 Canteen</v>
      </c>
      <c r="I488">
        <f>C488*D488*(1-VLOOKUP(A488,Orders!$A:$G,7,0))</f>
        <v>17.093499999999999</v>
      </c>
      <c r="J488" t="str">
        <f>VLOOKUP(A488,Orders!$A:$G,6,0)</f>
        <v>Lunch</v>
      </c>
      <c r="K488" t="str">
        <f>VLOOKUP(A488,Orders!$A:$G,5,0)</f>
        <v>Card</v>
      </c>
    </row>
    <row r="489" spans="1:11" x14ac:dyDescent="0.3">
      <c r="A489" t="s">
        <v>230</v>
      </c>
      <c r="B489" t="s">
        <v>408</v>
      </c>
      <c r="C489">
        <v>1</v>
      </c>
      <c r="D489">
        <f>VLOOKUP(B489, Menu!$A:$F, 6, 0)</f>
        <v>70.540000000000006</v>
      </c>
      <c r="E489">
        <f>VLOOKUP(B489, Menu!$A:$F, 5, 0)</f>
        <v>35.81</v>
      </c>
      <c r="F489" t="str">
        <f>VLOOKUP(B489, Menu!$A:$F, 3, 0)</f>
        <v>Snack</v>
      </c>
      <c r="G489" s="5">
        <f>VLOOKUP(A489, Orders!$A:$B, 2, 0)</f>
        <v>45854.587905092587</v>
      </c>
      <c r="H489" t="str">
        <f>VLOOKUP(A489, Orders!$A:$C, 3, 0)</f>
        <v>Plant 1 Canteen</v>
      </c>
      <c r="I489">
        <f>C489*D489*(1-VLOOKUP(A489,Orders!$A:$G,7,0))</f>
        <v>59.959000000000003</v>
      </c>
      <c r="J489" t="str">
        <f>VLOOKUP(A489,Orders!$A:$G,6,0)</f>
        <v>Lunch</v>
      </c>
      <c r="K489" t="str">
        <f>VLOOKUP(A489,Orders!$A:$G,5,0)</f>
        <v>Card</v>
      </c>
    </row>
    <row r="490" spans="1:11" x14ac:dyDescent="0.3">
      <c r="A490" t="s">
        <v>230</v>
      </c>
      <c r="B490" t="s">
        <v>404</v>
      </c>
      <c r="C490">
        <v>3</v>
      </c>
      <c r="D490">
        <f>VLOOKUP(B490, Menu!$A:$F, 6, 0)</f>
        <v>32.979999999999997</v>
      </c>
      <c r="E490">
        <f>VLOOKUP(B490, Menu!$A:$F, 5, 0)</f>
        <v>11.84</v>
      </c>
      <c r="F490" t="str">
        <f>VLOOKUP(B490, Menu!$A:$F, 3, 0)</f>
        <v>Beverage</v>
      </c>
      <c r="G490" s="5">
        <f>VLOOKUP(A490, Orders!$A:$B, 2, 0)</f>
        <v>45854.587905092587</v>
      </c>
      <c r="H490" t="str">
        <f>VLOOKUP(A490, Orders!$A:$C, 3, 0)</f>
        <v>Plant 1 Canteen</v>
      </c>
      <c r="I490">
        <f>C490*D490*(1-VLOOKUP(A490,Orders!$A:$G,7,0))</f>
        <v>84.09899999999999</v>
      </c>
      <c r="J490" t="str">
        <f>VLOOKUP(A490,Orders!$A:$G,6,0)</f>
        <v>Lunch</v>
      </c>
      <c r="K490" t="str">
        <f>VLOOKUP(A490,Orders!$A:$G,5,0)</f>
        <v>Card</v>
      </c>
    </row>
    <row r="491" spans="1:11" x14ac:dyDescent="0.3">
      <c r="A491" t="s">
        <v>230</v>
      </c>
      <c r="B491" t="s">
        <v>412</v>
      </c>
      <c r="C491">
        <v>1</v>
      </c>
      <c r="D491">
        <f>VLOOKUP(B491, Menu!$A:$F, 6, 0)</f>
        <v>57.07</v>
      </c>
      <c r="E491">
        <f>VLOOKUP(B491, Menu!$A:$F, 5, 0)</f>
        <v>29.14</v>
      </c>
      <c r="F491" t="str">
        <f>VLOOKUP(B491, Menu!$A:$F, 3, 0)</f>
        <v>Dessert</v>
      </c>
      <c r="G491" s="5">
        <f>VLOOKUP(A491, Orders!$A:$B, 2, 0)</f>
        <v>45854.587905092587</v>
      </c>
      <c r="H491" t="str">
        <f>VLOOKUP(A491, Orders!$A:$C, 3, 0)</f>
        <v>Plant 1 Canteen</v>
      </c>
      <c r="I491">
        <f>C491*D491*(1-VLOOKUP(A491,Orders!$A:$G,7,0))</f>
        <v>48.509499999999996</v>
      </c>
      <c r="J491" t="str">
        <f>VLOOKUP(A491,Orders!$A:$G,6,0)</f>
        <v>Lunch</v>
      </c>
      <c r="K491" t="str">
        <f>VLOOKUP(A491,Orders!$A:$G,5,0)</f>
        <v>Card</v>
      </c>
    </row>
    <row r="492" spans="1:11" x14ac:dyDescent="0.3">
      <c r="A492" t="s">
        <v>231</v>
      </c>
      <c r="B492" t="s">
        <v>411</v>
      </c>
      <c r="C492">
        <v>2</v>
      </c>
      <c r="D492">
        <f>VLOOKUP(B492, Menu!$A:$F, 6, 0)</f>
        <v>22.2</v>
      </c>
      <c r="E492">
        <f>VLOOKUP(B492, Menu!$A:$F, 5, 0)</f>
        <v>9.3800000000000008</v>
      </c>
      <c r="F492" t="str">
        <f>VLOOKUP(B492, Menu!$A:$F, 3, 0)</f>
        <v>Beverage</v>
      </c>
      <c r="G492" s="5">
        <f>VLOOKUP(A492, Orders!$A:$B, 2, 0)</f>
        <v>45880.44630787037</v>
      </c>
      <c r="H492" t="str">
        <f>VLOOKUP(A492, Orders!$A:$C, 3, 0)</f>
        <v>Head Office Café</v>
      </c>
      <c r="I492">
        <f>C492*D492*(1-VLOOKUP(A492,Orders!$A:$G,7,0))</f>
        <v>40.404000000000003</v>
      </c>
      <c r="J492" t="str">
        <f>VLOOKUP(A492,Orders!$A:$G,6,0)</f>
        <v>Breakfast</v>
      </c>
      <c r="K492" t="str">
        <f>VLOOKUP(A492,Orders!$A:$G,5,0)</f>
        <v>Card</v>
      </c>
    </row>
    <row r="493" spans="1:11" x14ac:dyDescent="0.3">
      <c r="A493" t="s">
        <v>231</v>
      </c>
      <c r="B493" t="s">
        <v>419</v>
      </c>
      <c r="C493">
        <v>2</v>
      </c>
      <c r="D493">
        <f>VLOOKUP(B493, Menu!$A:$F, 6, 0)</f>
        <v>50.19</v>
      </c>
      <c r="E493">
        <f>VLOOKUP(B493, Menu!$A:$F, 5, 0)</f>
        <v>22.61</v>
      </c>
      <c r="F493" t="str">
        <f>VLOOKUP(B493, Menu!$A:$F, 3, 0)</f>
        <v>Snack</v>
      </c>
      <c r="G493" s="5">
        <f>VLOOKUP(A493, Orders!$A:$B, 2, 0)</f>
        <v>45880.44630787037</v>
      </c>
      <c r="H493" t="str">
        <f>VLOOKUP(A493, Orders!$A:$C, 3, 0)</f>
        <v>Head Office Café</v>
      </c>
      <c r="I493">
        <f>C493*D493*(1-VLOOKUP(A493,Orders!$A:$G,7,0))</f>
        <v>91.345799999999997</v>
      </c>
      <c r="J493" t="str">
        <f>VLOOKUP(A493,Orders!$A:$G,6,0)</f>
        <v>Breakfast</v>
      </c>
      <c r="K493" t="str">
        <f>VLOOKUP(A493,Orders!$A:$G,5,0)</f>
        <v>Card</v>
      </c>
    </row>
    <row r="494" spans="1:11" x14ac:dyDescent="0.3">
      <c r="A494" t="s">
        <v>231</v>
      </c>
      <c r="B494" t="s">
        <v>401</v>
      </c>
      <c r="C494">
        <v>2</v>
      </c>
      <c r="D494">
        <f>VLOOKUP(B494, Menu!$A:$F, 6, 0)</f>
        <v>52.45</v>
      </c>
      <c r="E494">
        <f>VLOOKUP(B494, Menu!$A:$F, 5, 0)</f>
        <v>25.8</v>
      </c>
      <c r="F494" t="str">
        <f>VLOOKUP(B494, Menu!$A:$F, 3, 0)</f>
        <v>Snack</v>
      </c>
      <c r="G494" s="5">
        <f>VLOOKUP(A494, Orders!$A:$B, 2, 0)</f>
        <v>45880.44630787037</v>
      </c>
      <c r="H494" t="str">
        <f>VLOOKUP(A494, Orders!$A:$C, 3, 0)</f>
        <v>Head Office Café</v>
      </c>
      <c r="I494">
        <f>C494*D494*(1-VLOOKUP(A494,Orders!$A:$G,7,0))</f>
        <v>95.459000000000003</v>
      </c>
      <c r="J494" t="str">
        <f>VLOOKUP(A494,Orders!$A:$G,6,0)</f>
        <v>Breakfast</v>
      </c>
      <c r="K494" t="str">
        <f>VLOOKUP(A494,Orders!$A:$G,5,0)</f>
        <v>Card</v>
      </c>
    </row>
    <row r="495" spans="1:11" x14ac:dyDescent="0.3">
      <c r="A495" t="s">
        <v>232</v>
      </c>
      <c r="B495" t="s">
        <v>414</v>
      </c>
      <c r="C495">
        <v>1</v>
      </c>
      <c r="D495">
        <f>VLOOKUP(B495, Menu!$A:$F, 6, 0)</f>
        <v>116.8</v>
      </c>
      <c r="E495">
        <f>VLOOKUP(B495, Menu!$A:$F, 5, 0)</f>
        <v>48.97</v>
      </c>
      <c r="F495" t="str">
        <f>VLOOKUP(B495, Menu!$A:$F, 3, 0)</f>
        <v>Dessert</v>
      </c>
      <c r="G495" s="5">
        <f>VLOOKUP(A495, Orders!$A:$B, 2, 0)</f>
        <v>45858.592048611114</v>
      </c>
      <c r="H495" t="str">
        <f>VLOOKUP(A495, Orders!$A:$C, 3, 0)</f>
        <v>Plant 2 Canteen</v>
      </c>
      <c r="I495">
        <f>C495*D495*(1-VLOOKUP(A495,Orders!$A:$G,7,0))</f>
        <v>116.8</v>
      </c>
      <c r="J495" t="str">
        <f>VLOOKUP(A495,Orders!$A:$G,6,0)</f>
        <v>Lunch</v>
      </c>
      <c r="K495" t="str">
        <f>VLOOKUP(A495,Orders!$A:$G,5,0)</f>
        <v>Cash</v>
      </c>
    </row>
    <row r="496" spans="1:11" x14ac:dyDescent="0.3">
      <c r="A496" t="s">
        <v>232</v>
      </c>
      <c r="B496" t="s">
        <v>419</v>
      </c>
      <c r="C496">
        <v>2</v>
      </c>
      <c r="D496">
        <f>VLOOKUP(B496, Menu!$A:$F, 6, 0)</f>
        <v>50.19</v>
      </c>
      <c r="E496">
        <f>VLOOKUP(B496, Menu!$A:$F, 5, 0)</f>
        <v>22.61</v>
      </c>
      <c r="F496" t="str">
        <f>VLOOKUP(B496, Menu!$A:$F, 3, 0)</f>
        <v>Snack</v>
      </c>
      <c r="G496" s="5">
        <f>VLOOKUP(A496, Orders!$A:$B, 2, 0)</f>
        <v>45858.592048611114</v>
      </c>
      <c r="H496" t="str">
        <f>VLOOKUP(A496, Orders!$A:$C, 3, 0)</f>
        <v>Plant 2 Canteen</v>
      </c>
      <c r="I496">
        <f>C496*D496*(1-VLOOKUP(A496,Orders!$A:$G,7,0))</f>
        <v>100.38</v>
      </c>
      <c r="J496" t="str">
        <f>VLOOKUP(A496,Orders!$A:$G,6,0)</f>
        <v>Lunch</v>
      </c>
      <c r="K496" t="str">
        <f>VLOOKUP(A496,Orders!$A:$G,5,0)</f>
        <v>Cash</v>
      </c>
    </row>
    <row r="497" spans="1:11" x14ac:dyDescent="0.3">
      <c r="A497" t="s">
        <v>232</v>
      </c>
      <c r="B497" t="s">
        <v>415</v>
      </c>
      <c r="C497">
        <v>2</v>
      </c>
      <c r="D497">
        <f>VLOOKUP(B497, Menu!$A:$F, 6, 0)</f>
        <v>256.91000000000003</v>
      </c>
      <c r="E497">
        <f>VLOOKUP(B497, Menu!$A:$F, 5, 0)</f>
        <v>121.24</v>
      </c>
      <c r="F497" t="str">
        <f>VLOOKUP(B497, Menu!$A:$F, 3, 0)</f>
        <v>Hot Meal</v>
      </c>
      <c r="G497" s="5">
        <f>VLOOKUP(A497, Orders!$A:$B, 2, 0)</f>
        <v>45858.592048611114</v>
      </c>
      <c r="H497" t="str">
        <f>VLOOKUP(A497, Orders!$A:$C, 3, 0)</f>
        <v>Plant 2 Canteen</v>
      </c>
      <c r="I497">
        <f>C497*D497*(1-VLOOKUP(A497,Orders!$A:$G,7,0))</f>
        <v>513.82000000000005</v>
      </c>
      <c r="J497" t="str">
        <f>VLOOKUP(A497,Orders!$A:$G,6,0)</f>
        <v>Lunch</v>
      </c>
      <c r="K497" t="str">
        <f>VLOOKUP(A497,Orders!$A:$G,5,0)</f>
        <v>Cash</v>
      </c>
    </row>
    <row r="498" spans="1:11" x14ac:dyDescent="0.3">
      <c r="A498" t="s">
        <v>233</v>
      </c>
      <c r="B498" t="s">
        <v>403</v>
      </c>
      <c r="C498">
        <v>1</v>
      </c>
      <c r="D498">
        <f>VLOOKUP(B498, Menu!$A:$F, 6, 0)</f>
        <v>76.55</v>
      </c>
      <c r="E498">
        <f>VLOOKUP(B498, Menu!$A:$F, 5, 0)</f>
        <v>38.229999999999997</v>
      </c>
      <c r="F498" t="str">
        <f>VLOOKUP(B498, Menu!$A:$F, 3, 0)</f>
        <v>Dessert</v>
      </c>
      <c r="G498" s="5">
        <f>VLOOKUP(A498, Orders!$A:$B, 2, 0)</f>
        <v>45876.27679398148</v>
      </c>
      <c r="H498" t="str">
        <f>VLOOKUP(A498, Orders!$A:$C, 3, 0)</f>
        <v>Head Office Café</v>
      </c>
      <c r="I498">
        <f>C498*D498*(1-VLOOKUP(A498,Orders!$A:$G,7,0))</f>
        <v>71.191499999999991</v>
      </c>
      <c r="J498" t="str">
        <f>VLOOKUP(A498,Orders!$A:$G,6,0)</f>
        <v>Breakfast</v>
      </c>
      <c r="K498" t="str">
        <f>VLOOKUP(A498,Orders!$A:$G,5,0)</f>
        <v>UPI</v>
      </c>
    </row>
    <row r="499" spans="1:11" x14ac:dyDescent="0.3">
      <c r="A499" t="s">
        <v>233</v>
      </c>
      <c r="B499" t="s">
        <v>418</v>
      </c>
      <c r="C499">
        <v>3</v>
      </c>
      <c r="D499">
        <f>VLOOKUP(B499, Menu!$A:$F, 6, 0)</f>
        <v>39.950000000000003</v>
      </c>
      <c r="E499">
        <f>VLOOKUP(B499, Menu!$A:$F, 5, 0)</f>
        <v>15.51</v>
      </c>
      <c r="F499" t="str">
        <f>VLOOKUP(B499, Menu!$A:$F, 3, 0)</f>
        <v>Snack</v>
      </c>
      <c r="G499" s="5">
        <f>VLOOKUP(A499, Orders!$A:$B, 2, 0)</f>
        <v>45876.27679398148</v>
      </c>
      <c r="H499" t="str">
        <f>VLOOKUP(A499, Orders!$A:$C, 3, 0)</f>
        <v>Head Office Café</v>
      </c>
      <c r="I499">
        <f>C499*D499*(1-VLOOKUP(A499,Orders!$A:$G,7,0))</f>
        <v>111.4605</v>
      </c>
      <c r="J499" t="str">
        <f>VLOOKUP(A499,Orders!$A:$G,6,0)</f>
        <v>Breakfast</v>
      </c>
      <c r="K499" t="str">
        <f>VLOOKUP(A499,Orders!$A:$G,5,0)</f>
        <v>UPI</v>
      </c>
    </row>
    <row r="500" spans="1:11" x14ac:dyDescent="0.3">
      <c r="A500" t="s">
        <v>233</v>
      </c>
      <c r="B500" t="s">
        <v>417</v>
      </c>
      <c r="C500">
        <v>1</v>
      </c>
      <c r="D500">
        <f>VLOOKUP(B500, Menu!$A:$F, 6, 0)</f>
        <v>146.4</v>
      </c>
      <c r="E500">
        <f>VLOOKUP(B500, Menu!$A:$F, 5, 0)</f>
        <v>80.92</v>
      </c>
      <c r="F500" t="str">
        <f>VLOOKUP(B500, Menu!$A:$F, 3, 0)</f>
        <v>Hot Meal</v>
      </c>
      <c r="G500" s="5">
        <f>VLOOKUP(A500, Orders!$A:$B, 2, 0)</f>
        <v>45876.27679398148</v>
      </c>
      <c r="H500" t="str">
        <f>VLOOKUP(A500, Orders!$A:$C, 3, 0)</f>
        <v>Head Office Café</v>
      </c>
      <c r="I500">
        <f>C500*D500*(1-VLOOKUP(A500,Orders!$A:$G,7,0))</f>
        <v>136.15199999999999</v>
      </c>
      <c r="J500" t="str">
        <f>VLOOKUP(A500,Orders!$A:$G,6,0)</f>
        <v>Breakfast</v>
      </c>
      <c r="K500" t="str">
        <f>VLOOKUP(A500,Orders!$A:$G,5,0)</f>
        <v>UPI</v>
      </c>
    </row>
    <row r="501" spans="1:11" x14ac:dyDescent="0.3">
      <c r="A501" t="s">
        <v>234</v>
      </c>
      <c r="B501" t="s">
        <v>402</v>
      </c>
      <c r="C501">
        <v>2</v>
      </c>
      <c r="D501">
        <f>VLOOKUP(B501, Menu!$A:$F, 6, 0)</f>
        <v>30.34</v>
      </c>
      <c r="E501">
        <f>VLOOKUP(B501, Menu!$A:$F, 5, 0)</f>
        <v>14.18</v>
      </c>
      <c r="F501" t="str">
        <f>VLOOKUP(B501, Menu!$A:$F, 3, 0)</f>
        <v>Beverage</v>
      </c>
      <c r="G501" s="5">
        <f>VLOOKUP(A501, Orders!$A:$B, 2, 0)</f>
        <v>45867.9140625</v>
      </c>
      <c r="H501" t="str">
        <f>VLOOKUP(A501, Orders!$A:$C, 3, 0)</f>
        <v>Plant 1 Canteen</v>
      </c>
      <c r="I501">
        <f>C501*D501*(1-VLOOKUP(A501,Orders!$A:$G,7,0))</f>
        <v>58.8596</v>
      </c>
      <c r="J501" t="str">
        <f>VLOOKUP(A501,Orders!$A:$G,6,0)</f>
        <v>Dinner</v>
      </c>
      <c r="K501" t="str">
        <f>VLOOKUP(A501,Orders!$A:$G,5,0)</f>
        <v>Card</v>
      </c>
    </row>
    <row r="502" spans="1:11" x14ac:dyDescent="0.3">
      <c r="A502" t="s">
        <v>234</v>
      </c>
      <c r="B502" t="s">
        <v>415</v>
      </c>
      <c r="C502">
        <v>1</v>
      </c>
      <c r="D502">
        <f>VLOOKUP(B502, Menu!$A:$F, 6, 0)</f>
        <v>256.91000000000003</v>
      </c>
      <c r="E502">
        <f>VLOOKUP(B502, Menu!$A:$F, 5, 0)</f>
        <v>121.24</v>
      </c>
      <c r="F502" t="str">
        <f>VLOOKUP(B502, Menu!$A:$F, 3, 0)</f>
        <v>Hot Meal</v>
      </c>
      <c r="G502" s="5">
        <f>VLOOKUP(A502, Orders!$A:$B, 2, 0)</f>
        <v>45867.9140625</v>
      </c>
      <c r="H502" t="str">
        <f>VLOOKUP(A502, Orders!$A:$C, 3, 0)</f>
        <v>Plant 1 Canteen</v>
      </c>
      <c r="I502">
        <f>C502*D502*(1-VLOOKUP(A502,Orders!$A:$G,7,0))</f>
        <v>249.20270000000002</v>
      </c>
      <c r="J502" t="str">
        <f>VLOOKUP(A502,Orders!$A:$G,6,0)</f>
        <v>Dinner</v>
      </c>
      <c r="K502" t="str">
        <f>VLOOKUP(A502,Orders!$A:$G,5,0)</f>
        <v>Card</v>
      </c>
    </row>
    <row r="503" spans="1:11" x14ac:dyDescent="0.3">
      <c r="A503" t="s">
        <v>235</v>
      </c>
      <c r="B503" t="s">
        <v>412</v>
      </c>
      <c r="C503">
        <v>1</v>
      </c>
      <c r="D503">
        <f>VLOOKUP(B503, Menu!$A:$F, 6, 0)</f>
        <v>57.07</v>
      </c>
      <c r="E503">
        <f>VLOOKUP(B503, Menu!$A:$F, 5, 0)</f>
        <v>29.14</v>
      </c>
      <c r="F503" t="str">
        <f>VLOOKUP(B503, Menu!$A:$F, 3, 0)</f>
        <v>Dessert</v>
      </c>
      <c r="G503" s="5">
        <f>VLOOKUP(A503, Orders!$A:$B, 2, 0)</f>
        <v>45840.036226851851</v>
      </c>
      <c r="H503" t="str">
        <f>VLOOKUP(A503, Orders!$A:$C, 3, 0)</f>
        <v>Head Office Café</v>
      </c>
      <c r="I503">
        <f>C503*D503*(1-VLOOKUP(A503,Orders!$A:$G,7,0))</f>
        <v>51.933700000000002</v>
      </c>
      <c r="J503" t="str">
        <f>VLOOKUP(A503,Orders!$A:$G,6,0)</f>
        <v>Breakfast</v>
      </c>
      <c r="K503" t="str">
        <f>VLOOKUP(A503,Orders!$A:$G,5,0)</f>
        <v>UPI</v>
      </c>
    </row>
    <row r="504" spans="1:11" x14ac:dyDescent="0.3">
      <c r="A504" t="s">
        <v>235</v>
      </c>
      <c r="B504" t="s">
        <v>402</v>
      </c>
      <c r="C504">
        <v>2</v>
      </c>
      <c r="D504">
        <f>VLOOKUP(B504, Menu!$A:$F, 6, 0)</f>
        <v>30.34</v>
      </c>
      <c r="E504">
        <f>VLOOKUP(B504, Menu!$A:$F, 5, 0)</f>
        <v>14.18</v>
      </c>
      <c r="F504" t="str">
        <f>VLOOKUP(B504, Menu!$A:$F, 3, 0)</f>
        <v>Beverage</v>
      </c>
      <c r="G504" s="5">
        <f>VLOOKUP(A504, Orders!$A:$B, 2, 0)</f>
        <v>45840.036226851851</v>
      </c>
      <c r="H504" t="str">
        <f>VLOOKUP(A504, Orders!$A:$C, 3, 0)</f>
        <v>Head Office Café</v>
      </c>
      <c r="I504">
        <f>C504*D504*(1-VLOOKUP(A504,Orders!$A:$G,7,0))</f>
        <v>55.218800000000002</v>
      </c>
      <c r="J504" t="str">
        <f>VLOOKUP(A504,Orders!$A:$G,6,0)</f>
        <v>Breakfast</v>
      </c>
      <c r="K504" t="str">
        <f>VLOOKUP(A504,Orders!$A:$G,5,0)</f>
        <v>UPI</v>
      </c>
    </row>
    <row r="505" spans="1:11" x14ac:dyDescent="0.3">
      <c r="A505" t="s">
        <v>236</v>
      </c>
      <c r="B505" t="s">
        <v>407</v>
      </c>
      <c r="C505">
        <v>1</v>
      </c>
      <c r="D505">
        <f>VLOOKUP(B505, Menu!$A:$F, 6, 0)</f>
        <v>246.09</v>
      </c>
      <c r="E505">
        <f>VLOOKUP(B505, Menu!$A:$F, 5, 0)</f>
        <v>112.08</v>
      </c>
      <c r="F505" t="str">
        <f>VLOOKUP(B505, Menu!$A:$F, 3, 0)</f>
        <v>Hot Meal</v>
      </c>
      <c r="G505" s="5">
        <f>VLOOKUP(A505, Orders!$A:$B, 2, 0)</f>
        <v>45898.126226851848</v>
      </c>
      <c r="H505" t="str">
        <f>VLOOKUP(A505, Orders!$A:$C, 3, 0)</f>
        <v>Head Office Café</v>
      </c>
      <c r="I505">
        <f>C505*D505*(1-VLOOKUP(A505,Orders!$A:$G,7,0))</f>
        <v>238.7073</v>
      </c>
      <c r="J505" t="str">
        <f>VLOOKUP(A505,Orders!$A:$G,6,0)</f>
        <v>Breakfast</v>
      </c>
      <c r="K505" t="str">
        <f>VLOOKUP(A505,Orders!$A:$G,5,0)</f>
        <v>Card</v>
      </c>
    </row>
    <row r="506" spans="1:11" x14ac:dyDescent="0.3">
      <c r="A506" t="s">
        <v>236</v>
      </c>
      <c r="B506" t="s">
        <v>415</v>
      </c>
      <c r="C506">
        <v>1</v>
      </c>
      <c r="D506">
        <f>VLOOKUP(B506, Menu!$A:$F, 6, 0)</f>
        <v>256.91000000000003</v>
      </c>
      <c r="E506">
        <f>VLOOKUP(B506, Menu!$A:$F, 5, 0)</f>
        <v>121.24</v>
      </c>
      <c r="F506" t="str">
        <f>VLOOKUP(B506, Menu!$A:$F, 3, 0)</f>
        <v>Hot Meal</v>
      </c>
      <c r="G506" s="5">
        <f>VLOOKUP(A506, Orders!$A:$B, 2, 0)</f>
        <v>45898.126226851848</v>
      </c>
      <c r="H506" t="str">
        <f>VLOOKUP(A506, Orders!$A:$C, 3, 0)</f>
        <v>Head Office Café</v>
      </c>
      <c r="I506">
        <f>C506*D506*(1-VLOOKUP(A506,Orders!$A:$G,7,0))</f>
        <v>249.20270000000002</v>
      </c>
      <c r="J506" t="str">
        <f>VLOOKUP(A506,Orders!$A:$G,6,0)</f>
        <v>Breakfast</v>
      </c>
      <c r="K506" t="str">
        <f>VLOOKUP(A506,Orders!$A:$G,5,0)</f>
        <v>Card</v>
      </c>
    </row>
    <row r="507" spans="1:11" x14ac:dyDescent="0.3">
      <c r="A507" t="s">
        <v>236</v>
      </c>
      <c r="B507" t="s">
        <v>405</v>
      </c>
      <c r="C507">
        <v>2</v>
      </c>
      <c r="D507">
        <f>VLOOKUP(B507, Menu!$A:$F, 6, 0)</f>
        <v>170.83</v>
      </c>
      <c r="E507">
        <f>VLOOKUP(B507, Menu!$A:$F, 5, 0)</f>
        <v>74.069999999999993</v>
      </c>
      <c r="F507" t="str">
        <f>VLOOKUP(B507, Menu!$A:$F, 3, 0)</f>
        <v>Hot Meal</v>
      </c>
      <c r="G507" s="5">
        <f>VLOOKUP(A507, Orders!$A:$B, 2, 0)</f>
        <v>45898.126226851848</v>
      </c>
      <c r="H507" t="str">
        <f>VLOOKUP(A507, Orders!$A:$C, 3, 0)</f>
        <v>Head Office Café</v>
      </c>
      <c r="I507">
        <f>C507*D507*(1-VLOOKUP(A507,Orders!$A:$G,7,0))</f>
        <v>331.41020000000003</v>
      </c>
      <c r="J507" t="str">
        <f>VLOOKUP(A507,Orders!$A:$G,6,0)</f>
        <v>Breakfast</v>
      </c>
      <c r="K507" t="str">
        <f>VLOOKUP(A507,Orders!$A:$G,5,0)</f>
        <v>Card</v>
      </c>
    </row>
    <row r="508" spans="1:11" x14ac:dyDescent="0.3">
      <c r="A508" t="s">
        <v>236</v>
      </c>
      <c r="B508" t="s">
        <v>404</v>
      </c>
      <c r="C508">
        <v>1</v>
      </c>
      <c r="D508">
        <f>VLOOKUP(B508, Menu!$A:$F, 6, 0)</f>
        <v>32.979999999999997</v>
      </c>
      <c r="E508">
        <f>VLOOKUP(B508, Menu!$A:$F, 5, 0)</f>
        <v>11.84</v>
      </c>
      <c r="F508" t="str">
        <f>VLOOKUP(B508, Menu!$A:$F, 3, 0)</f>
        <v>Beverage</v>
      </c>
      <c r="G508" s="5">
        <f>VLOOKUP(A508, Orders!$A:$B, 2, 0)</f>
        <v>45898.126226851848</v>
      </c>
      <c r="H508" t="str">
        <f>VLOOKUP(A508, Orders!$A:$C, 3, 0)</f>
        <v>Head Office Café</v>
      </c>
      <c r="I508">
        <f>C508*D508*(1-VLOOKUP(A508,Orders!$A:$G,7,0))</f>
        <v>31.990599999999997</v>
      </c>
      <c r="J508" t="str">
        <f>VLOOKUP(A508,Orders!$A:$G,6,0)</f>
        <v>Breakfast</v>
      </c>
      <c r="K508" t="str">
        <f>VLOOKUP(A508,Orders!$A:$G,5,0)</f>
        <v>Card</v>
      </c>
    </row>
    <row r="509" spans="1:11" x14ac:dyDescent="0.3">
      <c r="A509" t="s">
        <v>237</v>
      </c>
      <c r="B509" t="s">
        <v>418</v>
      </c>
      <c r="C509">
        <v>1</v>
      </c>
      <c r="D509">
        <f>VLOOKUP(B509, Menu!$A:$F, 6, 0)</f>
        <v>39.950000000000003</v>
      </c>
      <c r="E509">
        <f>VLOOKUP(B509, Menu!$A:$F, 5, 0)</f>
        <v>15.51</v>
      </c>
      <c r="F509" t="str">
        <f>VLOOKUP(B509, Menu!$A:$F, 3, 0)</f>
        <v>Snack</v>
      </c>
      <c r="G509" s="5">
        <f>VLOOKUP(A509, Orders!$A:$B, 2, 0)</f>
        <v>45898.190162037034</v>
      </c>
      <c r="H509" t="str">
        <f>VLOOKUP(A509, Orders!$A:$C, 3, 0)</f>
        <v>Plant 2 Canteen</v>
      </c>
      <c r="I509">
        <f>C509*D509*(1-VLOOKUP(A509,Orders!$A:$G,7,0))</f>
        <v>37.552999999999997</v>
      </c>
      <c r="J509" t="str">
        <f>VLOOKUP(A509,Orders!$A:$G,6,0)</f>
        <v>Breakfast</v>
      </c>
      <c r="K509" t="str">
        <f>VLOOKUP(A509,Orders!$A:$G,5,0)</f>
        <v>UPI</v>
      </c>
    </row>
    <row r="510" spans="1:11" x14ac:dyDescent="0.3">
      <c r="A510" t="s">
        <v>238</v>
      </c>
      <c r="B510" t="s">
        <v>406</v>
      </c>
      <c r="C510">
        <v>1</v>
      </c>
      <c r="D510">
        <f>VLOOKUP(B510, Menu!$A:$F, 6, 0)</f>
        <v>38.06</v>
      </c>
      <c r="E510">
        <f>VLOOKUP(B510, Menu!$A:$F, 5, 0)</f>
        <v>19.55</v>
      </c>
      <c r="F510" t="str">
        <f>VLOOKUP(B510, Menu!$A:$F, 3, 0)</f>
        <v>Snack</v>
      </c>
      <c r="G510" s="5">
        <f>VLOOKUP(A510, Orders!$A:$B, 2, 0)</f>
        <v>45863.583437499998</v>
      </c>
      <c r="H510" t="str">
        <f>VLOOKUP(A510, Orders!$A:$C, 3, 0)</f>
        <v>Head Office Café</v>
      </c>
      <c r="I510">
        <f>C510*D510*(1-VLOOKUP(A510,Orders!$A:$G,7,0))</f>
        <v>35.0152</v>
      </c>
      <c r="J510" t="str">
        <f>VLOOKUP(A510,Orders!$A:$G,6,0)</f>
        <v>Lunch</v>
      </c>
      <c r="K510" t="str">
        <f>VLOOKUP(A510,Orders!$A:$G,5,0)</f>
        <v>UPI</v>
      </c>
    </row>
    <row r="511" spans="1:11" x14ac:dyDescent="0.3">
      <c r="A511" t="s">
        <v>239</v>
      </c>
      <c r="B511" t="s">
        <v>405</v>
      </c>
      <c r="C511">
        <v>1</v>
      </c>
      <c r="D511">
        <f>VLOOKUP(B511, Menu!$A:$F, 6, 0)</f>
        <v>170.83</v>
      </c>
      <c r="E511">
        <f>VLOOKUP(B511, Menu!$A:$F, 5, 0)</f>
        <v>74.069999999999993</v>
      </c>
      <c r="F511" t="str">
        <f>VLOOKUP(B511, Menu!$A:$F, 3, 0)</f>
        <v>Hot Meal</v>
      </c>
      <c r="G511" s="5">
        <f>VLOOKUP(A511, Orders!$A:$B, 2, 0)</f>
        <v>45848.683680555558</v>
      </c>
      <c r="H511" t="str">
        <f>VLOOKUP(A511, Orders!$A:$C, 3, 0)</f>
        <v>Head Office Café</v>
      </c>
      <c r="I511">
        <f>C511*D511*(1-VLOOKUP(A511,Orders!$A:$G,7,0))</f>
        <v>155.45530000000002</v>
      </c>
      <c r="J511" t="str">
        <f>VLOOKUP(A511,Orders!$A:$G,6,0)</f>
        <v>Dinner</v>
      </c>
      <c r="K511" t="str">
        <f>VLOOKUP(A511,Orders!$A:$G,5,0)</f>
        <v>Cash</v>
      </c>
    </row>
    <row r="512" spans="1:11" x14ac:dyDescent="0.3">
      <c r="A512" t="s">
        <v>240</v>
      </c>
      <c r="B512" t="s">
        <v>417</v>
      </c>
      <c r="C512">
        <v>1</v>
      </c>
      <c r="D512">
        <f>VLOOKUP(B512, Menu!$A:$F, 6, 0)</f>
        <v>146.4</v>
      </c>
      <c r="E512">
        <f>VLOOKUP(B512, Menu!$A:$F, 5, 0)</f>
        <v>80.92</v>
      </c>
      <c r="F512" t="str">
        <f>VLOOKUP(B512, Menu!$A:$F, 3, 0)</f>
        <v>Hot Meal</v>
      </c>
      <c r="G512" s="5">
        <f>VLOOKUP(A512, Orders!$A:$B, 2, 0)</f>
        <v>45882.049675925933</v>
      </c>
      <c r="H512" t="str">
        <f>VLOOKUP(A512, Orders!$A:$C, 3, 0)</f>
        <v>Plant 1 Canteen</v>
      </c>
      <c r="I512">
        <f>C512*D512*(1-VLOOKUP(A512,Orders!$A:$G,7,0))</f>
        <v>144.93600000000001</v>
      </c>
      <c r="J512" t="str">
        <f>VLOOKUP(A512,Orders!$A:$G,6,0)</f>
        <v>Breakfast</v>
      </c>
      <c r="K512" t="str">
        <f>VLOOKUP(A512,Orders!$A:$G,5,0)</f>
        <v>Card</v>
      </c>
    </row>
    <row r="513" spans="1:11" x14ac:dyDescent="0.3">
      <c r="A513" t="s">
        <v>240</v>
      </c>
      <c r="B513" t="s">
        <v>413</v>
      </c>
      <c r="C513">
        <v>2</v>
      </c>
      <c r="D513">
        <f>VLOOKUP(B513, Menu!$A:$F, 6, 0)</f>
        <v>54.2</v>
      </c>
      <c r="E513">
        <f>VLOOKUP(B513, Menu!$A:$F, 5, 0)</f>
        <v>21.95</v>
      </c>
      <c r="F513" t="str">
        <f>VLOOKUP(B513, Menu!$A:$F, 3, 0)</f>
        <v>Dessert</v>
      </c>
      <c r="G513" s="5">
        <f>VLOOKUP(A513, Orders!$A:$B, 2, 0)</f>
        <v>45882.049675925933</v>
      </c>
      <c r="H513" t="str">
        <f>VLOOKUP(A513, Orders!$A:$C, 3, 0)</f>
        <v>Plant 1 Canteen</v>
      </c>
      <c r="I513">
        <f>C513*D513*(1-VLOOKUP(A513,Orders!$A:$G,7,0))</f>
        <v>107.316</v>
      </c>
      <c r="J513" t="str">
        <f>VLOOKUP(A513,Orders!$A:$G,6,0)</f>
        <v>Breakfast</v>
      </c>
      <c r="K513" t="str">
        <f>VLOOKUP(A513,Orders!$A:$G,5,0)</f>
        <v>Card</v>
      </c>
    </row>
    <row r="514" spans="1:11" x14ac:dyDescent="0.3">
      <c r="A514" t="s">
        <v>241</v>
      </c>
      <c r="B514" t="s">
        <v>411</v>
      </c>
      <c r="C514">
        <v>1</v>
      </c>
      <c r="D514">
        <f>VLOOKUP(B514, Menu!$A:$F, 6, 0)</f>
        <v>22.2</v>
      </c>
      <c r="E514">
        <f>VLOOKUP(B514, Menu!$A:$F, 5, 0)</f>
        <v>9.3800000000000008</v>
      </c>
      <c r="F514" t="str">
        <f>VLOOKUP(B514, Menu!$A:$F, 3, 0)</f>
        <v>Beverage</v>
      </c>
      <c r="G514" s="5">
        <f>VLOOKUP(A514, Orders!$A:$B, 2, 0)</f>
        <v>45848.001076388893</v>
      </c>
      <c r="H514" t="str">
        <f>VLOOKUP(A514, Orders!$A:$C, 3, 0)</f>
        <v>Plant 2 Canteen</v>
      </c>
      <c r="I514">
        <f>C514*D514*(1-VLOOKUP(A514,Orders!$A:$G,7,0))</f>
        <v>21.09</v>
      </c>
      <c r="J514" t="str">
        <f>VLOOKUP(A514,Orders!$A:$G,6,0)</f>
        <v>Breakfast</v>
      </c>
      <c r="K514" t="str">
        <f>VLOOKUP(A514,Orders!$A:$G,5,0)</f>
        <v>UPI</v>
      </c>
    </row>
    <row r="515" spans="1:11" x14ac:dyDescent="0.3">
      <c r="A515" t="s">
        <v>241</v>
      </c>
      <c r="B515" t="s">
        <v>416</v>
      </c>
      <c r="C515">
        <v>3</v>
      </c>
      <c r="D515">
        <f>VLOOKUP(B515, Menu!$A:$F, 6, 0)</f>
        <v>227.61</v>
      </c>
      <c r="E515">
        <f>VLOOKUP(B515, Menu!$A:$F, 5, 0)</f>
        <v>96.22</v>
      </c>
      <c r="F515" t="str">
        <f>VLOOKUP(B515, Menu!$A:$F, 3, 0)</f>
        <v>Hot Meal</v>
      </c>
      <c r="G515" s="5">
        <f>VLOOKUP(A515, Orders!$A:$B, 2, 0)</f>
        <v>45848.001076388893</v>
      </c>
      <c r="H515" t="str">
        <f>VLOOKUP(A515, Orders!$A:$C, 3, 0)</f>
        <v>Plant 2 Canteen</v>
      </c>
      <c r="I515">
        <f>C515*D515*(1-VLOOKUP(A515,Orders!$A:$G,7,0))</f>
        <v>648.68849999999998</v>
      </c>
      <c r="J515" t="str">
        <f>VLOOKUP(A515,Orders!$A:$G,6,0)</f>
        <v>Breakfast</v>
      </c>
      <c r="K515" t="str">
        <f>VLOOKUP(A515,Orders!$A:$G,5,0)</f>
        <v>UPI</v>
      </c>
    </row>
    <row r="516" spans="1:11" x14ac:dyDescent="0.3">
      <c r="A516" t="s">
        <v>241</v>
      </c>
      <c r="B516" t="s">
        <v>407</v>
      </c>
      <c r="C516">
        <v>1</v>
      </c>
      <c r="D516">
        <f>VLOOKUP(B516, Menu!$A:$F, 6, 0)</f>
        <v>246.09</v>
      </c>
      <c r="E516">
        <f>VLOOKUP(B516, Menu!$A:$F, 5, 0)</f>
        <v>112.08</v>
      </c>
      <c r="F516" t="str">
        <f>VLOOKUP(B516, Menu!$A:$F, 3, 0)</f>
        <v>Hot Meal</v>
      </c>
      <c r="G516" s="5">
        <f>VLOOKUP(A516, Orders!$A:$B, 2, 0)</f>
        <v>45848.001076388893</v>
      </c>
      <c r="H516" t="str">
        <f>VLOOKUP(A516, Orders!$A:$C, 3, 0)</f>
        <v>Plant 2 Canteen</v>
      </c>
      <c r="I516">
        <f>C516*D516*(1-VLOOKUP(A516,Orders!$A:$G,7,0))</f>
        <v>233.78549999999998</v>
      </c>
      <c r="J516" t="str">
        <f>VLOOKUP(A516,Orders!$A:$G,6,0)</f>
        <v>Breakfast</v>
      </c>
      <c r="K516" t="str">
        <f>VLOOKUP(A516,Orders!$A:$G,5,0)</f>
        <v>UPI</v>
      </c>
    </row>
    <row r="517" spans="1:11" x14ac:dyDescent="0.3">
      <c r="A517" t="s">
        <v>242</v>
      </c>
      <c r="B517" t="s">
        <v>417</v>
      </c>
      <c r="C517">
        <v>1</v>
      </c>
      <c r="D517">
        <f>VLOOKUP(B517, Menu!$A:$F, 6, 0)</f>
        <v>146.4</v>
      </c>
      <c r="E517">
        <f>VLOOKUP(B517, Menu!$A:$F, 5, 0)</f>
        <v>80.92</v>
      </c>
      <c r="F517" t="str">
        <f>VLOOKUP(B517, Menu!$A:$F, 3, 0)</f>
        <v>Hot Meal</v>
      </c>
      <c r="G517" s="5">
        <f>VLOOKUP(A517, Orders!$A:$B, 2, 0)</f>
        <v>45856.302951388891</v>
      </c>
      <c r="H517" t="str">
        <f>VLOOKUP(A517, Orders!$A:$C, 3, 0)</f>
        <v>Plant 1 Canteen</v>
      </c>
      <c r="I517">
        <f>C517*D517*(1-VLOOKUP(A517,Orders!$A:$G,7,0))</f>
        <v>140.54400000000001</v>
      </c>
      <c r="J517" t="str">
        <f>VLOOKUP(A517,Orders!$A:$G,6,0)</f>
        <v>Breakfast</v>
      </c>
      <c r="K517" t="str">
        <f>VLOOKUP(A517,Orders!$A:$G,5,0)</f>
        <v>UPI</v>
      </c>
    </row>
    <row r="518" spans="1:11" x14ac:dyDescent="0.3">
      <c r="A518" t="s">
        <v>242</v>
      </c>
      <c r="B518" t="s">
        <v>418</v>
      </c>
      <c r="C518">
        <v>2</v>
      </c>
      <c r="D518">
        <f>VLOOKUP(B518, Menu!$A:$F, 6, 0)</f>
        <v>39.950000000000003</v>
      </c>
      <c r="E518">
        <f>VLOOKUP(B518, Menu!$A:$F, 5, 0)</f>
        <v>15.51</v>
      </c>
      <c r="F518" t="str">
        <f>VLOOKUP(B518, Menu!$A:$F, 3, 0)</f>
        <v>Snack</v>
      </c>
      <c r="G518" s="5">
        <f>VLOOKUP(A518, Orders!$A:$B, 2, 0)</f>
        <v>45856.302951388891</v>
      </c>
      <c r="H518" t="str">
        <f>VLOOKUP(A518, Orders!$A:$C, 3, 0)</f>
        <v>Plant 1 Canteen</v>
      </c>
      <c r="I518">
        <f>C518*D518*(1-VLOOKUP(A518,Orders!$A:$G,7,0))</f>
        <v>76.704000000000008</v>
      </c>
      <c r="J518" t="str">
        <f>VLOOKUP(A518,Orders!$A:$G,6,0)</f>
        <v>Breakfast</v>
      </c>
      <c r="K518" t="str">
        <f>VLOOKUP(A518,Orders!$A:$G,5,0)</f>
        <v>UPI</v>
      </c>
    </row>
    <row r="519" spans="1:11" x14ac:dyDescent="0.3">
      <c r="A519" t="s">
        <v>242</v>
      </c>
      <c r="B519" t="s">
        <v>402</v>
      </c>
      <c r="C519">
        <v>1</v>
      </c>
      <c r="D519">
        <f>VLOOKUP(B519, Menu!$A:$F, 6, 0)</f>
        <v>30.34</v>
      </c>
      <c r="E519">
        <f>VLOOKUP(B519, Menu!$A:$F, 5, 0)</f>
        <v>14.18</v>
      </c>
      <c r="F519" t="str">
        <f>VLOOKUP(B519, Menu!$A:$F, 3, 0)</f>
        <v>Beverage</v>
      </c>
      <c r="G519" s="5">
        <f>VLOOKUP(A519, Orders!$A:$B, 2, 0)</f>
        <v>45856.302951388891</v>
      </c>
      <c r="H519" t="str">
        <f>VLOOKUP(A519, Orders!$A:$C, 3, 0)</f>
        <v>Plant 1 Canteen</v>
      </c>
      <c r="I519">
        <f>C519*D519*(1-VLOOKUP(A519,Orders!$A:$G,7,0))</f>
        <v>29.1264</v>
      </c>
      <c r="J519" t="str">
        <f>VLOOKUP(A519,Orders!$A:$G,6,0)</f>
        <v>Breakfast</v>
      </c>
      <c r="K519" t="str">
        <f>VLOOKUP(A519,Orders!$A:$G,5,0)</f>
        <v>UPI</v>
      </c>
    </row>
    <row r="520" spans="1:11" x14ac:dyDescent="0.3">
      <c r="A520" t="s">
        <v>242</v>
      </c>
      <c r="B520" t="s">
        <v>401</v>
      </c>
      <c r="C520">
        <v>1</v>
      </c>
      <c r="D520">
        <f>VLOOKUP(B520, Menu!$A:$F, 6, 0)</f>
        <v>52.45</v>
      </c>
      <c r="E520">
        <f>VLOOKUP(B520, Menu!$A:$F, 5, 0)</f>
        <v>25.8</v>
      </c>
      <c r="F520" t="str">
        <f>VLOOKUP(B520, Menu!$A:$F, 3, 0)</f>
        <v>Snack</v>
      </c>
      <c r="G520" s="5">
        <f>VLOOKUP(A520, Orders!$A:$B, 2, 0)</f>
        <v>45856.302951388891</v>
      </c>
      <c r="H520" t="str">
        <f>VLOOKUP(A520, Orders!$A:$C, 3, 0)</f>
        <v>Plant 1 Canteen</v>
      </c>
      <c r="I520">
        <f>C520*D520*(1-VLOOKUP(A520,Orders!$A:$G,7,0))</f>
        <v>50.352000000000004</v>
      </c>
      <c r="J520" t="str">
        <f>VLOOKUP(A520,Orders!$A:$G,6,0)</f>
        <v>Breakfast</v>
      </c>
      <c r="K520" t="str">
        <f>VLOOKUP(A520,Orders!$A:$G,5,0)</f>
        <v>UPI</v>
      </c>
    </row>
    <row r="521" spans="1:11" x14ac:dyDescent="0.3">
      <c r="A521" t="s">
        <v>243</v>
      </c>
      <c r="B521" t="s">
        <v>409</v>
      </c>
      <c r="C521">
        <v>3</v>
      </c>
      <c r="D521">
        <f>VLOOKUP(B521, Menu!$A:$F, 6, 0)</f>
        <v>28.43</v>
      </c>
      <c r="E521">
        <f>VLOOKUP(B521, Menu!$A:$F, 5, 0)</f>
        <v>13.89</v>
      </c>
      <c r="F521" t="str">
        <f>VLOOKUP(B521, Menu!$A:$F, 3, 0)</f>
        <v>Beverage</v>
      </c>
      <c r="G521" s="5">
        <f>VLOOKUP(A521, Orders!$A:$B, 2, 0)</f>
        <v>45890.790648148148</v>
      </c>
      <c r="H521" t="str">
        <f>VLOOKUP(A521, Orders!$A:$C, 3, 0)</f>
        <v>Head Office Café</v>
      </c>
      <c r="I521">
        <f>C521*D521*(1-VLOOKUP(A521,Orders!$A:$G,7,0))</f>
        <v>82.73129999999999</v>
      </c>
      <c r="J521" t="str">
        <f>VLOOKUP(A521,Orders!$A:$G,6,0)</f>
        <v>Dinner</v>
      </c>
      <c r="K521" t="str">
        <f>VLOOKUP(A521,Orders!$A:$G,5,0)</f>
        <v>Cash</v>
      </c>
    </row>
    <row r="522" spans="1:11" x14ac:dyDescent="0.3">
      <c r="A522" t="s">
        <v>243</v>
      </c>
      <c r="B522" t="s">
        <v>406</v>
      </c>
      <c r="C522">
        <v>1</v>
      </c>
      <c r="D522">
        <f>VLOOKUP(B522, Menu!$A:$F, 6, 0)</f>
        <v>38.06</v>
      </c>
      <c r="E522">
        <f>VLOOKUP(B522, Menu!$A:$F, 5, 0)</f>
        <v>19.55</v>
      </c>
      <c r="F522" t="str">
        <f>VLOOKUP(B522, Menu!$A:$F, 3, 0)</f>
        <v>Snack</v>
      </c>
      <c r="G522" s="5">
        <f>VLOOKUP(A522, Orders!$A:$B, 2, 0)</f>
        <v>45890.790648148148</v>
      </c>
      <c r="H522" t="str">
        <f>VLOOKUP(A522, Orders!$A:$C, 3, 0)</f>
        <v>Head Office Café</v>
      </c>
      <c r="I522">
        <f>C522*D522*(1-VLOOKUP(A522,Orders!$A:$G,7,0))</f>
        <v>36.918199999999999</v>
      </c>
      <c r="J522" t="str">
        <f>VLOOKUP(A522,Orders!$A:$G,6,0)</f>
        <v>Dinner</v>
      </c>
      <c r="K522" t="str">
        <f>VLOOKUP(A522,Orders!$A:$G,5,0)</f>
        <v>Cash</v>
      </c>
    </row>
    <row r="523" spans="1:11" x14ac:dyDescent="0.3">
      <c r="A523" t="s">
        <v>243</v>
      </c>
      <c r="B523" t="s">
        <v>404</v>
      </c>
      <c r="C523">
        <v>2</v>
      </c>
      <c r="D523">
        <f>VLOOKUP(B523, Menu!$A:$F, 6, 0)</f>
        <v>32.979999999999997</v>
      </c>
      <c r="E523">
        <f>VLOOKUP(B523, Menu!$A:$F, 5, 0)</f>
        <v>11.84</v>
      </c>
      <c r="F523" t="str">
        <f>VLOOKUP(B523, Menu!$A:$F, 3, 0)</f>
        <v>Beverage</v>
      </c>
      <c r="G523" s="5">
        <f>VLOOKUP(A523, Orders!$A:$B, 2, 0)</f>
        <v>45890.790648148148</v>
      </c>
      <c r="H523" t="str">
        <f>VLOOKUP(A523, Orders!$A:$C, 3, 0)</f>
        <v>Head Office Café</v>
      </c>
      <c r="I523">
        <f>C523*D523*(1-VLOOKUP(A523,Orders!$A:$G,7,0))</f>
        <v>63.981199999999994</v>
      </c>
      <c r="J523" t="str">
        <f>VLOOKUP(A523,Orders!$A:$G,6,0)</f>
        <v>Dinner</v>
      </c>
      <c r="K523" t="str">
        <f>VLOOKUP(A523,Orders!$A:$G,5,0)</f>
        <v>Cash</v>
      </c>
    </row>
    <row r="524" spans="1:11" x14ac:dyDescent="0.3">
      <c r="A524" t="s">
        <v>243</v>
      </c>
      <c r="B524" t="s">
        <v>402</v>
      </c>
      <c r="C524">
        <v>1</v>
      </c>
      <c r="D524">
        <f>VLOOKUP(B524, Menu!$A:$F, 6, 0)</f>
        <v>30.34</v>
      </c>
      <c r="E524">
        <f>VLOOKUP(B524, Menu!$A:$F, 5, 0)</f>
        <v>14.18</v>
      </c>
      <c r="F524" t="str">
        <f>VLOOKUP(B524, Menu!$A:$F, 3, 0)</f>
        <v>Beverage</v>
      </c>
      <c r="G524" s="5">
        <f>VLOOKUP(A524, Orders!$A:$B, 2, 0)</f>
        <v>45890.790648148148</v>
      </c>
      <c r="H524" t="str">
        <f>VLOOKUP(A524, Orders!$A:$C, 3, 0)</f>
        <v>Head Office Café</v>
      </c>
      <c r="I524">
        <f>C524*D524*(1-VLOOKUP(A524,Orders!$A:$G,7,0))</f>
        <v>29.4298</v>
      </c>
      <c r="J524" t="str">
        <f>VLOOKUP(A524,Orders!$A:$G,6,0)</f>
        <v>Dinner</v>
      </c>
      <c r="K524" t="str">
        <f>VLOOKUP(A524,Orders!$A:$G,5,0)</f>
        <v>Cash</v>
      </c>
    </row>
    <row r="525" spans="1:11" x14ac:dyDescent="0.3">
      <c r="A525" t="s">
        <v>244</v>
      </c>
      <c r="B525" t="s">
        <v>407</v>
      </c>
      <c r="C525">
        <v>1</v>
      </c>
      <c r="D525">
        <f>VLOOKUP(B525, Menu!$A:$F, 6, 0)</f>
        <v>246.09</v>
      </c>
      <c r="E525">
        <f>VLOOKUP(B525, Menu!$A:$F, 5, 0)</f>
        <v>112.08</v>
      </c>
      <c r="F525" t="str">
        <f>VLOOKUP(B525, Menu!$A:$F, 3, 0)</f>
        <v>Hot Meal</v>
      </c>
      <c r="G525" s="5">
        <f>VLOOKUP(A525, Orders!$A:$B, 2, 0)</f>
        <v>45886.032777777778</v>
      </c>
      <c r="H525" t="str">
        <f>VLOOKUP(A525, Orders!$A:$C, 3, 0)</f>
        <v>Plant 2 Canteen</v>
      </c>
      <c r="I525">
        <f>C525*D525*(1-VLOOKUP(A525,Orders!$A:$G,7,0))</f>
        <v>214.09829999999999</v>
      </c>
      <c r="J525" t="str">
        <f>VLOOKUP(A525,Orders!$A:$G,6,0)</f>
        <v>Breakfast</v>
      </c>
      <c r="K525" t="str">
        <f>VLOOKUP(A525,Orders!$A:$G,5,0)</f>
        <v>Card</v>
      </c>
    </row>
    <row r="526" spans="1:11" x14ac:dyDescent="0.3">
      <c r="A526" t="s">
        <v>244</v>
      </c>
      <c r="B526" t="s">
        <v>412</v>
      </c>
      <c r="C526">
        <v>3</v>
      </c>
      <c r="D526">
        <f>VLOOKUP(B526, Menu!$A:$F, 6, 0)</f>
        <v>57.07</v>
      </c>
      <c r="E526">
        <f>VLOOKUP(B526, Menu!$A:$F, 5, 0)</f>
        <v>29.14</v>
      </c>
      <c r="F526" t="str">
        <f>VLOOKUP(B526, Menu!$A:$F, 3, 0)</f>
        <v>Dessert</v>
      </c>
      <c r="G526" s="5">
        <f>VLOOKUP(A526, Orders!$A:$B, 2, 0)</f>
        <v>45886.032777777778</v>
      </c>
      <c r="H526" t="str">
        <f>VLOOKUP(A526, Orders!$A:$C, 3, 0)</f>
        <v>Plant 2 Canteen</v>
      </c>
      <c r="I526">
        <f>C526*D526*(1-VLOOKUP(A526,Orders!$A:$G,7,0))</f>
        <v>148.95269999999999</v>
      </c>
      <c r="J526" t="str">
        <f>VLOOKUP(A526,Orders!$A:$G,6,0)</f>
        <v>Breakfast</v>
      </c>
      <c r="K526" t="str">
        <f>VLOOKUP(A526,Orders!$A:$G,5,0)</f>
        <v>Card</v>
      </c>
    </row>
    <row r="527" spans="1:11" x14ac:dyDescent="0.3">
      <c r="A527" t="s">
        <v>245</v>
      </c>
      <c r="B527" t="s">
        <v>411</v>
      </c>
      <c r="C527">
        <v>3</v>
      </c>
      <c r="D527">
        <f>VLOOKUP(B527, Menu!$A:$F, 6, 0)</f>
        <v>22.2</v>
      </c>
      <c r="E527">
        <f>VLOOKUP(B527, Menu!$A:$F, 5, 0)</f>
        <v>9.3800000000000008</v>
      </c>
      <c r="F527" t="str">
        <f>VLOOKUP(B527, Menu!$A:$F, 3, 0)</f>
        <v>Beverage</v>
      </c>
      <c r="G527" s="5">
        <f>VLOOKUP(A527, Orders!$A:$B, 2, 0)</f>
        <v>45884.720462962963</v>
      </c>
      <c r="H527" t="str">
        <f>VLOOKUP(A527, Orders!$A:$C, 3, 0)</f>
        <v>Plant 1 Canteen</v>
      </c>
      <c r="I527">
        <f>C527*D527*(1-VLOOKUP(A527,Orders!$A:$G,7,0))</f>
        <v>61.271999999999998</v>
      </c>
      <c r="J527" t="str">
        <f>VLOOKUP(A527,Orders!$A:$G,6,0)</f>
        <v>Dinner</v>
      </c>
      <c r="K527" t="str">
        <f>VLOOKUP(A527,Orders!$A:$G,5,0)</f>
        <v>Cash</v>
      </c>
    </row>
    <row r="528" spans="1:11" x14ac:dyDescent="0.3">
      <c r="A528" t="s">
        <v>245</v>
      </c>
      <c r="B528" t="s">
        <v>406</v>
      </c>
      <c r="C528">
        <v>2</v>
      </c>
      <c r="D528">
        <f>VLOOKUP(B528, Menu!$A:$F, 6, 0)</f>
        <v>38.06</v>
      </c>
      <c r="E528">
        <f>VLOOKUP(B528, Menu!$A:$F, 5, 0)</f>
        <v>19.55</v>
      </c>
      <c r="F528" t="str">
        <f>VLOOKUP(B528, Menu!$A:$F, 3, 0)</f>
        <v>Snack</v>
      </c>
      <c r="G528" s="5">
        <f>VLOOKUP(A528, Orders!$A:$B, 2, 0)</f>
        <v>45884.720462962963</v>
      </c>
      <c r="H528" t="str">
        <f>VLOOKUP(A528, Orders!$A:$C, 3, 0)</f>
        <v>Plant 1 Canteen</v>
      </c>
      <c r="I528">
        <f>C528*D528*(1-VLOOKUP(A528,Orders!$A:$G,7,0))</f>
        <v>70.0304</v>
      </c>
      <c r="J528" t="str">
        <f>VLOOKUP(A528,Orders!$A:$G,6,0)</f>
        <v>Dinner</v>
      </c>
      <c r="K528" t="str">
        <f>VLOOKUP(A528,Orders!$A:$G,5,0)</f>
        <v>Cash</v>
      </c>
    </row>
    <row r="529" spans="1:11" x14ac:dyDescent="0.3">
      <c r="A529" t="s">
        <v>246</v>
      </c>
      <c r="B529" t="s">
        <v>419</v>
      </c>
      <c r="C529">
        <v>3</v>
      </c>
      <c r="D529">
        <f>VLOOKUP(B529, Menu!$A:$F, 6, 0)</f>
        <v>50.19</v>
      </c>
      <c r="E529">
        <f>VLOOKUP(B529, Menu!$A:$F, 5, 0)</f>
        <v>22.61</v>
      </c>
      <c r="F529" t="str">
        <f>VLOOKUP(B529, Menu!$A:$F, 3, 0)</f>
        <v>Snack</v>
      </c>
      <c r="G529" s="5">
        <f>VLOOKUP(A529, Orders!$A:$B, 2, 0)</f>
        <v>45893.3596875</v>
      </c>
      <c r="H529" t="str">
        <f>VLOOKUP(A529, Orders!$A:$C, 3, 0)</f>
        <v>Plant 2 Canteen</v>
      </c>
      <c r="I529">
        <f>C529*D529*(1-VLOOKUP(A529,Orders!$A:$G,7,0))</f>
        <v>149.0643</v>
      </c>
      <c r="J529" t="str">
        <f>VLOOKUP(A529,Orders!$A:$G,6,0)</f>
        <v>Breakfast</v>
      </c>
      <c r="K529" t="str">
        <f>VLOOKUP(A529,Orders!$A:$G,5,0)</f>
        <v>Card</v>
      </c>
    </row>
    <row r="530" spans="1:11" x14ac:dyDescent="0.3">
      <c r="A530" t="s">
        <v>246</v>
      </c>
      <c r="B530" t="s">
        <v>410</v>
      </c>
      <c r="C530">
        <v>1</v>
      </c>
      <c r="D530">
        <f>VLOOKUP(B530, Menu!$A:$F, 6, 0)</f>
        <v>20.11</v>
      </c>
      <c r="E530">
        <f>VLOOKUP(B530, Menu!$A:$F, 5, 0)</f>
        <v>8</v>
      </c>
      <c r="F530" t="str">
        <f>VLOOKUP(B530, Menu!$A:$F, 3, 0)</f>
        <v>Beverage</v>
      </c>
      <c r="G530" s="5">
        <f>VLOOKUP(A530, Orders!$A:$B, 2, 0)</f>
        <v>45893.3596875</v>
      </c>
      <c r="H530" t="str">
        <f>VLOOKUP(A530, Orders!$A:$C, 3, 0)</f>
        <v>Plant 2 Canteen</v>
      </c>
      <c r="I530">
        <f>C530*D530*(1-VLOOKUP(A530,Orders!$A:$G,7,0))</f>
        <v>19.908899999999999</v>
      </c>
      <c r="J530" t="str">
        <f>VLOOKUP(A530,Orders!$A:$G,6,0)</f>
        <v>Breakfast</v>
      </c>
      <c r="K530" t="str">
        <f>VLOOKUP(A530,Orders!$A:$G,5,0)</f>
        <v>Card</v>
      </c>
    </row>
    <row r="531" spans="1:11" x14ac:dyDescent="0.3">
      <c r="A531" t="s">
        <v>246</v>
      </c>
      <c r="B531" t="s">
        <v>409</v>
      </c>
      <c r="C531">
        <v>2</v>
      </c>
      <c r="D531">
        <f>VLOOKUP(B531, Menu!$A:$F, 6, 0)</f>
        <v>28.43</v>
      </c>
      <c r="E531">
        <f>VLOOKUP(B531, Menu!$A:$F, 5, 0)</f>
        <v>13.89</v>
      </c>
      <c r="F531" t="str">
        <f>VLOOKUP(B531, Menu!$A:$F, 3, 0)</f>
        <v>Beverage</v>
      </c>
      <c r="G531" s="5">
        <f>VLOOKUP(A531, Orders!$A:$B, 2, 0)</f>
        <v>45893.3596875</v>
      </c>
      <c r="H531" t="str">
        <f>VLOOKUP(A531, Orders!$A:$C, 3, 0)</f>
        <v>Plant 2 Canteen</v>
      </c>
      <c r="I531">
        <f>C531*D531*(1-VLOOKUP(A531,Orders!$A:$G,7,0))</f>
        <v>56.291399999999996</v>
      </c>
      <c r="J531" t="str">
        <f>VLOOKUP(A531,Orders!$A:$G,6,0)</f>
        <v>Breakfast</v>
      </c>
      <c r="K531" t="str">
        <f>VLOOKUP(A531,Orders!$A:$G,5,0)</f>
        <v>Card</v>
      </c>
    </row>
    <row r="532" spans="1:11" x14ac:dyDescent="0.3">
      <c r="A532" t="s">
        <v>247</v>
      </c>
      <c r="B532" t="s">
        <v>410</v>
      </c>
      <c r="C532">
        <v>1</v>
      </c>
      <c r="D532">
        <f>VLOOKUP(B532, Menu!$A:$F, 6, 0)</f>
        <v>20.11</v>
      </c>
      <c r="E532">
        <f>VLOOKUP(B532, Menu!$A:$F, 5, 0)</f>
        <v>8</v>
      </c>
      <c r="F532" t="str">
        <f>VLOOKUP(B532, Menu!$A:$F, 3, 0)</f>
        <v>Beverage</v>
      </c>
      <c r="G532" s="5">
        <f>VLOOKUP(A532, Orders!$A:$B, 2, 0)</f>
        <v>45864.926377314812</v>
      </c>
      <c r="H532" t="str">
        <f>VLOOKUP(A532, Orders!$A:$C, 3, 0)</f>
        <v>Head Office Café</v>
      </c>
      <c r="I532">
        <f>C532*D532*(1-VLOOKUP(A532,Orders!$A:$G,7,0))</f>
        <v>18.099</v>
      </c>
      <c r="J532" t="str">
        <f>VLOOKUP(A532,Orders!$A:$G,6,0)</f>
        <v>Dinner</v>
      </c>
      <c r="K532" t="str">
        <f>VLOOKUP(A532,Orders!$A:$G,5,0)</f>
        <v>Card</v>
      </c>
    </row>
    <row r="533" spans="1:11" x14ac:dyDescent="0.3">
      <c r="A533" t="s">
        <v>247</v>
      </c>
      <c r="B533" t="s">
        <v>407</v>
      </c>
      <c r="C533">
        <v>2</v>
      </c>
      <c r="D533">
        <f>VLOOKUP(B533, Menu!$A:$F, 6, 0)</f>
        <v>246.09</v>
      </c>
      <c r="E533">
        <f>VLOOKUP(B533, Menu!$A:$F, 5, 0)</f>
        <v>112.08</v>
      </c>
      <c r="F533" t="str">
        <f>VLOOKUP(B533, Menu!$A:$F, 3, 0)</f>
        <v>Hot Meal</v>
      </c>
      <c r="G533" s="5">
        <f>VLOOKUP(A533, Orders!$A:$B, 2, 0)</f>
        <v>45864.926377314812</v>
      </c>
      <c r="H533" t="str">
        <f>VLOOKUP(A533, Orders!$A:$C, 3, 0)</f>
        <v>Head Office Café</v>
      </c>
      <c r="I533">
        <f>C533*D533*(1-VLOOKUP(A533,Orders!$A:$G,7,0))</f>
        <v>442.96199999999999</v>
      </c>
      <c r="J533" t="str">
        <f>VLOOKUP(A533,Orders!$A:$G,6,0)</f>
        <v>Dinner</v>
      </c>
      <c r="K533" t="str">
        <f>VLOOKUP(A533,Orders!$A:$G,5,0)</f>
        <v>Card</v>
      </c>
    </row>
    <row r="534" spans="1:11" x14ac:dyDescent="0.3">
      <c r="A534" t="s">
        <v>247</v>
      </c>
      <c r="B534" t="s">
        <v>411</v>
      </c>
      <c r="C534">
        <v>1</v>
      </c>
      <c r="D534">
        <f>VLOOKUP(B534, Menu!$A:$F, 6, 0)</f>
        <v>22.2</v>
      </c>
      <c r="E534">
        <f>VLOOKUP(B534, Menu!$A:$F, 5, 0)</f>
        <v>9.3800000000000008</v>
      </c>
      <c r="F534" t="str">
        <f>VLOOKUP(B534, Menu!$A:$F, 3, 0)</f>
        <v>Beverage</v>
      </c>
      <c r="G534" s="5">
        <f>VLOOKUP(A534, Orders!$A:$B, 2, 0)</f>
        <v>45864.926377314812</v>
      </c>
      <c r="H534" t="str">
        <f>VLOOKUP(A534, Orders!$A:$C, 3, 0)</f>
        <v>Head Office Café</v>
      </c>
      <c r="I534">
        <f>C534*D534*(1-VLOOKUP(A534,Orders!$A:$G,7,0))</f>
        <v>19.98</v>
      </c>
      <c r="J534" t="str">
        <f>VLOOKUP(A534,Orders!$A:$G,6,0)</f>
        <v>Dinner</v>
      </c>
      <c r="K534" t="str">
        <f>VLOOKUP(A534,Orders!$A:$G,5,0)</f>
        <v>Card</v>
      </c>
    </row>
    <row r="535" spans="1:11" x14ac:dyDescent="0.3">
      <c r="A535" t="s">
        <v>248</v>
      </c>
      <c r="B535" t="s">
        <v>415</v>
      </c>
      <c r="C535">
        <v>3</v>
      </c>
      <c r="D535">
        <f>VLOOKUP(B535, Menu!$A:$F, 6, 0)</f>
        <v>256.91000000000003</v>
      </c>
      <c r="E535">
        <f>VLOOKUP(B535, Menu!$A:$F, 5, 0)</f>
        <v>121.24</v>
      </c>
      <c r="F535" t="str">
        <f>VLOOKUP(B535, Menu!$A:$F, 3, 0)</f>
        <v>Hot Meal</v>
      </c>
      <c r="G535" s="5">
        <f>VLOOKUP(A535, Orders!$A:$B, 2, 0)</f>
        <v>45864.703344907408</v>
      </c>
      <c r="H535" t="str">
        <f>VLOOKUP(A535, Orders!$A:$C, 3, 0)</f>
        <v>Head Office Café</v>
      </c>
      <c r="I535">
        <f>C535*D535*(1-VLOOKUP(A535,Orders!$A:$G,7,0))</f>
        <v>662.82780000000002</v>
      </c>
      <c r="J535" t="str">
        <f>VLOOKUP(A535,Orders!$A:$G,6,0)</f>
        <v>Dinner</v>
      </c>
      <c r="K535" t="str">
        <f>VLOOKUP(A535,Orders!$A:$G,5,0)</f>
        <v>UPI</v>
      </c>
    </row>
    <row r="536" spans="1:11" x14ac:dyDescent="0.3">
      <c r="A536" t="s">
        <v>248</v>
      </c>
      <c r="B536" t="s">
        <v>408</v>
      </c>
      <c r="C536">
        <v>3</v>
      </c>
      <c r="D536">
        <f>VLOOKUP(B536, Menu!$A:$F, 6, 0)</f>
        <v>70.540000000000006</v>
      </c>
      <c r="E536">
        <f>VLOOKUP(B536, Menu!$A:$F, 5, 0)</f>
        <v>35.81</v>
      </c>
      <c r="F536" t="str">
        <f>VLOOKUP(B536, Menu!$A:$F, 3, 0)</f>
        <v>Snack</v>
      </c>
      <c r="G536" s="5">
        <f>VLOOKUP(A536, Orders!$A:$B, 2, 0)</f>
        <v>45864.703344907408</v>
      </c>
      <c r="H536" t="str">
        <f>VLOOKUP(A536, Orders!$A:$C, 3, 0)</f>
        <v>Head Office Café</v>
      </c>
      <c r="I536">
        <f>C536*D536*(1-VLOOKUP(A536,Orders!$A:$G,7,0))</f>
        <v>181.9932</v>
      </c>
      <c r="J536" t="str">
        <f>VLOOKUP(A536,Orders!$A:$G,6,0)</f>
        <v>Dinner</v>
      </c>
      <c r="K536" t="str">
        <f>VLOOKUP(A536,Orders!$A:$G,5,0)</f>
        <v>UPI</v>
      </c>
    </row>
    <row r="537" spans="1:11" x14ac:dyDescent="0.3">
      <c r="A537" t="s">
        <v>249</v>
      </c>
      <c r="B537" t="s">
        <v>418</v>
      </c>
      <c r="C537">
        <v>1</v>
      </c>
      <c r="D537">
        <f>VLOOKUP(B537, Menu!$A:$F, 6, 0)</f>
        <v>39.950000000000003</v>
      </c>
      <c r="E537">
        <f>VLOOKUP(B537, Menu!$A:$F, 5, 0)</f>
        <v>15.51</v>
      </c>
      <c r="F537" t="str">
        <f>VLOOKUP(B537, Menu!$A:$F, 3, 0)</f>
        <v>Snack</v>
      </c>
      <c r="G537" s="5">
        <f>VLOOKUP(A537, Orders!$A:$B, 2, 0)</f>
        <v>45849.76935185185</v>
      </c>
      <c r="H537" t="str">
        <f>VLOOKUP(A537, Orders!$A:$C, 3, 0)</f>
        <v>Head Office Café</v>
      </c>
      <c r="I537">
        <f>C537*D537*(1-VLOOKUP(A537,Orders!$A:$G,7,0))</f>
        <v>35.955000000000005</v>
      </c>
      <c r="J537" t="str">
        <f>VLOOKUP(A537,Orders!$A:$G,6,0)</f>
        <v>Dinner</v>
      </c>
      <c r="K537" t="str">
        <f>VLOOKUP(A537,Orders!$A:$G,5,0)</f>
        <v>Card</v>
      </c>
    </row>
    <row r="538" spans="1:11" x14ac:dyDescent="0.3">
      <c r="A538" t="s">
        <v>249</v>
      </c>
      <c r="B538" t="s">
        <v>412</v>
      </c>
      <c r="C538">
        <v>1</v>
      </c>
      <c r="D538">
        <f>VLOOKUP(B538, Menu!$A:$F, 6, 0)</f>
        <v>57.07</v>
      </c>
      <c r="E538">
        <f>VLOOKUP(B538, Menu!$A:$F, 5, 0)</f>
        <v>29.14</v>
      </c>
      <c r="F538" t="str">
        <f>VLOOKUP(B538, Menu!$A:$F, 3, 0)</f>
        <v>Dessert</v>
      </c>
      <c r="G538" s="5">
        <f>VLOOKUP(A538, Orders!$A:$B, 2, 0)</f>
        <v>45849.76935185185</v>
      </c>
      <c r="H538" t="str">
        <f>VLOOKUP(A538, Orders!$A:$C, 3, 0)</f>
        <v>Head Office Café</v>
      </c>
      <c r="I538">
        <f>C538*D538*(1-VLOOKUP(A538,Orders!$A:$G,7,0))</f>
        <v>51.363</v>
      </c>
      <c r="J538" t="str">
        <f>VLOOKUP(A538,Orders!$A:$G,6,0)</f>
        <v>Dinner</v>
      </c>
      <c r="K538" t="str">
        <f>VLOOKUP(A538,Orders!$A:$G,5,0)</f>
        <v>Card</v>
      </c>
    </row>
    <row r="539" spans="1:11" x14ac:dyDescent="0.3">
      <c r="A539" t="s">
        <v>249</v>
      </c>
      <c r="B539" t="s">
        <v>409</v>
      </c>
      <c r="C539">
        <v>1</v>
      </c>
      <c r="D539">
        <f>VLOOKUP(B539, Menu!$A:$F, 6, 0)</f>
        <v>28.43</v>
      </c>
      <c r="E539">
        <f>VLOOKUP(B539, Menu!$A:$F, 5, 0)</f>
        <v>13.89</v>
      </c>
      <c r="F539" t="str">
        <f>VLOOKUP(B539, Menu!$A:$F, 3, 0)</f>
        <v>Beverage</v>
      </c>
      <c r="G539" s="5">
        <f>VLOOKUP(A539, Orders!$A:$B, 2, 0)</f>
        <v>45849.76935185185</v>
      </c>
      <c r="H539" t="str">
        <f>VLOOKUP(A539, Orders!$A:$C, 3, 0)</f>
        <v>Head Office Café</v>
      </c>
      <c r="I539">
        <f>C539*D539*(1-VLOOKUP(A539,Orders!$A:$G,7,0))</f>
        <v>25.587</v>
      </c>
      <c r="J539" t="str">
        <f>VLOOKUP(A539,Orders!$A:$G,6,0)</f>
        <v>Dinner</v>
      </c>
      <c r="K539" t="str">
        <f>VLOOKUP(A539,Orders!$A:$G,5,0)</f>
        <v>Card</v>
      </c>
    </row>
    <row r="540" spans="1:11" x14ac:dyDescent="0.3">
      <c r="A540" t="s">
        <v>249</v>
      </c>
      <c r="B540" t="s">
        <v>416</v>
      </c>
      <c r="C540">
        <v>1</v>
      </c>
      <c r="D540">
        <f>VLOOKUP(B540, Menu!$A:$F, 6, 0)</f>
        <v>227.61</v>
      </c>
      <c r="E540">
        <f>VLOOKUP(B540, Menu!$A:$F, 5, 0)</f>
        <v>96.22</v>
      </c>
      <c r="F540" t="str">
        <f>VLOOKUP(B540, Menu!$A:$F, 3, 0)</f>
        <v>Hot Meal</v>
      </c>
      <c r="G540" s="5">
        <f>VLOOKUP(A540, Orders!$A:$B, 2, 0)</f>
        <v>45849.76935185185</v>
      </c>
      <c r="H540" t="str">
        <f>VLOOKUP(A540, Orders!$A:$C, 3, 0)</f>
        <v>Head Office Café</v>
      </c>
      <c r="I540">
        <f>C540*D540*(1-VLOOKUP(A540,Orders!$A:$G,7,0))</f>
        <v>204.84900000000002</v>
      </c>
      <c r="J540" t="str">
        <f>VLOOKUP(A540,Orders!$A:$G,6,0)</f>
        <v>Dinner</v>
      </c>
      <c r="K540" t="str">
        <f>VLOOKUP(A540,Orders!$A:$G,5,0)</f>
        <v>Card</v>
      </c>
    </row>
    <row r="541" spans="1:11" x14ac:dyDescent="0.3">
      <c r="A541" t="s">
        <v>250</v>
      </c>
      <c r="B541" t="s">
        <v>419</v>
      </c>
      <c r="C541">
        <v>2</v>
      </c>
      <c r="D541">
        <f>VLOOKUP(B541, Menu!$A:$F, 6, 0)</f>
        <v>50.19</v>
      </c>
      <c r="E541">
        <f>VLOOKUP(B541, Menu!$A:$F, 5, 0)</f>
        <v>22.61</v>
      </c>
      <c r="F541" t="str">
        <f>VLOOKUP(B541, Menu!$A:$F, 3, 0)</f>
        <v>Snack</v>
      </c>
      <c r="G541" s="5">
        <f>VLOOKUP(A541, Orders!$A:$B, 2, 0)</f>
        <v>45893.757245370369</v>
      </c>
      <c r="H541" t="str">
        <f>VLOOKUP(A541, Orders!$A:$C, 3, 0)</f>
        <v>Plant 2 Canteen</v>
      </c>
      <c r="I541">
        <f>C541*D541*(1-VLOOKUP(A541,Orders!$A:$G,7,0))</f>
        <v>100.38</v>
      </c>
      <c r="J541" t="str">
        <f>VLOOKUP(A541,Orders!$A:$G,6,0)</f>
        <v>Dinner</v>
      </c>
      <c r="K541" t="str">
        <f>VLOOKUP(A541,Orders!$A:$G,5,0)</f>
        <v>Cash</v>
      </c>
    </row>
    <row r="542" spans="1:11" x14ac:dyDescent="0.3">
      <c r="A542" t="s">
        <v>250</v>
      </c>
      <c r="B542" t="s">
        <v>406</v>
      </c>
      <c r="C542">
        <v>3</v>
      </c>
      <c r="D542">
        <f>VLOOKUP(B542, Menu!$A:$F, 6, 0)</f>
        <v>38.06</v>
      </c>
      <c r="E542">
        <f>VLOOKUP(B542, Menu!$A:$F, 5, 0)</f>
        <v>19.55</v>
      </c>
      <c r="F542" t="str">
        <f>VLOOKUP(B542, Menu!$A:$F, 3, 0)</f>
        <v>Snack</v>
      </c>
      <c r="G542" s="5">
        <f>VLOOKUP(A542, Orders!$A:$B, 2, 0)</f>
        <v>45893.757245370369</v>
      </c>
      <c r="H542" t="str">
        <f>VLOOKUP(A542, Orders!$A:$C, 3, 0)</f>
        <v>Plant 2 Canteen</v>
      </c>
      <c r="I542">
        <f>C542*D542*(1-VLOOKUP(A542,Orders!$A:$G,7,0))</f>
        <v>114.18</v>
      </c>
      <c r="J542" t="str">
        <f>VLOOKUP(A542,Orders!$A:$G,6,0)</f>
        <v>Dinner</v>
      </c>
      <c r="K542" t="str">
        <f>VLOOKUP(A542,Orders!$A:$G,5,0)</f>
        <v>Cash</v>
      </c>
    </row>
    <row r="543" spans="1:11" x14ac:dyDescent="0.3">
      <c r="A543" t="s">
        <v>250</v>
      </c>
      <c r="B543" t="s">
        <v>416</v>
      </c>
      <c r="C543">
        <v>1</v>
      </c>
      <c r="D543">
        <f>VLOOKUP(B543, Menu!$A:$F, 6, 0)</f>
        <v>227.61</v>
      </c>
      <c r="E543">
        <f>VLOOKUP(B543, Menu!$A:$F, 5, 0)</f>
        <v>96.22</v>
      </c>
      <c r="F543" t="str">
        <f>VLOOKUP(B543, Menu!$A:$F, 3, 0)</f>
        <v>Hot Meal</v>
      </c>
      <c r="G543" s="5">
        <f>VLOOKUP(A543, Orders!$A:$B, 2, 0)</f>
        <v>45893.757245370369</v>
      </c>
      <c r="H543" t="str">
        <f>VLOOKUP(A543, Orders!$A:$C, 3, 0)</f>
        <v>Plant 2 Canteen</v>
      </c>
      <c r="I543">
        <f>C543*D543*(1-VLOOKUP(A543,Orders!$A:$G,7,0))</f>
        <v>227.61</v>
      </c>
      <c r="J543" t="str">
        <f>VLOOKUP(A543,Orders!$A:$G,6,0)</f>
        <v>Dinner</v>
      </c>
      <c r="K543" t="str">
        <f>VLOOKUP(A543,Orders!$A:$G,5,0)</f>
        <v>Cash</v>
      </c>
    </row>
    <row r="544" spans="1:11" x14ac:dyDescent="0.3">
      <c r="A544" t="s">
        <v>251</v>
      </c>
      <c r="B544" t="s">
        <v>412</v>
      </c>
      <c r="C544">
        <v>1</v>
      </c>
      <c r="D544">
        <f>VLOOKUP(B544, Menu!$A:$F, 6, 0)</f>
        <v>57.07</v>
      </c>
      <c r="E544">
        <f>VLOOKUP(B544, Menu!$A:$F, 5, 0)</f>
        <v>29.14</v>
      </c>
      <c r="F544" t="str">
        <f>VLOOKUP(B544, Menu!$A:$F, 3, 0)</f>
        <v>Dessert</v>
      </c>
      <c r="G544" s="5">
        <f>VLOOKUP(A544, Orders!$A:$B, 2, 0)</f>
        <v>45884.325902777768</v>
      </c>
      <c r="H544" t="str">
        <f>VLOOKUP(A544, Orders!$A:$C, 3, 0)</f>
        <v>Head Office Café</v>
      </c>
      <c r="I544">
        <f>C544*D544*(1-VLOOKUP(A544,Orders!$A:$G,7,0))</f>
        <v>54.787199999999999</v>
      </c>
      <c r="J544" t="str">
        <f>VLOOKUP(A544,Orders!$A:$G,6,0)</f>
        <v>Breakfast</v>
      </c>
      <c r="K544" t="str">
        <f>VLOOKUP(A544,Orders!$A:$G,5,0)</f>
        <v>UPI</v>
      </c>
    </row>
    <row r="545" spans="1:11" x14ac:dyDescent="0.3">
      <c r="A545" t="s">
        <v>251</v>
      </c>
      <c r="B545" t="s">
        <v>411</v>
      </c>
      <c r="C545">
        <v>1</v>
      </c>
      <c r="D545">
        <f>VLOOKUP(B545, Menu!$A:$F, 6, 0)</f>
        <v>22.2</v>
      </c>
      <c r="E545">
        <f>VLOOKUP(B545, Menu!$A:$F, 5, 0)</f>
        <v>9.3800000000000008</v>
      </c>
      <c r="F545" t="str">
        <f>VLOOKUP(B545, Menu!$A:$F, 3, 0)</f>
        <v>Beverage</v>
      </c>
      <c r="G545" s="5">
        <f>VLOOKUP(A545, Orders!$A:$B, 2, 0)</f>
        <v>45884.325902777768</v>
      </c>
      <c r="H545" t="str">
        <f>VLOOKUP(A545, Orders!$A:$C, 3, 0)</f>
        <v>Head Office Café</v>
      </c>
      <c r="I545">
        <f>C545*D545*(1-VLOOKUP(A545,Orders!$A:$G,7,0))</f>
        <v>21.311999999999998</v>
      </c>
      <c r="J545" t="str">
        <f>VLOOKUP(A545,Orders!$A:$G,6,0)</f>
        <v>Breakfast</v>
      </c>
      <c r="K545" t="str">
        <f>VLOOKUP(A545,Orders!$A:$G,5,0)</f>
        <v>UPI</v>
      </c>
    </row>
    <row r="546" spans="1:11" x14ac:dyDescent="0.3">
      <c r="A546" t="s">
        <v>251</v>
      </c>
      <c r="B546" t="s">
        <v>416</v>
      </c>
      <c r="C546">
        <v>3</v>
      </c>
      <c r="D546">
        <f>VLOOKUP(B546, Menu!$A:$F, 6, 0)</f>
        <v>227.61</v>
      </c>
      <c r="E546">
        <f>VLOOKUP(B546, Menu!$A:$F, 5, 0)</f>
        <v>96.22</v>
      </c>
      <c r="F546" t="str">
        <f>VLOOKUP(B546, Menu!$A:$F, 3, 0)</f>
        <v>Hot Meal</v>
      </c>
      <c r="G546" s="5">
        <f>VLOOKUP(A546, Orders!$A:$B, 2, 0)</f>
        <v>45884.325902777768</v>
      </c>
      <c r="H546" t="str">
        <f>VLOOKUP(A546, Orders!$A:$C, 3, 0)</f>
        <v>Head Office Café</v>
      </c>
      <c r="I546">
        <f>C546*D546*(1-VLOOKUP(A546,Orders!$A:$G,7,0))</f>
        <v>655.51679999999999</v>
      </c>
      <c r="J546" t="str">
        <f>VLOOKUP(A546,Orders!$A:$G,6,0)</f>
        <v>Breakfast</v>
      </c>
      <c r="K546" t="str">
        <f>VLOOKUP(A546,Orders!$A:$G,5,0)</f>
        <v>UPI</v>
      </c>
    </row>
    <row r="547" spans="1:11" x14ac:dyDescent="0.3">
      <c r="A547" t="s">
        <v>252</v>
      </c>
      <c r="B547" t="s">
        <v>419</v>
      </c>
      <c r="C547">
        <v>1</v>
      </c>
      <c r="D547">
        <f>VLOOKUP(B547, Menu!$A:$F, 6, 0)</f>
        <v>50.19</v>
      </c>
      <c r="E547">
        <f>VLOOKUP(B547, Menu!$A:$F, 5, 0)</f>
        <v>22.61</v>
      </c>
      <c r="F547" t="str">
        <f>VLOOKUP(B547, Menu!$A:$F, 3, 0)</f>
        <v>Snack</v>
      </c>
      <c r="G547" s="5">
        <f>VLOOKUP(A547, Orders!$A:$B, 2, 0)</f>
        <v>45850.578101851846</v>
      </c>
      <c r="H547" t="str">
        <f>VLOOKUP(A547, Orders!$A:$C, 3, 0)</f>
        <v>Plant 1 Canteen</v>
      </c>
      <c r="I547">
        <f>C547*D547*(1-VLOOKUP(A547,Orders!$A:$G,7,0))</f>
        <v>44.6691</v>
      </c>
      <c r="J547" t="str">
        <f>VLOOKUP(A547,Orders!$A:$G,6,0)</f>
        <v>Lunch</v>
      </c>
      <c r="K547" t="str">
        <f>VLOOKUP(A547,Orders!$A:$G,5,0)</f>
        <v>Cash</v>
      </c>
    </row>
    <row r="548" spans="1:11" x14ac:dyDescent="0.3">
      <c r="A548" t="s">
        <v>252</v>
      </c>
      <c r="B548" t="s">
        <v>417</v>
      </c>
      <c r="C548">
        <v>1</v>
      </c>
      <c r="D548">
        <f>VLOOKUP(B548, Menu!$A:$F, 6, 0)</f>
        <v>146.4</v>
      </c>
      <c r="E548">
        <f>VLOOKUP(B548, Menu!$A:$F, 5, 0)</f>
        <v>80.92</v>
      </c>
      <c r="F548" t="str">
        <f>VLOOKUP(B548, Menu!$A:$F, 3, 0)</f>
        <v>Hot Meal</v>
      </c>
      <c r="G548" s="5">
        <f>VLOOKUP(A548, Orders!$A:$B, 2, 0)</f>
        <v>45850.578101851846</v>
      </c>
      <c r="H548" t="str">
        <f>VLOOKUP(A548, Orders!$A:$C, 3, 0)</f>
        <v>Plant 1 Canteen</v>
      </c>
      <c r="I548">
        <f>C548*D548*(1-VLOOKUP(A548,Orders!$A:$G,7,0))</f>
        <v>130.29600000000002</v>
      </c>
      <c r="J548" t="str">
        <f>VLOOKUP(A548,Orders!$A:$G,6,0)</f>
        <v>Lunch</v>
      </c>
      <c r="K548" t="str">
        <f>VLOOKUP(A548,Orders!$A:$G,5,0)</f>
        <v>Cash</v>
      </c>
    </row>
    <row r="549" spans="1:11" x14ac:dyDescent="0.3">
      <c r="A549" t="s">
        <v>252</v>
      </c>
      <c r="B549" t="s">
        <v>410</v>
      </c>
      <c r="C549">
        <v>1</v>
      </c>
      <c r="D549">
        <f>VLOOKUP(B549, Menu!$A:$F, 6, 0)</f>
        <v>20.11</v>
      </c>
      <c r="E549">
        <f>VLOOKUP(B549, Menu!$A:$F, 5, 0)</f>
        <v>8</v>
      </c>
      <c r="F549" t="str">
        <f>VLOOKUP(B549, Menu!$A:$F, 3, 0)</f>
        <v>Beverage</v>
      </c>
      <c r="G549" s="5">
        <f>VLOOKUP(A549, Orders!$A:$B, 2, 0)</f>
        <v>45850.578101851846</v>
      </c>
      <c r="H549" t="str">
        <f>VLOOKUP(A549, Orders!$A:$C, 3, 0)</f>
        <v>Plant 1 Canteen</v>
      </c>
      <c r="I549">
        <f>C549*D549*(1-VLOOKUP(A549,Orders!$A:$G,7,0))</f>
        <v>17.8979</v>
      </c>
      <c r="J549" t="str">
        <f>VLOOKUP(A549,Orders!$A:$G,6,0)</f>
        <v>Lunch</v>
      </c>
      <c r="K549" t="str">
        <f>VLOOKUP(A549,Orders!$A:$G,5,0)</f>
        <v>Cash</v>
      </c>
    </row>
    <row r="550" spans="1:11" x14ac:dyDescent="0.3">
      <c r="A550" t="s">
        <v>252</v>
      </c>
      <c r="B550" t="s">
        <v>403</v>
      </c>
      <c r="C550">
        <v>2</v>
      </c>
      <c r="D550">
        <f>VLOOKUP(B550, Menu!$A:$F, 6, 0)</f>
        <v>76.55</v>
      </c>
      <c r="E550">
        <f>VLOOKUP(B550, Menu!$A:$F, 5, 0)</f>
        <v>38.229999999999997</v>
      </c>
      <c r="F550" t="str">
        <f>VLOOKUP(B550, Menu!$A:$F, 3, 0)</f>
        <v>Dessert</v>
      </c>
      <c r="G550" s="5">
        <f>VLOOKUP(A550, Orders!$A:$B, 2, 0)</f>
        <v>45850.578101851846</v>
      </c>
      <c r="H550" t="str">
        <f>VLOOKUP(A550, Orders!$A:$C, 3, 0)</f>
        <v>Plant 1 Canteen</v>
      </c>
      <c r="I550">
        <f>C550*D550*(1-VLOOKUP(A550,Orders!$A:$G,7,0))</f>
        <v>136.25899999999999</v>
      </c>
      <c r="J550" t="str">
        <f>VLOOKUP(A550,Orders!$A:$G,6,0)</f>
        <v>Lunch</v>
      </c>
      <c r="K550" t="str">
        <f>VLOOKUP(A550,Orders!$A:$G,5,0)</f>
        <v>Cash</v>
      </c>
    </row>
    <row r="551" spans="1:11" x14ac:dyDescent="0.3">
      <c r="A551" t="s">
        <v>253</v>
      </c>
      <c r="B551" t="s">
        <v>410</v>
      </c>
      <c r="C551">
        <v>2</v>
      </c>
      <c r="D551">
        <f>VLOOKUP(B551, Menu!$A:$F, 6, 0)</f>
        <v>20.11</v>
      </c>
      <c r="E551">
        <f>VLOOKUP(B551, Menu!$A:$F, 5, 0)</f>
        <v>8</v>
      </c>
      <c r="F551" t="str">
        <f>VLOOKUP(B551, Menu!$A:$F, 3, 0)</f>
        <v>Beverage</v>
      </c>
      <c r="G551" s="5">
        <f>VLOOKUP(A551, Orders!$A:$B, 2, 0)</f>
        <v>45887.079097222217</v>
      </c>
      <c r="H551" t="str">
        <f>VLOOKUP(A551, Orders!$A:$C, 3, 0)</f>
        <v>Plant 1 Canteen</v>
      </c>
      <c r="I551">
        <f>C551*D551*(1-VLOOKUP(A551,Orders!$A:$G,7,0))</f>
        <v>39.013399999999997</v>
      </c>
      <c r="J551" t="str">
        <f>VLOOKUP(A551,Orders!$A:$G,6,0)</f>
        <v>Breakfast</v>
      </c>
      <c r="K551" t="str">
        <f>VLOOKUP(A551,Orders!$A:$G,5,0)</f>
        <v>Cash</v>
      </c>
    </row>
    <row r="552" spans="1:11" x14ac:dyDescent="0.3">
      <c r="A552" t="s">
        <v>253</v>
      </c>
      <c r="B552" t="s">
        <v>402</v>
      </c>
      <c r="C552">
        <v>2</v>
      </c>
      <c r="D552">
        <f>VLOOKUP(B552, Menu!$A:$F, 6, 0)</f>
        <v>30.34</v>
      </c>
      <c r="E552">
        <f>VLOOKUP(B552, Menu!$A:$F, 5, 0)</f>
        <v>14.18</v>
      </c>
      <c r="F552" t="str">
        <f>VLOOKUP(B552, Menu!$A:$F, 3, 0)</f>
        <v>Beverage</v>
      </c>
      <c r="G552" s="5">
        <f>VLOOKUP(A552, Orders!$A:$B, 2, 0)</f>
        <v>45887.079097222217</v>
      </c>
      <c r="H552" t="str">
        <f>VLOOKUP(A552, Orders!$A:$C, 3, 0)</f>
        <v>Plant 1 Canteen</v>
      </c>
      <c r="I552">
        <f>C552*D552*(1-VLOOKUP(A552,Orders!$A:$G,7,0))</f>
        <v>58.8596</v>
      </c>
      <c r="J552" t="str">
        <f>VLOOKUP(A552,Orders!$A:$G,6,0)</f>
        <v>Breakfast</v>
      </c>
      <c r="K552" t="str">
        <f>VLOOKUP(A552,Orders!$A:$G,5,0)</f>
        <v>Cash</v>
      </c>
    </row>
    <row r="553" spans="1:11" x14ac:dyDescent="0.3">
      <c r="A553" t="s">
        <v>253</v>
      </c>
      <c r="B553" t="s">
        <v>408</v>
      </c>
      <c r="C553">
        <v>1</v>
      </c>
      <c r="D553">
        <f>VLOOKUP(B553, Menu!$A:$F, 6, 0)</f>
        <v>70.540000000000006</v>
      </c>
      <c r="E553">
        <f>VLOOKUP(B553, Menu!$A:$F, 5, 0)</f>
        <v>35.81</v>
      </c>
      <c r="F553" t="str">
        <f>VLOOKUP(B553, Menu!$A:$F, 3, 0)</f>
        <v>Snack</v>
      </c>
      <c r="G553" s="5">
        <f>VLOOKUP(A553, Orders!$A:$B, 2, 0)</f>
        <v>45887.079097222217</v>
      </c>
      <c r="H553" t="str">
        <f>VLOOKUP(A553, Orders!$A:$C, 3, 0)</f>
        <v>Plant 1 Canteen</v>
      </c>
      <c r="I553">
        <f>C553*D553*(1-VLOOKUP(A553,Orders!$A:$G,7,0))</f>
        <v>68.4238</v>
      </c>
      <c r="J553" t="str">
        <f>VLOOKUP(A553,Orders!$A:$G,6,0)</f>
        <v>Breakfast</v>
      </c>
      <c r="K553" t="str">
        <f>VLOOKUP(A553,Orders!$A:$G,5,0)</f>
        <v>Cash</v>
      </c>
    </row>
    <row r="554" spans="1:11" x14ac:dyDescent="0.3">
      <c r="A554" t="s">
        <v>254</v>
      </c>
      <c r="B554" t="s">
        <v>405</v>
      </c>
      <c r="C554">
        <v>1</v>
      </c>
      <c r="D554">
        <f>VLOOKUP(B554, Menu!$A:$F, 6, 0)</f>
        <v>170.83</v>
      </c>
      <c r="E554">
        <f>VLOOKUP(B554, Menu!$A:$F, 5, 0)</f>
        <v>74.069999999999993</v>
      </c>
      <c r="F554" t="str">
        <f>VLOOKUP(B554, Menu!$A:$F, 3, 0)</f>
        <v>Hot Meal</v>
      </c>
      <c r="G554" s="5">
        <f>VLOOKUP(A554, Orders!$A:$B, 2, 0)</f>
        <v>45852.421666666669</v>
      </c>
      <c r="H554" t="str">
        <f>VLOOKUP(A554, Orders!$A:$C, 3, 0)</f>
        <v>Plant 2 Canteen</v>
      </c>
      <c r="I554">
        <f>C554*D554*(1-VLOOKUP(A554,Orders!$A:$G,7,0))</f>
        <v>157.16360000000003</v>
      </c>
      <c r="J554" t="str">
        <f>VLOOKUP(A554,Orders!$A:$G,6,0)</f>
        <v>Breakfast</v>
      </c>
      <c r="K554" t="str">
        <f>VLOOKUP(A554,Orders!$A:$G,5,0)</f>
        <v>Card</v>
      </c>
    </row>
    <row r="555" spans="1:11" x14ac:dyDescent="0.3">
      <c r="A555" t="s">
        <v>254</v>
      </c>
      <c r="B555" t="s">
        <v>415</v>
      </c>
      <c r="C555">
        <v>1</v>
      </c>
      <c r="D555">
        <f>VLOOKUP(B555, Menu!$A:$F, 6, 0)</f>
        <v>256.91000000000003</v>
      </c>
      <c r="E555">
        <f>VLOOKUP(B555, Menu!$A:$F, 5, 0)</f>
        <v>121.24</v>
      </c>
      <c r="F555" t="str">
        <f>VLOOKUP(B555, Menu!$A:$F, 3, 0)</f>
        <v>Hot Meal</v>
      </c>
      <c r="G555" s="5">
        <f>VLOOKUP(A555, Orders!$A:$B, 2, 0)</f>
        <v>45852.421666666669</v>
      </c>
      <c r="H555" t="str">
        <f>VLOOKUP(A555, Orders!$A:$C, 3, 0)</f>
        <v>Plant 2 Canteen</v>
      </c>
      <c r="I555">
        <f>C555*D555*(1-VLOOKUP(A555,Orders!$A:$G,7,0))</f>
        <v>236.35720000000003</v>
      </c>
      <c r="J555" t="str">
        <f>VLOOKUP(A555,Orders!$A:$G,6,0)</f>
        <v>Breakfast</v>
      </c>
      <c r="K555" t="str">
        <f>VLOOKUP(A555,Orders!$A:$G,5,0)</f>
        <v>Card</v>
      </c>
    </row>
    <row r="556" spans="1:11" x14ac:dyDescent="0.3">
      <c r="A556" t="s">
        <v>254</v>
      </c>
      <c r="B556" t="s">
        <v>418</v>
      </c>
      <c r="C556">
        <v>2</v>
      </c>
      <c r="D556">
        <f>VLOOKUP(B556, Menu!$A:$F, 6, 0)</f>
        <v>39.950000000000003</v>
      </c>
      <c r="E556">
        <f>VLOOKUP(B556, Menu!$A:$F, 5, 0)</f>
        <v>15.51</v>
      </c>
      <c r="F556" t="str">
        <f>VLOOKUP(B556, Menu!$A:$F, 3, 0)</f>
        <v>Snack</v>
      </c>
      <c r="G556" s="5">
        <f>VLOOKUP(A556, Orders!$A:$B, 2, 0)</f>
        <v>45852.421666666669</v>
      </c>
      <c r="H556" t="str">
        <f>VLOOKUP(A556, Orders!$A:$C, 3, 0)</f>
        <v>Plant 2 Canteen</v>
      </c>
      <c r="I556">
        <f>C556*D556*(1-VLOOKUP(A556,Orders!$A:$G,7,0))</f>
        <v>73.50800000000001</v>
      </c>
      <c r="J556" t="str">
        <f>VLOOKUP(A556,Orders!$A:$G,6,0)</f>
        <v>Breakfast</v>
      </c>
      <c r="K556" t="str">
        <f>VLOOKUP(A556,Orders!$A:$G,5,0)</f>
        <v>Card</v>
      </c>
    </row>
    <row r="557" spans="1:11" x14ac:dyDescent="0.3">
      <c r="A557" t="s">
        <v>254</v>
      </c>
      <c r="B557" t="s">
        <v>401</v>
      </c>
      <c r="C557">
        <v>3</v>
      </c>
      <c r="D557">
        <f>VLOOKUP(B557, Menu!$A:$F, 6, 0)</f>
        <v>52.45</v>
      </c>
      <c r="E557">
        <f>VLOOKUP(B557, Menu!$A:$F, 5, 0)</f>
        <v>25.8</v>
      </c>
      <c r="F557" t="str">
        <f>VLOOKUP(B557, Menu!$A:$F, 3, 0)</f>
        <v>Snack</v>
      </c>
      <c r="G557" s="5">
        <f>VLOOKUP(A557, Orders!$A:$B, 2, 0)</f>
        <v>45852.421666666669</v>
      </c>
      <c r="H557" t="str">
        <f>VLOOKUP(A557, Orders!$A:$C, 3, 0)</f>
        <v>Plant 2 Canteen</v>
      </c>
      <c r="I557">
        <f>C557*D557*(1-VLOOKUP(A557,Orders!$A:$G,7,0))</f>
        <v>144.76200000000003</v>
      </c>
      <c r="J557" t="str">
        <f>VLOOKUP(A557,Orders!$A:$G,6,0)</f>
        <v>Breakfast</v>
      </c>
      <c r="K557" t="str">
        <f>VLOOKUP(A557,Orders!$A:$G,5,0)</f>
        <v>Card</v>
      </c>
    </row>
    <row r="558" spans="1:11" x14ac:dyDescent="0.3">
      <c r="A558" t="s">
        <v>255</v>
      </c>
      <c r="B558" t="s">
        <v>409</v>
      </c>
      <c r="C558">
        <v>1</v>
      </c>
      <c r="D558">
        <f>VLOOKUP(B558, Menu!$A:$F, 6, 0)</f>
        <v>28.43</v>
      </c>
      <c r="E558">
        <f>VLOOKUP(B558, Menu!$A:$F, 5, 0)</f>
        <v>13.89</v>
      </c>
      <c r="F558" t="str">
        <f>VLOOKUP(B558, Menu!$A:$F, 3, 0)</f>
        <v>Beverage</v>
      </c>
      <c r="G558" s="5">
        <f>VLOOKUP(A558, Orders!$A:$B, 2, 0)</f>
        <v>45879.943171296298</v>
      </c>
      <c r="H558" t="str">
        <f>VLOOKUP(A558, Orders!$A:$C, 3, 0)</f>
        <v>Head Office Café</v>
      </c>
      <c r="I558">
        <f>C558*D558*(1-VLOOKUP(A558,Orders!$A:$G,7,0))</f>
        <v>25.871300000000002</v>
      </c>
      <c r="J558" t="str">
        <f>VLOOKUP(A558,Orders!$A:$G,6,0)</f>
        <v>Dinner</v>
      </c>
      <c r="K558" t="str">
        <f>VLOOKUP(A558,Orders!$A:$G,5,0)</f>
        <v>UPI</v>
      </c>
    </row>
    <row r="559" spans="1:11" x14ac:dyDescent="0.3">
      <c r="A559" t="s">
        <v>256</v>
      </c>
      <c r="B559" t="s">
        <v>412</v>
      </c>
      <c r="C559">
        <v>2</v>
      </c>
      <c r="D559">
        <f>VLOOKUP(B559, Menu!$A:$F, 6, 0)</f>
        <v>57.07</v>
      </c>
      <c r="E559">
        <f>VLOOKUP(B559, Menu!$A:$F, 5, 0)</f>
        <v>29.14</v>
      </c>
      <c r="F559" t="str">
        <f>VLOOKUP(B559, Menu!$A:$F, 3, 0)</f>
        <v>Dessert</v>
      </c>
      <c r="G559" s="5">
        <f>VLOOKUP(A559, Orders!$A:$B, 2, 0)</f>
        <v>45879.531284722223</v>
      </c>
      <c r="H559" t="str">
        <f>VLOOKUP(A559, Orders!$A:$C, 3, 0)</f>
        <v>Head Office Café</v>
      </c>
      <c r="I559">
        <f>C559*D559*(1-VLOOKUP(A559,Orders!$A:$G,7,0))</f>
        <v>111.85719999999999</v>
      </c>
      <c r="J559" t="str">
        <f>VLOOKUP(A559,Orders!$A:$G,6,0)</f>
        <v>Lunch</v>
      </c>
      <c r="K559" t="str">
        <f>VLOOKUP(A559,Orders!$A:$G,5,0)</f>
        <v>Card</v>
      </c>
    </row>
    <row r="560" spans="1:11" x14ac:dyDescent="0.3">
      <c r="A560" t="s">
        <v>256</v>
      </c>
      <c r="B560" t="s">
        <v>416</v>
      </c>
      <c r="C560">
        <v>1</v>
      </c>
      <c r="D560">
        <f>VLOOKUP(B560, Menu!$A:$F, 6, 0)</f>
        <v>227.61</v>
      </c>
      <c r="E560">
        <f>VLOOKUP(B560, Menu!$A:$F, 5, 0)</f>
        <v>96.22</v>
      </c>
      <c r="F560" t="str">
        <f>VLOOKUP(B560, Menu!$A:$F, 3, 0)</f>
        <v>Hot Meal</v>
      </c>
      <c r="G560" s="5">
        <f>VLOOKUP(A560, Orders!$A:$B, 2, 0)</f>
        <v>45879.531284722223</v>
      </c>
      <c r="H560" t="str">
        <f>VLOOKUP(A560, Orders!$A:$C, 3, 0)</f>
        <v>Head Office Café</v>
      </c>
      <c r="I560">
        <f>C560*D560*(1-VLOOKUP(A560,Orders!$A:$G,7,0))</f>
        <v>223.05780000000001</v>
      </c>
      <c r="J560" t="str">
        <f>VLOOKUP(A560,Orders!$A:$G,6,0)</f>
        <v>Lunch</v>
      </c>
      <c r="K560" t="str">
        <f>VLOOKUP(A560,Orders!$A:$G,5,0)</f>
        <v>Card</v>
      </c>
    </row>
    <row r="561" spans="1:11" x14ac:dyDescent="0.3">
      <c r="A561" t="s">
        <v>256</v>
      </c>
      <c r="B561" t="s">
        <v>405</v>
      </c>
      <c r="C561">
        <v>2</v>
      </c>
      <c r="D561">
        <f>VLOOKUP(B561, Menu!$A:$F, 6, 0)</f>
        <v>170.83</v>
      </c>
      <c r="E561">
        <f>VLOOKUP(B561, Menu!$A:$F, 5, 0)</f>
        <v>74.069999999999993</v>
      </c>
      <c r="F561" t="str">
        <f>VLOOKUP(B561, Menu!$A:$F, 3, 0)</f>
        <v>Hot Meal</v>
      </c>
      <c r="G561" s="5">
        <f>VLOOKUP(A561, Orders!$A:$B, 2, 0)</f>
        <v>45879.531284722223</v>
      </c>
      <c r="H561" t="str">
        <f>VLOOKUP(A561, Orders!$A:$C, 3, 0)</f>
        <v>Head Office Café</v>
      </c>
      <c r="I561">
        <f>C561*D561*(1-VLOOKUP(A561,Orders!$A:$G,7,0))</f>
        <v>334.82679999999999</v>
      </c>
      <c r="J561" t="str">
        <f>VLOOKUP(A561,Orders!$A:$G,6,0)</f>
        <v>Lunch</v>
      </c>
      <c r="K561" t="str">
        <f>VLOOKUP(A561,Orders!$A:$G,5,0)</f>
        <v>Card</v>
      </c>
    </row>
    <row r="562" spans="1:11" x14ac:dyDescent="0.3">
      <c r="A562" t="s">
        <v>257</v>
      </c>
      <c r="B562" t="s">
        <v>403</v>
      </c>
      <c r="C562">
        <v>3</v>
      </c>
      <c r="D562">
        <f>VLOOKUP(B562, Menu!$A:$F, 6, 0)</f>
        <v>76.55</v>
      </c>
      <c r="E562">
        <f>VLOOKUP(B562, Menu!$A:$F, 5, 0)</f>
        <v>38.229999999999997</v>
      </c>
      <c r="F562" t="str">
        <f>VLOOKUP(B562, Menu!$A:$F, 3, 0)</f>
        <v>Dessert</v>
      </c>
      <c r="G562" s="5">
        <f>VLOOKUP(A562, Orders!$A:$B, 2, 0)</f>
        <v>45866.410069444442</v>
      </c>
      <c r="H562" t="str">
        <f>VLOOKUP(A562, Orders!$A:$C, 3, 0)</f>
        <v>Plant 1 Canteen</v>
      </c>
      <c r="I562">
        <f>C562*D562*(1-VLOOKUP(A562,Orders!$A:$G,7,0))</f>
        <v>215.87099999999995</v>
      </c>
      <c r="J562" t="str">
        <f>VLOOKUP(A562,Orders!$A:$G,6,0)</f>
        <v>Breakfast</v>
      </c>
      <c r="K562" t="str">
        <f>VLOOKUP(A562,Orders!$A:$G,5,0)</f>
        <v>Card</v>
      </c>
    </row>
    <row r="563" spans="1:11" x14ac:dyDescent="0.3">
      <c r="A563" t="s">
        <v>257</v>
      </c>
      <c r="B563" t="s">
        <v>416</v>
      </c>
      <c r="C563">
        <v>1</v>
      </c>
      <c r="D563">
        <f>VLOOKUP(B563, Menu!$A:$F, 6, 0)</f>
        <v>227.61</v>
      </c>
      <c r="E563">
        <f>VLOOKUP(B563, Menu!$A:$F, 5, 0)</f>
        <v>96.22</v>
      </c>
      <c r="F563" t="str">
        <f>VLOOKUP(B563, Menu!$A:$F, 3, 0)</f>
        <v>Hot Meal</v>
      </c>
      <c r="G563" s="5">
        <f>VLOOKUP(A563, Orders!$A:$B, 2, 0)</f>
        <v>45866.410069444442</v>
      </c>
      <c r="H563" t="str">
        <f>VLOOKUP(A563, Orders!$A:$C, 3, 0)</f>
        <v>Plant 1 Canteen</v>
      </c>
      <c r="I563">
        <f>C563*D563*(1-VLOOKUP(A563,Orders!$A:$G,7,0))</f>
        <v>213.95339999999999</v>
      </c>
      <c r="J563" t="str">
        <f>VLOOKUP(A563,Orders!$A:$G,6,0)</f>
        <v>Breakfast</v>
      </c>
      <c r="K563" t="str">
        <f>VLOOKUP(A563,Orders!$A:$G,5,0)</f>
        <v>Card</v>
      </c>
    </row>
    <row r="564" spans="1:11" x14ac:dyDescent="0.3">
      <c r="A564" t="s">
        <v>257</v>
      </c>
      <c r="B564" t="s">
        <v>413</v>
      </c>
      <c r="C564">
        <v>3</v>
      </c>
      <c r="D564">
        <f>VLOOKUP(B564, Menu!$A:$F, 6, 0)</f>
        <v>54.2</v>
      </c>
      <c r="E564">
        <f>VLOOKUP(B564, Menu!$A:$F, 5, 0)</f>
        <v>21.95</v>
      </c>
      <c r="F564" t="str">
        <f>VLOOKUP(B564, Menu!$A:$F, 3, 0)</f>
        <v>Dessert</v>
      </c>
      <c r="G564" s="5">
        <f>VLOOKUP(A564, Orders!$A:$B, 2, 0)</f>
        <v>45866.410069444442</v>
      </c>
      <c r="H564" t="str">
        <f>VLOOKUP(A564, Orders!$A:$C, 3, 0)</f>
        <v>Plant 1 Canteen</v>
      </c>
      <c r="I564">
        <f>C564*D564*(1-VLOOKUP(A564,Orders!$A:$G,7,0))</f>
        <v>152.84400000000002</v>
      </c>
      <c r="J564" t="str">
        <f>VLOOKUP(A564,Orders!$A:$G,6,0)</f>
        <v>Breakfast</v>
      </c>
      <c r="K564" t="str">
        <f>VLOOKUP(A564,Orders!$A:$G,5,0)</f>
        <v>Card</v>
      </c>
    </row>
    <row r="565" spans="1:11" x14ac:dyDescent="0.3">
      <c r="A565" t="s">
        <v>258</v>
      </c>
      <c r="B565" t="s">
        <v>412</v>
      </c>
      <c r="C565">
        <v>1</v>
      </c>
      <c r="D565">
        <f>VLOOKUP(B565, Menu!$A:$F, 6, 0)</f>
        <v>57.07</v>
      </c>
      <c r="E565">
        <f>VLOOKUP(B565, Menu!$A:$F, 5, 0)</f>
        <v>29.14</v>
      </c>
      <c r="F565" t="str">
        <f>VLOOKUP(B565, Menu!$A:$F, 3, 0)</f>
        <v>Dessert</v>
      </c>
      <c r="G565" s="5">
        <f>VLOOKUP(A565, Orders!$A:$B, 2, 0)</f>
        <v>45882.298217592594</v>
      </c>
      <c r="H565" t="str">
        <f>VLOOKUP(A565, Orders!$A:$C, 3, 0)</f>
        <v>Plant 2 Canteen</v>
      </c>
      <c r="I565">
        <f>C565*D565*(1-VLOOKUP(A565,Orders!$A:$G,7,0))</f>
        <v>57.07</v>
      </c>
      <c r="J565" t="str">
        <f>VLOOKUP(A565,Orders!$A:$G,6,0)</f>
        <v>Breakfast</v>
      </c>
      <c r="K565" t="str">
        <f>VLOOKUP(A565,Orders!$A:$G,5,0)</f>
        <v>Card</v>
      </c>
    </row>
    <row r="566" spans="1:11" x14ac:dyDescent="0.3">
      <c r="A566" t="s">
        <v>259</v>
      </c>
      <c r="B566" t="s">
        <v>418</v>
      </c>
      <c r="C566">
        <v>1</v>
      </c>
      <c r="D566">
        <f>VLOOKUP(B566, Menu!$A:$F, 6, 0)</f>
        <v>39.950000000000003</v>
      </c>
      <c r="E566">
        <f>VLOOKUP(B566, Menu!$A:$F, 5, 0)</f>
        <v>15.51</v>
      </c>
      <c r="F566" t="str">
        <f>VLOOKUP(B566, Menu!$A:$F, 3, 0)</f>
        <v>Snack</v>
      </c>
      <c r="G566" s="5">
        <f>VLOOKUP(A566, Orders!$A:$B, 2, 0)</f>
        <v>45874.914675925917</v>
      </c>
      <c r="H566" t="str">
        <f>VLOOKUP(A566, Orders!$A:$C, 3, 0)</f>
        <v>Head Office Café</v>
      </c>
      <c r="I566">
        <f>C566*D566*(1-VLOOKUP(A566,Orders!$A:$G,7,0))</f>
        <v>39.151000000000003</v>
      </c>
      <c r="J566" t="str">
        <f>VLOOKUP(A566,Orders!$A:$G,6,0)</f>
        <v>Dinner</v>
      </c>
      <c r="K566" t="str">
        <f>VLOOKUP(A566,Orders!$A:$G,5,0)</f>
        <v>Card</v>
      </c>
    </row>
    <row r="567" spans="1:11" x14ac:dyDescent="0.3">
      <c r="A567" t="s">
        <v>259</v>
      </c>
      <c r="B567" t="s">
        <v>410</v>
      </c>
      <c r="C567">
        <v>2</v>
      </c>
      <c r="D567">
        <f>VLOOKUP(B567, Menu!$A:$F, 6, 0)</f>
        <v>20.11</v>
      </c>
      <c r="E567">
        <f>VLOOKUP(B567, Menu!$A:$F, 5, 0)</f>
        <v>8</v>
      </c>
      <c r="F567" t="str">
        <f>VLOOKUP(B567, Menu!$A:$F, 3, 0)</f>
        <v>Beverage</v>
      </c>
      <c r="G567" s="5">
        <f>VLOOKUP(A567, Orders!$A:$B, 2, 0)</f>
        <v>45874.914675925917</v>
      </c>
      <c r="H567" t="str">
        <f>VLOOKUP(A567, Orders!$A:$C, 3, 0)</f>
        <v>Head Office Café</v>
      </c>
      <c r="I567">
        <f>C567*D567*(1-VLOOKUP(A567,Orders!$A:$G,7,0))</f>
        <v>39.415599999999998</v>
      </c>
      <c r="J567" t="str">
        <f>VLOOKUP(A567,Orders!$A:$G,6,0)</f>
        <v>Dinner</v>
      </c>
      <c r="K567" t="str">
        <f>VLOOKUP(A567,Orders!$A:$G,5,0)</f>
        <v>Card</v>
      </c>
    </row>
    <row r="568" spans="1:11" x14ac:dyDescent="0.3">
      <c r="A568" t="s">
        <v>259</v>
      </c>
      <c r="B568" t="s">
        <v>402</v>
      </c>
      <c r="C568">
        <v>2</v>
      </c>
      <c r="D568">
        <f>VLOOKUP(B568, Menu!$A:$F, 6, 0)</f>
        <v>30.34</v>
      </c>
      <c r="E568">
        <f>VLOOKUP(B568, Menu!$A:$F, 5, 0)</f>
        <v>14.18</v>
      </c>
      <c r="F568" t="str">
        <f>VLOOKUP(B568, Menu!$A:$F, 3, 0)</f>
        <v>Beverage</v>
      </c>
      <c r="G568" s="5">
        <f>VLOOKUP(A568, Orders!$A:$B, 2, 0)</f>
        <v>45874.914675925917</v>
      </c>
      <c r="H568" t="str">
        <f>VLOOKUP(A568, Orders!$A:$C, 3, 0)</f>
        <v>Head Office Café</v>
      </c>
      <c r="I568">
        <f>C568*D568*(1-VLOOKUP(A568,Orders!$A:$G,7,0))</f>
        <v>59.4664</v>
      </c>
      <c r="J568" t="str">
        <f>VLOOKUP(A568,Orders!$A:$G,6,0)</f>
        <v>Dinner</v>
      </c>
      <c r="K568" t="str">
        <f>VLOOKUP(A568,Orders!$A:$G,5,0)</f>
        <v>Card</v>
      </c>
    </row>
    <row r="569" spans="1:11" x14ac:dyDescent="0.3">
      <c r="A569" t="s">
        <v>259</v>
      </c>
      <c r="B569" t="s">
        <v>413</v>
      </c>
      <c r="C569">
        <v>3</v>
      </c>
      <c r="D569">
        <f>VLOOKUP(B569, Menu!$A:$F, 6, 0)</f>
        <v>54.2</v>
      </c>
      <c r="E569">
        <f>VLOOKUP(B569, Menu!$A:$F, 5, 0)</f>
        <v>21.95</v>
      </c>
      <c r="F569" t="str">
        <f>VLOOKUP(B569, Menu!$A:$F, 3, 0)</f>
        <v>Dessert</v>
      </c>
      <c r="G569" s="5">
        <f>VLOOKUP(A569, Orders!$A:$B, 2, 0)</f>
        <v>45874.914675925917</v>
      </c>
      <c r="H569" t="str">
        <f>VLOOKUP(A569, Orders!$A:$C, 3, 0)</f>
        <v>Head Office Café</v>
      </c>
      <c r="I569">
        <f>C569*D569*(1-VLOOKUP(A569,Orders!$A:$G,7,0))</f>
        <v>159.34800000000001</v>
      </c>
      <c r="J569" t="str">
        <f>VLOOKUP(A569,Orders!$A:$G,6,0)</f>
        <v>Dinner</v>
      </c>
      <c r="K569" t="str">
        <f>VLOOKUP(A569,Orders!$A:$G,5,0)</f>
        <v>Card</v>
      </c>
    </row>
    <row r="570" spans="1:11" x14ac:dyDescent="0.3">
      <c r="A570" t="s">
        <v>260</v>
      </c>
      <c r="B570" t="s">
        <v>413</v>
      </c>
      <c r="C570">
        <v>2</v>
      </c>
      <c r="D570">
        <f>VLOOKUP(B570, Menu!$A:$F, 6, 0)</f>
        <v>54.2</v>
      </c>
      <c r="E570">
        <f>VLOOKUP(B570, Menu!$A:$F, 5, 0)</f>
        <v>21.95</v>
      </c>
      <c r="F570" t="str">
        <f>VLOOKUP(B570, Menu!$A:$F, 3, 0)</f>
        <v>Dessert</v>
      </c>
      <c r="G570" s="5">
        <f>VLOOKUP(A570, Orders!$A:$B, 2, 0)</f>
        <v>45877.90552083333</v>
      </c>
      <c r="H570" t="str">
        <f>VLOOKUP(A570, Orders!$A:$C, 3, 0)</f>
        <v>Plant 2 Canteen</v>
      </c>
      <c r="I570">
        <f>C570*D570*(1-VLOOKUP(A570,Orders!$A:$G,7,0))</f>
        <v>102.98</v>
      </c>
      <c r="J570" t="str">
        <f>VLOOKUP(A570,Orders!$A:$G,6,0)</f>
        <v>Dinner</v>
      </c>
      <c r="K570" t="str">
        <f>VLOOKUP(A570,Orders!$A:$G,5,0)</f>
        <v>Cash</v>
      </c>
    </row>
    <row r="571" spans="1:11" x14ac:dyDescent="0.3">
      <c r="A571" t="s">
        <v>260</v>
      </c>
      <c r="B571" t="s">
        <v>411</v>
      </c>
      <c r="C571">
        <v>1</v>
      </c>
      <c r="D571">
        <f>VLOOKUP(B571, Menu!$A:$F, 6, 0)</f>
        <v>22.2</v>
      </c>
      <c r="E571">
        <f>VLOOKUP(B571, Menu!$A:$F, 5, 0)</f>
        <v>9.3800000000000008</v>
      </c>
      <c r="F571" t="str">
        <f>VLOOKUP(B571, Menu!$A:$F, 3, 0)</f>
        <v>Beverage</v>
      </c>
      <c r="G571" s="5">
        <f>VLOOKUP(A571, Orders!$A:$B, 2, 0)</f>
        <v>45877.90552083333</v>
      </c>
      <c r="H571" t="str">
        <f>VLOOKUP(A571, Orders!$A:$C, 3, 0)</f>
        <v>Plant 2 Canteen</v>
      </c>
      <c r="I571">
        <f>C571*D571*(1-VLOOKUP(A571,Orders!$A:$G,7,0))</f>
        <v>21.09</v>
      </c>
      <c r="J571" t="str">
        <f>VLOOKUP(A571,Orders!$A:$G,6,0)</f>
        <v>Dinner</v>
      </c>
      <c r="K571" t="str">
        <f>VLOOKUP(A571,Orders!$A:$G,5,0)</f>
        <v>Cash</v>
      </c>
    </row>
    <row r="572" spans="1:11" x14ac:dyDescent="0.3">
      <c r="A572" t="s">
        <v>260</v>
      </c>
      <c r="B572" t="s">
        <v>409</v>
      </c>
      <c r="C572">
        <v>2</v>
      </c>
      <c r="D572">
        <f>VLOOKUP(B572, Menu!$A:$F, 6, 0)</f>
        <v>28.43</v>
      </c>
      <c r="E572">
        <f>VLOOKUP(B572, Menu!$A:$F, 5, 0)</f>
        <v>13.89</v>
      </c>
      <c r="F572" t="str">
        <f>VLOOKUP(B572, Menu!$A:$F, 3, 0)</f>
        <v>Beverage</v>
      </c>
      <c r="G572" s="5">
        <f>VLOOKUP(A572, Orders!$A:$B, 2, 0)</f>
        <v>45877.90552083333</v>
      </c>
      <c r="H572" t="str">
        <f>VLOOKUP(A572, Orders!$A:$C, 3, 0)</f>
        <v>Plant 2 Canteen</v>
      </c>
      <c r="I572">
        <f>C572*D572*(1-VLOOKUP(A572,Orders!$A:$G,7,0))</f>
        <v>54.016999999999996</v>
      </c>
      <c r="J572" t="str">
        <f>VLOOKUP(A572,Orders!$A:$G,6,0)</f>
        <v>Dinner</v>
      </c>
      <c r="K572" t="str">
        <f>VLOOKUP(A572,Orders!$A:$G,5,0)</f>
        <v>Cash</v>
      </c>
    </row>
    <row r="573" spans="1:11" x14ac:dyDescent="0.3">
      <c r="A573" t="s">
        <v>261</v>
      </c>
      <c r="B573" t="s">
        <v>401</v>
      </c>
      <c r="C573">
        <v>3</v>
      </c>
      <c r="D573">
        <f>VLOOKUP(B573, Menu!$A:$F, 6, 0)</f>
        <v>52.45</v>
      </c>
      <c r="E573">
        <f>VLOOKUP(B573, Menu!$A:$F, 5, 0)</f>
        <v>25.8</v>
      </c>
      <c r="F573" t="str">
        <f>VLOOKUP(B573, Menu!$A:$F, 3, 0)</f>
        <v>Snack</v>
      </c>
      <c r="G573" s="5">
        <f>VLOOKUP(A573, Orders!$A:$B, 2, 0)</f>
        <v>45848.150601851848</v>
      </c>
      <c r="H573" t="str">
        <f>VLOOKUP(A573, Orders!$A:$C, 3, 0)</f>
        <v>Head Office Café</v>
      </c>
      <c r="I573">
        <f>C573*D573*(1-VLOOKUP(A573,Orders!$A:$G,7,0))</f>
        <v>155.77650000000003</v>
      </c>
      <c r="J573" t="str">
        <f>VLOOKUP(A573,Orders!$A:$G,6,0)</f>
        <v>Breakfast</v>
      </c>
      <c r="K573" t="str">
        <f>VLOOKUP(A573,Orders!$A:$G,5,0)</f>
        <v>UPI</v>
      </c>
    </row>
    <row r="574" spans="1:11" x14ac:dyDescent="0.3">
      <c r="A574" t="s">
        <v>262</v>
      </c>
      <c r="B574" t="s">
        <v>408</v>
      </c>
      <c r="C574">
        <v>1</v>
      </c>
      <c r="D574">
        <f>VLOOKUP(B574, Menu!$A:$F, 6, 0)</f>
        <v>70.540000000000006</v>
      </c>
      <c r="E574">
        <f>VLOOKUP(B574, Menu!$A:$F, 5, 0)</f>
        <v>35.81</v>
      </c>
      <c r="F574" t="str">
        <f>VLOOKUP(B574, Menu!$A:$F, 3, 0)</f>
        <v>Snack</v>
      </c>
      <c r="G574" s="5">
        <f>VLOOKUP(A574, Orders!$A:$B, 2, 0)</f>
        <v>45844.160682870373</v>
      </c>
      <c r="H574" t="str">
        <f>VLOOKUP(A574, Orders!$A:$C, 3, 0)</f>
        <v>Plant 2 Canteen</v>
      </c>
      <c r="I574">
        <f>C574*D574*(1-VLOOKUP(A574,Orders!$A:$G,7,0))</f>
        <v>61.369800000000005</v>
      </c>
      <c r="J574" t="str">
        <f>VLOOKUP(A574,Orders!$A:$G,6,0)</f>
        <v>Breakfast</v>
      </c>
      <c r="K574" t="str">
        <f>VLOOKUP(A574,Orders!$A:$G,5,0)</f>
        <v>Cash</v>
      </c>
    </row>
    <row r="575" spans="1:11" x14ac:dyDescent="0.3">
      <c r="A575" t="s">
        <v>262</v>
      </c>
      <c r="B575" t="s">
        <v>409</v>
      </c>
      <c r="C575">
        <v>2</v>
      </c>
      <c r="D575">
        <f>VLOOKUP(B575, Menu!$A:$F, 6, 0)</f>
        <v>28.43</v>
      </c>
      <c r="E575">
        <f>VLOOKUP(B575, Menu!$A:$F, 5, 0)</f>
        <v>13.89</v>
      </c>
      <c r="F575" t="str">
        <f>VLOOKUP(B575, Menu!$A:$F, 3, 0)</f>
        <v>Beverage</v>
      </c>
      <c r="G575" s="5">
        <f>VLOOKUP(A575, Orders!$A:$B, 2, 0)</f>
        <v>45844.160682870373</v>
      </c>
      <c r="H575" t="str">
        <f>VLOOKUP(A575, Orders!$A:$C, 3, 0)</f>
        <v>Plant 2 Canteen</v>
      </c>
      <c r="I575">
        <f>C575*D575*(1-VLOOKUP(A575,Orders!$A:$G,7,0))</f>
        <v>49.468199999999996</v>
      </c>
      <c r="J575" t="str">
        <f>VLOOKUP(A575,Orders!$A:$G,6,0)</f>
        <v>Breakfast</v>
      </c>
      <c r="K575" t="str">
        <f>VLOOKUP(A575,Orders!$A:$G,5,0)</f>
        <v>Cash</v>
      </c>
    </row>
    <row r="576" spans="1:11" x14ac:dyDescent="0.3">
      <c r="A576" t="s">
        <v>262</v>
      </c>
      <c r="B576" t="s">
        <v>415</v>
      </c>
      <c r="C576">
        <v>3</v>
      </c>
      <c r="D576">
        <f>VLOOKUP(B576, Menu!$A:$F, 6, 0)</f>
        <v>256.91000000000003</v>
      </c>
      <c r="E576">
        <f>VLOOKUP(B576, Menu!$A:$F, 5, 0)</f>
        <v>121.24</v>
      </c>
      <c r="F576" t="str">
        <f>VLOOKUP(B576, Menu!$A:$F, 3, 0)</f>
        <v>Hot Meal</v>
      </c>
      <c r="G576" s="5">
        <f>VLOOKUP(A576, Orders!$A:$B, 2, 0)</f>
        <v>45844.160682870373</v>
      </c>
      <c r="H576" t="str">
        <f>VLOOKUP(A576, Orders!$A:$C, 3, 0)</f>
        <v>Plant 2 Canteen</v>
      </c>
      <c r="I576">
        <f>C576*D576*(1-VLOOKUP(A576,Orders!$A:$G,7,0))</f>
        <v>670.53510000000006</v>
      </c>
      <c r="J576" t="str">
        <f>VLOOKUP(A576,Orders!$A:$G,6,0)</f>
        <v>Breakfast</v>
      </c>
      <c r="K576" t="str">
        <f>VLOOKUP(A576,Orders!$A:$G,5,0)</f>
        <v>Cash</v>
      </c>
    </row>
    <row r="577" spans="1:11" x14ac:dyDescent="0.3">
      <c r="A577" t="s">
        <v>262</v>
      </c>
      <c r="B577" t="s">
        <v>402</v>
      </c>
      <c r="C577">
        <v>2</v>
      </c>
      <c r="D577">
        <f>VLOOKUP(B577, Menu!$A:$F, 6, 0)</f>
        <v>30.34</v>
      </c>
      <c r="E577">
        <f>VLOOKUP(B577, Menu!$A:$F, 5, 0)</f>
        <v>14.18</v>
      </c>
      <c r="F577" t="str">
        <f>VLOOKUP(B577, Menu!$A:$F, 3, 0)</f>
        <v>Beverage</v>
      </c>
      <c r="G577" s="5">
        <f>VLOOKUP(A577, Orders!$A:$B, 2, 0)</f>
        <v>45844.160682870373</v>
      </c>
      <c r="H577" t="str">
        <f>VLOOKUP(A577, Orders!$A:$C, 3, 0)</f>
        <v>Plant 2 Canteen</v>
      </c>
      <c r="I577">
        <f>C577*D577*(1-VLOOKUP(A577,Orders!$A:$G,7,0))</f>
        <v>52.791600000000003</v>
      </c>
      <c r="J577" t="str">
        <f>VLOOKUP(A577,Orders!$A:$G,6,0)</f>
        <v>Breakfast</v>
      </c>
      <c r="K577" t="str">
        <f>VLOOKUP(A577,Orders!$A:$G,5,0)</f>
        <v>Cash</v>
      </c>
    </row>
    <row r="578" spans="1:11" x14ac:dyDescent="0.3">
      <c r="A578" t="s">
        <v>263</v>
      </c>
      <c r="B578" t="s">
        <v>402</v>
      </c>
      <c r="C578">
        <v>1</v>
      </c>
      <c r="D578">
        <f>VLOOKUP(B578, Menu!$A:$F, 6, 0)</f>
        <v>30.34</v>
      </c>
      <c r="E578">
        <f>VLOOKUP(B578, Menu!$A:$F, 5, 0)</f>
        <v>14.18</v>
      </c>
      <c r="F578" t="str">
        <f>VLOOKUP(B578, Menu!$A:$F, 3, 0)</f>
        <v>Beverage</v>
      </c>
      <c r="G578" s="5">
        <f>VLOOKUP(A578, Orders!$A:$B, 2, 0)</f>
        <v>45845.911377314813</v>
      </c>
      <c r="H578" t="str">
        <f>VLOOKUP(A578, Orders!$A:$C, 3, 0)</f>
        <v>Head Office Café</v>
      </c>
      <c r="I578">
        <f>C578*D578*(1-VLOOKUP(A578,Orders!$A:$G,7,0))</f>
        <v>30.34</v>
      </c>
      <c r="J578" t="str">
        <f>VLOOKUP(A578,Orders!$A:$G,6,0)</f>
        <v>Dinner</v>
      </c>
      <c r="K578" t="str">
        <f>VLOOKUP(A578,Orders!$A:$G,5,0)</f>
        <v>UPI</v>
      </c>
    </row>
    <row r="579" spans="1:11" x14ac:dyDescent="0.3">
      <c r="A579" t="s">
        <v>263</v>
      </c>
      <c r="B579" t="s">
        <v>417</v>
      </c>
      <c r="C579">
        <v>1</v>
      </c>
      <c r="D579">
        <f>VLOOKUP(B579, Menu!$A:$F, 6, 0)</f>
        <v>146.4</v>
      </c>
      <c r="E579">
        <f>VLOOKUP(B579, Menu!$A:$F, 5, 0)</f>
        <v>80.92</v>
      </c>
      <c r="F579" t="str">
        <f>VLOOKUP(B579, Menu!$A:$F, 3, 0)</f>
        <v>Hot Meal</v>
      </c>
      <c r="G579" s="5">
        <f>VLOOKUP(A579, Orders!$A:$B, 2, 0)</f>
        <v>45845.911377314813</v>
      </c>
      <c r="H579" t="str">
        <f>VLOOKUP(A579, Orders!$A:$C, 3, 0)</f>
        <v>Head Office Café</v>
      </c>
      <c r="I579">
        <f>C579*D579*(1-VLOOKUP(A579,Orders!$A:$G,7,0))</f>
        <v>146.4</v>
      </c>
      <c r="J579" t="str">
        <f>VLOOKUP(A579,Orders!$A:$G,6,0)</f>
        <v>Dinner</v>
      </c>
      <c r="K579" t="str">
        <f>VLOOKUP(A579,Orders!$A:$G,5,0)</f>
        <v>UPI</v>
      </c>
    </row>
    <row r="580" spans="1:11" x14ac:dyDescent="0.3">
      <c r="A580" t="s">
        <v>263</v>
      </c>
      <c r="B580" t="s">
        <v>403</v>
      </c>
      <c r="C580">
        <v>2</v>
      </c>
      <c r="D580">
        <f>VLOOKUP(B580, Menu!$A:$F, 6, 0)</f>
        <v>76.55</v>
      </c>
      <c r="E580">
        <f>VLOOKUP(B580, Menu!$A:$F, 5, 0)</f>
        <v>38.229999999999997</v>
      </c>
      <c r="F580" t="str">
        <f>VLOOKUP(B580, Menu!$A:$F, 3, 0)</f>
        <v>Dessert</v>
      </c>
      <c r="G580" s="5">
        <f>VLOOKUP(A580, Orders!$A:$B, 2, 0)</f>
        <v>45845.911377314813</v>
      </c>
      <c r="H580" t="str">
        <f>VLOOKUP(A580, Orders!$A:$C, 3, 0)</f>
        <v>Head Office Café</v>
      </c>
      <c r="I580">
        <f>C580*D580*(1-VLOOKUP(A580,Orders!$A:$G,7,0))</f>
        <v>153.1</v>
      </c>
      <c r="J580" t="str">
        <f>VLOOKUP(A580,Orders!$A:$G,6,0)</f>
        <v>Dinner</v>
      </c>
      <c r="K580" t="str">
        <f>VLOOKUP(A580,Orders!$A:$G,5,0)</f>
        <v>UPI</v>
      </c>
    </row>
    <row r="581" spans="1:11" x14ac:dyDescent="0.3">
      <c r="A581" t="s">
        <v>264</v>
      </c>
      <c r="B581" t="s">
        <v>405</v>
      </c>
      <c r="C581">
        <v>2</v>
      </c>
      <c r="D581">
        <f>VLOOKUP(B581, Menu!$A:$F, 6, 0)</f>
        <v>170.83</v>
      </c>
      <c r="E581">
        <f>VLOOKUP(B581, Menu!$A:$F, 5, 0)</f>
        <v>74.069999999999993</v>
      </c>
      <c r="F581" t="str">
        <f>VLOOKUP(B581, Menu!$A:$F, 3, 0)</f>
        <v>Hot Meal</v>
      </c>
      <c r="G581" s="5">
        <f>VLOOKUP(A581, Orders!$A:$B, 2, 0)</f>
        <v>45861.871921296297</v>
      </c>
      <c r="H581" t="str">
        <f>VLOOKUP(A581, Orders!$A:$C, 3, 0)</f>
        <v>Plant 2 Canteen</v>
      </c>
      <c r="I581">
        <f>C581*D581*(1-VLOOKUP(A581,Orders!$A:$G,7,0))</f>
        <v>327.99360000000001</v>
      </c>
      <c r="J581" t="str">
        <f>VLOOKUP(A581,Orders!$A:$G,6,0)</f>
        <v>Dinner</v>
      </c>
      <c r="K581" t="str">
        <f>VLOOKUP(A581,Orders!$A:$G,5,0)</f>
        <v>UPI</v>
      </c>
    </row>
    <row r="582" spans="1:11" x14ac:dyDescent="0.3">
      <c r="A582" t="s">
        <v>264</v>
      </c>
      <c r="B582" t="s">
        <v>413</v>
      </c>
      <c r="C582">
        <v>1</v>
      </c>
      <c r="D582">
        <f>VLOOKUP(B582, Menu!$A:$F, 6, 0)</f>
        <v>54.2</v>
      </c>
      <c r="E582">
        <f>VLOOKUP(B582, Menu!$A:$F, 5, 0)</f>
        <v>21.95</v>
      </c>
      <c r="F582" t="str">
        <f>VLOOKUP(B582, Menu!$A:$F, 3, 0)</f>
        <v>Dessert</v>
      </c>
      <c r="G582" s="5">
        <f>VLOOKUP(A582, Orders!$A:$B, 2, 0)</f>
        <v>45861.871921296297</v>
      </c>
      <c r="H582" t="str">
        <f>VLOOKUP(A582, Orders!$A:$C, 3, 0)</f>
        <v>Plant 2 Canteen</v>
      </c>
      <c r="I582">
        <f>C582*D582*(1-VLOOKUP(A582,Orders!$A:$G,7,0))</f>
        <v>52.032000000000004</v>
      </c>
      <c r="J582" t="str">
        <f>VLOOKUP(A582,Orders!$A:$G,6,0)</f>
        <v>Dinner</v>
      </c>
      <c r="K582" t="str">
        <f>VLOOKUP(A582,Orders!$A:$G,5,0)</f>
        <v>UPI</v>
      </c>
    </row>
    <row r="583" spans="1:11" x14ac:dyDescent="0.3">
      <c r="A583" t="s">
        <v>265</v>
      </c>
      <c r="B583" t="s">
        <v>413</v>
      </c>
      <c r="C583">
        <v>2</v>
      </c>
      <c r="D583">
        <f>VLOOKUP(B583, Menu!$A:$F, 6, 0)</f>
        <v>54.2</v>
      </c>
      <c r="E583">
        <f>VLOOKUP(B583, Menu!$A:$F, 5, 0)</f>
        <v>21.95</v>
      </c>
      <c r="F583" t="str">
        <f>VLOOKUP(B583, Menu!$A:$F, 3, 0)</f>
        <v>Dessert</v>
      </c>
      <c r="G583" s="5">
        <f>VLOOKUP(A583, Orders!$A:$B, 2, 0)</f>
        <v>45866.170706018522</v>
      </c>
      <c r="H583" t="str">
        <f>VLOOKUP(A583, Orders!$A:$C, 3, 0)</f>
        <v>Plant 1 Canteen</v>
      </c>
      <c r="I583">
        <f>C583*D583*(1-VLOOKUP(A583,Orders!$A:$G,7,0))</f>
        <v>100.812</v>
      </c>
      <c r="J583" t="str">
        <f>VLOOKUP(A583,Orders!$A:$G,6,0)</f>
        <v>Breakfast</v>
      </c>
      <c r="K583" t="str">
        <f>VLOOKUP(A583,Orders!$A:$G,5,0)</f>
        <v>UPI</v>
      </c>
    </row>
    <row r="584" spans="1:11" x14ac:dyDescent="0.3">
      <c r="A584" t="s">
        <v>266</v>
      </c>
      <c r="B584" t="s">
        <v>407</v>
      </c>
      <c r="C584">
        <v>1</v>
      </c>
      <c r="D584">
        <f>VLOOKUP(B584, Menu!$A:$F, 6, 0)</f>
        <v>246.09</v>
      </c>
      <c r="E584">
        <f>VLOOKUP(B584, Menu!$A:$F, 5, 0)</f>
        <v>112.08</v>
      </c>
      <c r="F584" t="str">
        <f>VLOOKUP(B584, Menu!$A:$F, 3, 0)</f>
        <v>Hot Meal</v>
      </c>
      <c r="G584" s="5">
        <f>VLOOKUP(A584, Orders!$A:$B, 2, 0)</f>
        <v>45856.191979166673</v>
      </c>
      <c r="H584" t="str">
        <f>VLOOKUP(A584, Orders!$A:$C, 3, 0)</f>
        <v>Plant 1 Canteen</v>
      </c>
      <c r="I584">
        <f>C584*D584*(1-VLOOKUP(A584,Orders!$A:$G,7,0))</f>
        <v>216.5592</v>
      </c>
      <c r="J584" t="str">
        <f>VLOOKUP(A584,Orders!$A:$G,6,0)</f>
        <v>Breakfast</v>
      </c>
      <c r="K584" t="str">
        <f>VLOOKUP(A584,Orders!$A:$G,5,0)</f>
        <v>Cash</v>
      </c>
    </row>
    <row r="585" spans="1:11" x14ac:dyDescent="0.3">
      <c r="A585" t="s">
        <v>266</v>
      </c>
      <c r="B585" t="s">
        <v>413</v>
      </c>
      <c r="C585">
        <v>3</v>
      </c>
      <c r="D585">
        <f>VLOOKUP(B585, Menu!$A:$F, 6, 0)</f>
        <v>54.2</v>
      </c>
      <c r="E585">
        <f>VLOOKUP(B585, Menu!$A:$F, 5, 0)</f>
        <v>21.95</v>
      </c>
      <c r="F585" t="str">
        <f>VLOOKUP(B585, Menu!$A:$F, 3, 0)</f>
        <v>Dessert</v>
      </c>
      <c r="G585" s="5">
        <f>VLOOKUP(A585, Orders!$A:$B, 2, 0)</f>
        <v>45856.191979166673</v>
      </c>
      <c r="H585" t="str">
        <f>VLOOKUP(A585, Orders!$A:$C, 3, 0)</f>
        <v>Plant 1 Canteen</v>
      </c>
      <c r="I585">
        <f>C585*D585*(1-VLOOKUP(A585,Orders!$A:$G,7,0))</f>
        <v>143.08800000000002</v>
      </c>
      <c r="J585" t="str">
        <f>VLOOKUP(A585,Orders!$A:$G,6,0)</f>
        <v>Breakfast</v>
      </c>
      <c r="K585" t="str">
        <f>VLOOKUP(A585,Orders!$A:$G,5,0)</f>
        <v>Cash</v>
      </c>
    </row>
    <row r="586" spans="1:11" x14ac:dyDescent="0.3">
      <c r="A586" t="s">
        <v>266</v>
      </c>
      <c r="B586" t="s">
        <v>408</v>
      </c>
      <c r="C586">
        <v>1</v>
      </c>
      <c r="D586">
        <f>VLOOKUP(B586, Menu!$A:$F, 6, 0)</f>
        <v>70.540000000000006</v>
      </c>
      <c r="E586">
        <f>VLOOKUP(B586, Menu!$A:$F, 5, 0)</f>
        <v>35.81</v>
      </c>
      <c r="F586" t="str">
        <f>VLOOKUP(B586, Menu!$A:$F, 3, 0)</f>
        <v>Snack</v>
      </c>
      <c r="G586" s="5">
        <f>VLOOKUP(A586, Orders!$A:$B, 2, 0)</f>
        <v>45856.191979166673</v>
      </c>
      <c r="H586" t="str">
        <f>VLOOKUP(A586, Orders!$A:$C, 3, 0)</f>
        <v>Plant 1 Canteen</v>
      </c>
      <c r="I586">
        <f>C586*D586*(1-VLOOKUP(A586,Orders!$A:$G,7,0))</f>
        <v>62.075200000000002</v>
      </c>
      <c r="J586" t="str">
        <f>VLOOKUP(A586,Orders!$A:$G,6,0)</f>
        <v>Breakfast</v>
      </c>
      <c r="K586" t="str">
        <f>VLOOKUP(A586,Orders!$A:$G,5,0)</f>
        <v>Cash</v>
      </c>
    </row>
    <row r="587" spans="1:11" x14ac:dyDescent="0.3">
      <c r="A587" t="s">
        <v>266</v>
      </c>
      <c r="B587" t="s">
        <v>406</v>
      </c>
      <c r="C587">
        <v>1</v>
      </c>
      <c r="D587">
        <f>VLOOKUP(B587, Menu!$A:$F, 6, 0)</f>
        <v>38.06</v>
      </c>
      <c r="E587">
        <f>VLOOKUP(B587, Menu!$A:$F, 5, 0)</f>
        <v>19.55</v>
      </c>
      <c r="F587" t="str">
        <f>VLOOKUP(B587, Menu!$A:$F, 3, 0)</f>
        <v>Snack</v>
      </c>
      <c r="G587" s="5">
        <f>VLOOKUP(A587, Orders!$A:$B, 2, 0)</f>
        <v>45856.191979166673</v>
      </c>
      <c r="H587" t="str">
        <f>VLOOKUP(A587, Orders!$A:$C, 3, 0)</f>
        <v>Plant 1 Canteen</v>
      </c>
      <c r="I587">
        <f>C587*D587*(1-VLOOKUP(A587,Orders!$A:$G,7,0))</f>
        <v>33.492800000000003</v>
      </c>
      <c r="J587" t="str">
        <f>VLOOKUP(A587,Orders!$A:$G,6,0)</f>
        <v>Breakfast</v>
      </c>
      <c r="K587" t="str">
        <f>VLOOKUP(A587,Orders!$A:$G,5,0)</f>
        <v>Cash</v>
      </c>
    </row>
    <row r="588" spans="1:11" x14ac:dyDescent="0.3">
      <c r="A588" t="s">
        <v>267</v>
      </c>
      <c r="B588" t="s">
        <v>405</v>
      </c>
      <c r="C588">
        <v>1</v>
      </c>
      <c r="D588">
        <f>VLOOKUP(B588, Menu!$A:$F, 6, 0)</f>
        <v>170.83</v>
      </c>
      <c r="E588">
        <f>VLOOKUP(B588, Menu!$A:$F, 5, 0)</f>
        <v>74.069999999999993</v>
      </c>
      <c r="F588" t="str">
        <f>VLOOKUP(B588, Menu!$A:$F, 3, 0)</f>
        <v>Hot Meal</v>
      </c>
      <c r="G588" s="5">
        <f>VLOOKUP(A588, Orders!$A:$B, 2, 0)</f>
        <v>45840.692789351851</v>
      </c>
      <c r="H588" t="str">
        <f>VLOOKUP(A588, Orders!$A:$C, 3, 0)</f>
        <v>Plant 2 Canteen</v>
      </c>
      <c r="I588">
        <f>C588*D588*(1-VLOOKUP(A588,Orders!$A:$G,7,0))</f>
        <v>170.83</v>
      </c>
      <c r="J588" t="str">
        <f>VLOOKUP(A588,Orders!$A:$G,6,0)</f>
        <v>Dinner</v>
      </c>
      <c r="K588" t="str">
        <f>VLOOKUP(A588,Orders!$A:$G,5,0)</f>
        <v>UPI</v>
      </c>
    </row>
    <row r="589" spans="1:11" x14ac:dyDescent="0.3">
      <c r="A589" t="s">
        <v>267</v>
      </c>
      <c r="B589" t="s">
        <v>409</v>
      </c>
      <c r="C589">
        <v>1</v>
      </c>
      <c r="D589">
        <f>VLOOKUP(B589, Menu!$A:$F, 6, 0)</f>
        <v>28.43</v>
      </c>
      <c r="E589">
        <f>VLOOKUP(B589, Menu!$A:$F, 5, 0)</f>
        <v>13.89</v>
      </c>
      <c r="F589" t="str">
        <f>VLOOKUP(B589, Menu!$A:$F, 3, 0)</f>
        <v>Beverage</v>
      </c>
      <c r="G589" s="5">
        <f>VLOOKUP(A589, Orders!$A:$B, 2, 0)</f>
        <v>45840.692789351851</v>
      </c>
      <c r="H589" t="str">
        <f>VLOOKUP(A589, Orders!$A:$C, 3, 0)</f>
        <v>Plant 2 Canteen</v>
      </c>
      <c r="I589">
        <f>C589*D589*(1-VLOOKUP(A589,Orders!$A:$G,7,0))</f>
        <v>28.43</v>
      </c>
      <c r="J589" t="str">
        <f>VLOOKUP(A589,Orders!$A:$G,6,0)</f>
        <v>Dinner</v>
      </c>
      <c r="K589" t="str">
        <f>VLOOKUP(A589,Orders!$A:$G,5,0)</f>
        <v>UPI</v>
      </c>
    </row>
    <row r="590" spans="1:11" x14ac:dyDescent="0.3">
      <c r="A590" t="s">
        <v>268</v>
      </c>
      <c r="B590" t="s">
        <v>414</v>
      </c>
      <c r="C590">
        <v>1</v>
      </c>
      <c r="D590">
        <f>VLOOKUP(B590, Menu!$A:$F, 6, 0)</f>
        <v>116.8</v>
      </c>
      <c r="E590">
        <f>VLOOKUP(B590, Menu!$A:$F, 5, 0)</f>
        <v>48.97</v>
      </c>
      <c r="F590" t="str">
        <f>VLOOKUP(B590, Menu!$A:$F, 3, 0)</f>
        <v>Dessert</v>
      </c>
      <c r="G590" s="5">
        <f>VLOOKUP(A590, Orders!$A:$B, 2, 0)</f>
        <v>45840.782187500001</v>
      </c>
      <c r="H590" t="str">
        <f>VLOOKUP(A590, Orders!$A:$C, 3, 0)</f>
        <v>Plant 1 Canteen</v>
      </c>
      <c r="I590">
        <f>C590*D590*(1-VLOOKUP(A590,Orders!$A:$G,7,0))</f>
        <v>103.952</v>
      </c>
      <c r="J590" t="str">
        <f>VLOOKUP(A590,Orders!$A:$G,6,0)</f>
        <v>Dinner</v>
      </c>
      <c r="K590" t="str">
        <f>VLOOKUP(A590,Orders!$A:$G,5,0)</f>
        <v>Cash</v>
      </c>
    </row>
    <row r="591" spans="1:11" x14ac:dyDescent="0.3">
      <c r="A591" t="s">
        <v>268</v>
      </c>
      <c r="B591" t="s">
        <v>401</v>
      </c>
      <c r="C591">
        <v>2</v>
      </c>
      <c r="D591">
        <f>VLOOKUP(B591, Menu!$A:$F, 6, 0)</f>
        <v>52.45</v>
      </c>
      <c r="E591">
        <f>VLOOKUP(B591, Menu!$A:$F, 5, 0)</f>
        <v>25.8</v>
      </c>
      <c r="F591" t="str">
        <f>VLOOKUP(B591, Menu!$A:$F, 3, 0)</f>
        <v>Snack</v>
      </c>
      <c r="G591" s="5">
        <f>VLOOKUP(A591, Orders!$A:$B, 2, 0)</f>
        <v>45840.782187500001</v>
      </c>
      <c r="H591" t="str">
        <f>VLOOKUP(A591, Orders!$A:$C, 3, 0)</f>
        <v>Plant 1 Canteen</v>
      </c>
      <c r="I591">
        <f>C591*D591*(1-VLOOKUP(A591,Orders!$A:$G,7,0))</f>
        <v>93.361000000000004</v>
      </c>
      <c r="J591" t="str">
        <f>VLOOKUP(A591,Orders!$A:$G,6,0)</f>
        <v>Dinner</v>
      </c>
      <c r="K591" t="str">
        <f>VLOOKUP(A591,Orders!$A:$G,5,0)</f>
        <v>Cash</v>
      </c>
    </row>
    <row r="592" spans="1:11" x14ac:dyDescent="0.3">
      <c r="A592" t="s">
        <v>268</v>
      </c>
      <c r="B592" t="s">
        <v>404</v>
      </c>
      <c r="C592">
        <v>2</v>
      </c>
      <c r="D592">
        <f>VLOOKUP(B592, Menu!$A:$F, 6, 0)</f>
        <v>32.979999999999997</v>
      </c>
      <c r="E592">
        <f>VLOOKUP(B592, Menu!$A:$F, 5, 0)</f>
        <v>11.84</v>
      </c>
      <c r="F592" t="str">
        <f>VLOOKUP(B592, Menu!$A:$F, 3, 0)</f>
        <v>Beverage</v>
      </c>
      <c r="G592" s="5">
        <f>VLOOKUP(A592, Orders!$A:$B, 2, 0)</f>
        <v>45840.782187500001</v>
      </c>
      <c r="H592" t="str">
        <f>VLOOKUP(A592, Orders!$A:$C, 3, 0)</f>
        <v>Plant 1 Canteen</v>
      </c>
      <c r="I592">
        <f>C592*D592*(1-VLOOKUP(A592,Orders!$A:$G,7,0))</f>
        <v>58.704399999999993</v>
      </c>
      <c r="J592" t="str">
        <f>VLOOKUP(A592,Orders!$A:$G,6,0)</f>
        <v>Dinner</v>
      </c>
      <c r="K592" t="str">
        <f>VLOOKUP(A592,Orders!$A:$G,5,0)</f>
        <v>Cash</v>
      </c>
    </row>
    <row r="593" spans="1:11" x14ac:dyDescent="0.3">
      <c r="A593" t="s">
        <v>268</v>
      </c>
      <c r="B593" t="s">
        <v>403</v>
      </c>
      <c r="C593">
        <v>3</v>
      </c>
      <c r="D593">
        <f>VLOOKUP(B593, Menu!$A:$F, 6, 0)</f>
        <v>76.55</v>
      </c>
      <c r="E593">
        <f>VLOOKUP(B593, Menu!$A:$F, 5, 0)</f>
        <v>38.229999999999997</v>
      </c>
      <c r="F593" t="str">
        <f>VLOOKUP(B593, Menu!$A:$F, 3, 0)</f>
        <v>Dessert</v>
      </c>
      <c r="G593" s="5">
        <f>VLOOKUP(A593, Orders!$A:$B, 2, 0)</f>
        <v>45840.782187500001</v>
      </c>
      <c r="H593" t="str">
        <f>VLOOKUP(A593, Orders!$A:$C, 3, 0)</f>
        <v>Plant 1 Canteen</v>
      </c>
      <c r="I593">
        <f>C593*D593*(1-VLOOKUP(A593,Orders!$A:$G,7,0))</f>
        <v>204.38849999999999</v>
      </c>
      <c r="J593" t="str">
        <f>VLOOKUP(A593,Orders!$A:$G,6,0)</f>
        <v>Dinner</v>
      </c>
      <c r="K593" t="str">
        <f>VLOOKUP(A593,Orders!$A:$G,5,0)</f>
        <v>Cash</v>
      </c>
    </row>
    <row r="594" spans="1:11" x14ac:dyDescent="0.3">
      <c r="A594" t="s">
        <v>269</v>
      </c>
      <c r="B594" t="s">
        <v>411</v>
      </c>
      <c r="C594">
        <v>1</v>
      </c>
      <c r="D594">
        <f>VLOOKUP(B594, Menu!$A:$F, 6, 0)</f>
        <v>22.2</v>
      </c>
      <c r="E594">
        <f>VLOOKUP(B594, Menu!$A:$F, 5, 0)</f>
        <v>9.3800000000000008</v>
      </c>
      <c r="F594" t="str">
        <f>VLOOKUP(B594, Menu!$A:$F, 3, 0)</f>
        <v>Beverage</v>
      </c>
      <c r="G594" s="5">
        <f>VLOOKUP(A594, Orders!$A:$B, 2, 0)</f>
        <v>45880.121215277781</v>
      </c>
      <c r="H594" t="str">
        <f>VLOOKUP(A594, Orders!$A:$C, 3, 0)</f>
        <v>Head Office Café</v>
      </c>
      <c r="I594">
        <f>C594*D594*(1-VLOOKUP(A594,Orders!$A:$G,7,0))</f>
        <v>20.867999999999999</v>
      </c>
      <c r="J594" t="str">
        <f>VLOOKUP(A594,Orders!$A:$G,6,0)</f>
        <v>Breakfast</v>
      </c>
      <c r="K594" t="str">
        <f>VLOOKUP(A594,Orders!$A:$G,5,0)</f>
        <v>UPI</v>
      </c>
    </row>
    <row r="595" spans="1:11" x14ac:dyDescent="0.3">
      <c r="A595" t="s">
        <v>269</v>
      </c>
      <c r="B595" t="s">
        <v>407</v>
      </c>
      <c r="C595">
        <v>2</v>
      </c>
      <c r="D595">
        <f>VLOOKUP(B595, Menu!$A:$F, 6, 0)</f>
        <v>246.09</v>
      </c>
      <c r="E595">
        <f>VLOOKUP(B595, Menu!$A:$F, 5, 0)</f>
        <v>112.08</v>
      </c>
      <c r="F595" t="str">
        <f>VLOOKUP(B595, Menu!$A:$F, 3, 0)</f>
        <v>Hot Meal</v>
      </c>
      <c r="G595" s="5">
        <f>VLOOKUP(A595, Orders!$A:$B, 2, 0)</f>
        <v>45880.121215277781</v>
      </c>
      <c r="H595" t="str">
        <f>VLOOKUP(A595, Orders!$A:$C, 3, 0)</f>
        <v>Head Office Café</v>
      </c>
      <c r="I595">
        <f>C595*D595*(1-VLOOKUP(A595,Orders!$A:$G,7,0))</f>
        <v>462.64920000000001</v>
      </c>
      <c r="J595" t="str">
        <f>VLOOKUP(A595,Orders!$A:$G,6,0)</f>
        <v>Breakfast</v>
      </c>
      <c r="K595" t="str">
        <f>VLOOKUP(A595,Orders!$A:$G,5,0)</f>
        <v>UPI</v>
      </c>
    </row>
    <row r="596" spans="1:11" x14ac:dyDescent="0.3">
      <c r="A596" t="s">
        <v>270</v>
      </c>
      <c r="B596" t="s">
        <v>419</v>
      </c>
      <c r="C596">
        <v>2</v>
      </c>
      <c r="D596">
        <f>VLOOKUP(B596, Menu!$A:$F, 6, 0)</f>
        <v>50.19</v>
      </c>
      <c r="E596">
        <f>VLOOKUP(B596, Menu!$A:$F, 5, 0)</f>
        <v>22.61</v>
      </c>
      <c r="F596" t="str">
        <f>VLOOKUP(B596, Menu!$A:$F, 3, 0)</f>
        <v>Snack</v>
      </c>
      <c r="G596" s="5">
        <f>VLOOKUP(A596, Orders!$A:$B, 2, 0)</f>
        <v>45885.488888888889</v>
      </c>
      <c r="H596" t="str">
        <f>VLOOKUP(A596, Orders!$A:$C, 3, 0)</f>
        <v>Plant 2 Canteen</v>
      </c>
      <c r="I596">
        <f>C596*D596*(1-VLOOKUP(A596,Orders!$A:$G,7,0))</f>
        <v>98.372399999999999</v>
      </c>
      <c r="J596" t="str">
        <f>VLOOKUP(A596,Orders!$A:$G,6,0)</f>
        <v>Lunch</v>
      </c>
      <c r="K596" t="str">
        <f>VLOOKUP(A596,Orders!$A:$G,5,0)</f>
        <v>UPI</v>
      </c>
    </row>
    <row r="597" spans="1:11" x14ac:dyDescent="0.3">
      <c r="A597" t="s">
        <v>270</v>
      </c>
      <c r="B597" t="s">
        <v>402</v>
      </c>
      <c r="C597">
        <v>1</v>
      </c>
      <c r="D597">
        <f>VLOOKUP(B597, Menu!$A:$F, 6, 0)</f>
        <v>30.34</v>
      </c>
      <c r="E597">
        <f>VLOOKUP(B597, Menu!$A:$F, 5, 0)</f>
        <v>14.18</v>
      </c>
      <c r="F597" t="str">
        <f>VLOOKUP(B597, Menu!$A:$F, 3, 0)</f>
        <v>Beverage</v>
      </c>
      <c r="G597" s="5">
        <f>VLOOKUP(A597, Orders!$A:$B, 2, 0)</f>
        <v>45885.488888888889</v>
      </c>
      <c r="H597" t="str">
        <f>VLOOKUP(A597, Orders!$A:$C, 3, 0)</f>
        <v>Plant 2 Canteen</v>
      </c>
      <c r="I597">
        <f>C597*D597*(1-VLOOKUP(A597,Orders!$A:$G,7,0))</f>
        <v>29.7332</v>
      </c>
      <c r="J597" t="str">
        <f>VLOOKUP(A597,Orders!$A:$G,6,0)</f>
        <v>Lunch</v>
      </c>
      <c r="K597" t="str">
        <f>VLOOKUP(A597,Orders!$A:$G,5,0)</f>
        <v>UPI</v>
      </c>
    </row>
    <row r="598" spans="1:11" x14ac:dyDescent="0.3">
      <c r="A598" t="s">
        <v>271</v>
      </c>
      <c r="B598" t="s">
        <v>418</v>
      </c>
      <c r="C598">
        <v>1</v>
      </c>
      <c r="D598">
        <f>VLOOKUP(B598, Menu!$A:$F, 6, 0)</f>
        <v>39.950000000000003</v>
      </c>
      <c r="E598">
        <f>VLOOKUP(B598, Menu!$A:$F, 5, 0)</f>
        <v>15.51</v>
      </c>
      <c r="F598" t="str">
        <f>VLOOKUP(B598, Menu!$A:$F, 3, 0)</f>
        <v>Snack</v>
      </c>
      <c r="G598" s="5">
        <f>VLOOKUP(A598, Orders!$A:$B, 2, 0)</f>
        <v>45883.135370370372</v>
      </c>
      <c r="H598" t="str">
        <f>VLOOKUP(A598, Orders!$A:$C, 3, 0)</f>
        <v>Head Office Café</v>
      </c>
      <c r="I598">
        <f>C598*D598*(1-VLOOKUP(A598,Orders!$A:$G,7,0))</f>
        <v>36.754000000000005</v>
      </c>
      <c r="J598" t="str">
        <f>VLOOKUP(A598,Orders!$A:$G,6,0)</f>
        <v>Breakfast</v>
      </c>
      <c r="K598" t="str">
        <f>VLOOKUP(A598,Orders!$A:$G,5,0)</f>
        <v>UPI</v>
      </c>
    </row>
    <row r="599" spans="1:11" x14ac:dyDescent="0.3">
      <c r="A599" t="s">
        <v>272</v>
      </c>
      <c r="B599" t="s">
        <v>417</v>
      </c>
      <c r="C599">
        <v>1</v>
      </c>
      <c r="D599">
        <f>VLOOKUP(B599, Menu!$A:$F, 6, 0)</f>
        <v>146.4</v>
      </c>
      <c r="E599">
        <f>VLOOKUP(B599, Menu!$A:$F, 5, 0)</f>
        <v>80.92</v>
      </c>
      <c r="F599" t="str">
        <f>VLOOKUP(B599, Menu!$A:$F, 3, 0)</f>
        <v>Hot Meal</v>
      </c>
      <c r="G599" s="5">
        <f>VLOOKUP(A599, Orders!$A:$B, 2, 0)</f>
        <v>45889.877881944441</v>
      </c>
      <c r="H599" t="str">
        <f>VLOOKUP(A599, Orders!$A:$C, 3, 0)</f>
        <v>Plant 2 Canteen</v>
      </c>
      <c r="I599">
        <f>C599*D599*(1-VLOOKUP(A599,Orders!$A:$G,7,0))</f>
        <v>136.15199999999999</v>
      </c>
      <c r="J599" t="str">
        <f>VLOOKUP(A599,Orders!$A:$G,6,0)</f>
        <v>Dinner</v>
      </c>
      <c r="K599" t="str">
        <f>VLOOKUP(A599,Orders!$A:$G,5,0)</f>
        <v>UPI</v>
      </c>
    </row>
    <row r="600" spans="1:11" x14ac:dyDescent="0.3">
      <c r="A600" t="s">
        <v>273</v>
      </c>
      <c r="B600" t="s">
        <v>408</v>
      </c>
      <c r="C600">
        <v>2</v>
      </c>
      <c r="D600">
        <f>VLOOKUP(B600, Menu!$A:$F, 6, 0)</f>
        <v>70.540000000000006</v>
      </c>
      <c r="E600">
        <f>VLOOKUP(B600, Menu!$A:$F, 5, 0)</f>
        <v>35.81</v>
      </c>
      <c r="F600" t="str">
        <f>VLOOKUP(B600, Menu!$A:$F, 3, 0)</f>
        <v>Snack</v>
      </c>
      <c r="G600" s="5">
        <f>VLOOKUP(A600, Orders!$A:$B, 2, 0)</f>
        <v>45845.155555555553</v>
      </c>
      <c r="H600" t="str">
        <f>VLOOKUP(A600, Orders!$A:$C, 3, 0)</f>
        <v>Plant 2 Canteen</v>
      </c>
      <c r="I600">
        <f>C600*D600*(1-VLOOKUP(A600,Orders!$A:$G,7,0))</f>
        <v>135.43680000000001</v>
      </c>
      <c r="J600" t="str">
        <f>VLOOKUP(A600,Orders!$A:$G,6,0)</f>
        <v>Breakfast</v>
      </c>
      <c r="K600" t="str">
        <f>VLOOKUP(A600,Orders!$A:$G,5,0)</f>
        <v>Card</v>
      </c>
    </row>
    <row r="601" spans="1:11" x14ac:dyDescent="0.3">
      <c r="A601" t="s">
        <v>273</v>
      </c>
      <c r="B601" t="s">
        <v>412</v>
      </c>
      <c r="C601">
        <v>1</v>
      </c>
      <c r="D601">
        <f>VLOOKUP(B601, Menu!$A:$F, 6, 0)</f>
        <v>57.07</v>
      </c>
      <c r="E601">
        <f>VLOOKUP(B601, Menu!$A:$F, 5, 0)</f>
        <v>29.14</v>
      </c>
      <c r="F601" t="str">
        <f>VLOOKUP(B601, Menu!$A:$F, 3, 0)</f>
        <v>Dessert</v>
      </c>
      <c r="G601" s="5">
        <f>VLOOKUP(A601, Orders!$A:$B, 2, 0)</f>
        <v>45845.155555555553</v>
      </c>
      <c r="H601" t="str">
        <f>VLOOKUP(A601, Orders!$A:$C, 3, 0)</f>
        <v>Plant 2 Canteen</v>
      </c>
      <c r="I601">
        <f>C601*D601*(1-VLOOKUP(A601,Orders!$A:$G,7,0))</f>
        <v>54.787199999999999</v>
      </c>
      <c r="J601" t="str">
        <f>VLOOKUP(A601,Orders!$A:$G,6,0)</f>
        <v>Breakfast</v>
      </c>
      <c r="K601" t="str">
        <f>VLOOKUP(A601,Orders!$A:$G,5,0)</f>
        <v>Card</v>
      </c>
    </row>
    <row r="602" spans="1:11" x14ac:dyDescent="0.3">
      <c r="A602" t="s">
        <v>274</v>
      </c>
      <c r="B602" t="s">
        <v>418</v>
      </c>
      <c r="C602">
        <v>2</v>
      </c>
      <c r="D602">
        <f>VLOOKUP(B602, Menu!$A:$F, 6, 0)</f>
        <v>39.950000000000003</v>
      </c>
      <c r="E602">
        <f>VLOOKUP(B602, Menu!$A:$F, 5, 0)</f>
        <v>15.51</v>
      </c>
      <c r="F602" t="str">
        <f>VLOOKUP(B602, Menu!$A:$F, 3, 0)</f>
        <v>Snack</v>
      </c>
      <c r="G602" s="5">
        <f>VLOOKUP(A602, Orders!$A:$B, 2, 0)</f>
        <v>45886.850381944438</v>
      </c>
      <c r="H602" t="str">
        <f>VLOOKUP(A602, Orders!$A:$C, 3, 0)</f>
        <v>Head Office Café</v>
      </c>
      <c r="I602">
        <f>C602*D602*(1-VLOOKUP(A602,Orders!$A:$G,7,0))</f>
        <v>75.105999999999995</v>
      </c>
      <c r="J602" t="str">
        <f>VLOOKUP(A602,Orders!$A:$G,6,0)</f>
        <v>Dinner</v>
      </c>
      <c r="K602" t="str">
        <f>VLOOKUP(A602,Orders!$A:$G,5,0)</f>
        <v>Cash</v>
      </c>
    </row>
    <row r="603" spans="1:11" x14ac:dyDescent="0.3">
      <c r="A603" t="s">
        <v>275</v>
      </c>
      <c r="B603" t="s">
        <v>403</v>
      </c>
      <c r="C603">
        <v>2</v>
      </c>
      <c r="D603">
        <f>VLOOKUP(B603, Menu!$A:$F, 6, 0)</f>
        <v>76.55</v>
      </c>
      <c r="E603">
        <f>VLOOKUP(B603, Menu!$A:$F, 5, 0)</f>
        <v>38.229999999999997</v>
      </c>
      <c r="F603" t="str">
        <f>VLOOKUP(B603, Menu!$A:$F, 3, 0)</f>
        <v>Dessert</v>
      </c>
      <c r="G603" s="5">
        <f>VLOOKUP(A603, Orders!$A:$B, 2, 0)</f>
        <v>45870.523946759262</v>
      </c>
      <c r="H603" t="str">
        <f>VLOOKUP(A603, Orders!$A:$C, 3, 0)</f>
        <v>Head Office Café</v>
      </c>
      <c r="I603">
        <f>C603*D603*(1-VLOOKUP(A603,Orders!$A:$G,7,0))</f>
        <v>146.976</v>
      </c>
      <c r="J603" t="str">
        <f>VLOOKUP(A603,Orders!$A:$G,6,0)</f>
        <v>Lunch</v>
      </c>
      <c r="K603" t="str">
        <f>VLOOKUP(A603,Orders!$A:$G,5,0)</f>
        <v>Cash</v>
      </c>
    </row>
    <row r="604" spans="1:11" x14ac:dyDescent="0.3">
      <c r="A604" t="s">
        <v>275</v>
      </c>
      <c r="B604" t="s">
        <v>411</v>
      </c>
      <c r="C604">
        <v>1</v>
      </c>
      <c r="D604">
        <f>VLOOKUP(B604, Menu!$A:$F, 6, 0)</f>
        <v>22.2</v>
      </c>
      <c r="E604">
        <f>VLOOKUP(B604, Menu!$A:$F, 5, 0)</f>
        <v>9.3800000000000008</v>
      </c>
      <c r="F604" t="str">
        <f>VLOOKUP(B604, Menu!$A:$F, 3, 0)</f>
        <v>Beverage</v>
      </c>
      <c r="G604" s="5">
        <f>VLOOKUP(A604, Orders!$A:$B, 2, 0)</f>
        <v>45870.523946759262</v>
      </c>
      <c r="H604" t="str">
        <f>VLOOKUP(A604, Orders!$A:$C, 3, 0)</f>
        <v>Head Office Café</v>
      </c>
      <c r="I604">
        <f>C604*D604*(1-VLOOKUP(A604,Orders!$A:$G,7,0))</f>
        <v>21.311999999999998</v>
      </c>
      <c r="J604" t="str">
        <f>VLOOKUP(A604,Orders!$A:$G,6,0)</f>
        <v>Lunch</v>
      </c>
      <c r="K604" t="str">
        <f>VLOOKUP(A604,Orders!$A:$G,5,0)</f>
        <v>Cash</v>
      </c>
    </row>
    <row r="605" spans="1:11" x14ac:dyDescent="0.3">
      <c r="A605" t="s">
        <v>275</v>
      </c>
      <c r="B605" t="s">
        <v>408</v>
      </c>
      <c r="C605">
        <v>2</v>
      </c>
      <c r="D605">
        <f>VLOOKUP(B605, Menu!$A:$F, 6, 0)</f>
        <v>70.540000000000006</v>
      </c>
      <c r="E605">
        <f>VLOOKUP(B605, Menu!$A:$F, 5, 0)</f>
        <v>35.81</v>
      </c>
      <c r="F605" t="str">
        <f>VLOOKUP(B605, Menu!$A:$F, 3, 0)</f>
        <v>Snack</v>
      </c>
      <c r="G605" s="5">
        <f>VLOOKUP(A605, Orders!$A:$B, 2, 0)</f>
        <v>45870.523946759262</v>
      </c>
      <c r="H605" t="str">
        <f>VLOOKUP(A605, Orders!$A:$C, 3, 0)</f>
        <v>Head Office Café</v>
      </c>
      <c r="I605">
        <f>C605*D605*(1-VLOOKUP(A605,Orders!$A:$G,7,0))</f>
        <v>135.43680000000001</v>
      </c>
      <c r="J605" t="str">
        <f>VLOOKUP(A605,Orders!$A:$G,6,0)</f>
        <v>Lunch</v>
      </c>
      <c r="K605" t="str">
        <f>VLOOKUP(A605,Orders!$A:$G,5,0)</f>
        <v>Cash</v>
      </c>
    </row>
    <row r="606" spans="1:11" x14ac:dyDescent="0.3">
      <c r="A606" t="s">
        <v>275</v>
      </c>
      <c r="B606" t="s">
        <v>409</v>
      </c>
      <c r="C606">
        <v>2</v>
      </c>
      <c r="D606">
        <f>VLOOKUP(B606, Menu!$A:$F, 6, 0)</f>
        <v>28.43</v>
      </c>
      <c r="E606">
        <f>VLOOKUP(B606, Menu!$A:$F, 5, 0)</f>
        <v>13.89</v>
      </c>
      <c r="F606" t="str">
        <f>VLOOKUP(B606, Menu!$A:$F, 3, 0)</f>
        <v>Beverage</v>
      </c>
      <c r="G606" s="5">
        <f>VLOOKUP(A606, Orders!$A:$B, 2, 0)</f>
        <v>45870.523946759262</v>
      </c>
      <c r="H606" t="str">
        <f>VLOOKUP(A606, Orders!$A:$C, 3, 0)</f>
        <v>Head Office Café</v>
      </c>
      <c r="I606">
        <f>C606*D606*(1-VLOOKUP(A606,Orders!$A:$G,7,0))</f>
        <v>54.585599999999999</v>
      </c>
      <c r="J606" t="str">
        <f>VLOOKUP(A606,Orders!$A:$G,6,0)</f>
        <v>Lunch</v>
      </c>
      <c r="K606" t="str">
        <f>VLOOKUP(A606,Orders!$A:$G,5,0)</f>
        <v>Cash</v>
      </c>
    </row>
    <row r="607" spans="1:11" x14ac:dyDescent="0.3">
      <c r="A607" t="s">
        <v>276</v>
      </c>
      <c r="B607" t="s">
        <v>410</v>
      </c>
      <c r="C607">
        <v>3</v>
      </c>
      <c r="D607">
        <f>VLOOKUP(B607, Menu!$A:$F, 6, 0)</f>
        <v>20.11</v>
      </c>
      <c r="E607">
        <f>VLOOKUP(B607, Menu!$A:$F, 5, 0)</f>
        <v>8</v>
      </c>
      <c r="F607" t="str">
        <f>VLOOKUP(B607, Menu!$A:$F, 3, 0)</f>
        <v>Beverage</v>
      </c>
      <c r="G607" s="5">
        <f>VLOOKUP(A607, Orders!$A:$B, 2, 0)</f>
        <v>45865.95140046296</v>
      </c>
      <c r="H607" t="str">
        <f>VLOOKUP(A607, Orders!$A:$C, 3, 0)</f>
        <v>Head Office Café</v>
      </c>
      <c r="I607">
        <f>C607*D607*(1-VLOOKUP(A607,Orders!$A:$G,7,0))</f>
        <v>56.710199999999993</v>
      </c>
      <c r="J607" t="str">
        <f>VLOOKUP(A607,Orders!$A:$G,6,0)</f>
        <v>Dinner</v>
      </c>
      <c r="K607" t="str">
        <f>VLOOKUP(A607,Orders!$A:$G,5,0)</f>
        <v>UPI</v>
      </c>
    </row>
    <row r="608" spans="1:11" x14ac:dyDescent="0.3">
      <c r="A608" t="s">
        <v>276</v>
      </c>
      <c r="B608" t="s">
        <v>403</v>
      </c>
      <c r="C608">
        <v>1</v>
      </c>
      <c r="D608">
        <f>VLOOKUP(B608, Menu!$A:$F, 6, 0)</f>
        <v>76.55</v>
      </c>
      <c r="E608">
        <f>VLOOKUP(B608, Menu!$A:$F, 5, 0)</f>
        <v>38.229999999999997</v>
      </c>
      <c r="F608" t="str">
        <f>VLOOKUP(B608, Menu!$A:$F, 3, 0)</f>
        <v>Dessert</v>
      </c>
      <c r="G608" s="5">
        <f>VLOOKUP(A608, Orders!$A:$B, 2, 0)</f>
        <v>45865.95140046296</v>
      </c>
      <c r="H608" t="str">
        <f>VLOOKUP(A608, Orders!$A:$C, 3, 0)</f>
        <v>Head Office Café</v>
      </c>
      <c r="I608">
        <f>C608*D608*(1-VLOOKUP(A608,Orders!$A:$G,7,0))</f>
        <v>71.956999999999994</v>
      </c>
      <c r="J608" t="str">
        <f>VLOOKUP(A608,Orders!$A:$G,6,0)</f>
        <v>Dinner</v>
      </c>
      <c r="K608" t="str">
        <f>VLOOKUP(A608,Orders!$A:$G,5,0)</f>
        <v>UPI</v>
      </c>
    </row>
    <row r="609" spans="1:11" x14ac:dyDescent="0.3">
      <c r="A609" t="s">
        <v>276</v>
      </c>
      <c r="B609" t="s">
        <v>417</v>
      </c>
      <c r="C609">
        <v>2</v>
      </c>
      <c r="D609">
        <f>VLOOKUP(B609, Menu!$A:$F, 6, 0)</f>
        <v>146.4</v>
      </c>
      <c r="E609">
        <f>VLOOKUP(B609, Menu!$A:$F, 5, 0)</f>
        <v>80.92</v>
      </c>
      <c r="F609" t="str">
        <f>VLOOKUP(B609, Menu!$A:$F, 3, 0)</f>
        <v>Hot Meal</v>
      </c>
      <c r="G609" s="5">
        <f>VLOOKUP(A609, Orders!$A:$B, 2, 0)</f>
        <v>45865.95140046296</v>
      </c>
      <c r="H609" t="str">
        <f>VLOOKUP(A609, Orders!$A:$C, 3, 0)</f>
        <v>Head Office Café</v>
      </c>
      <c r="I609">
        <f>C609*D609*(1-VLOOKUP(A609,Orders!$A:$G,7,0))</f>
        <v>275.23199999999997</v>
      </c>
      <c r="J609" t="str">
        <f>VLOOKUP(A609,Orders!$A:$G,6,0)</f>
        <v>Dinner</v>
      </c>
      <c r="K609" t="str">
        <f>VLOOKUP(A609,Orders!$A:$G,5,0)</f>
        <v>UPI</v>
      </c>
    </row>
    <row r="610" spans="1:11" x14ac:dyDescent="0.3">
      <c r="A610" t="s">
        <v>277</v>
      </c>
      <c r="B610" t="s">
        <v>408</v>
      </c>
      <c r="C610">
        <v>3</v>
      </c>
      <c r="D610">
        <f>VLOOKUP(B610, Menu!$A:$F, 6, 0)</f>
        <v>70.540000000000006</v>
      </c>
      <c r="E610">
        <f>VLOOKUP(B610, Menu!$A:$F, 5, 0)</f>
        <v>35.81</v>
      </c>
      <c r="F610" t="str">
        <f>VLOOKUP(B610, Menu!$A:$F, 3, 0)</f>
        <v>Snack</v>
      </c>
      <c r="G610" s="5">
        <f>VLOOKUP(A610, Orders!$A:$B, 2, 0)</f>
        <v>45870.822372685187</v>
      </c>
      <c r="H610" t="str">
        <f>VLOOKUP(A610, Orders!$A:$C, 3, 0)</f>
        <v>Plant 2 Canteen</v>
      </c>
      <c r="I610">
        <f>C610*D610*(1-VLOOKUP(A610,Orders!$A:$G,7,0))</f>
        <v>192.57420000000002</v>
      </c>
      <c r="J610" t="str">
        <f>VLOOKUP(A610,Orders!$A:$G,6,0)</f>
        <v>Dinner</v>
      </c>
      <c r="K610" t="str">
        <f>VLOOKUP(A610,Orders!$A:$G,5,0)</f>
        <v>UPI</v>
      </c>
    </row>
    <row r="611" spans="1:11" x14ac:dyDescent="0.3">
      <c r="A611" t="s">
        <v>277</v>
      </c>
      <c r="B611" t="s">
        <v>405</v>
      </c>
      <c r="C611">
        <v>2</v>
      </c>
      <c r="D611">
        <f>VLOOKUP(B611, Menu!$A:$F, 6, 0)</f>
        <v>170.83</v>
      </c>
      <c r="E611">
        <f>VLOOKUP(B611, Menu!$A:$F, 5, 0)</f>
        <v>74.069999999999993</v>
      </c>
      <c r="F611" t="str">
        <f>VLOOKUP(B611, Menu!$A:$F, 3, 0)</f>
        <v>Hot Meal</v>
      </c>
      <c r="G611" s="5">
        <f>VLOOKUP(A611, Orders!$A:$B, 2, 0)</f>
        <v>45870.822372685187</v>
      </c>
      <c r="H611" t="str">
        <f>VLOOKUP(A611, Orders!$A:$C, 3, 0)</f>
        <v>Plant 2 Canteen</v>
      </c>
      <c r="I611">
        <f>C611*D611*(1-VLOOKUP(A611,Orders!$A:$G,7,0))</f>
        <v>310.91060000000004</v>
      </c>
      <c r="J611" t="str">
        <f>VLOOKUP(A611,Orders!$A:$G,6,0)</f>
        <v>Dinner</v>
      </c>
      <c r="K611" t="str">
        <f>VLOOKUP(A611,Orders!$A:$G,5,0)</f>
        <v>UPI</v>
      </c>
    </row>
    <row r="612" spans="1:11" x14ac:dyDescent="0.3">
      <c r="A612" t="s">
        <v>277</v>
      </c>
      <c r="B612" t="s">
        <v>403</v>
      </c>
      <c r="C612">
        <v>3</v>
      </c>
      <c r="D612">
        <f>VLOOKUP(B612, Menu!$A:$F, 6, 0)</f>
        <v>76.55</v>
      </c>
      <c r="E612">
        <f>VLOOKUP(B612, Menu!$A:$F, 5, 0)</f>
        <v>38.229999999999997</v>
      </c>
      <c r="F612" t="str">
        <f>VLOOKUP(B612, Menu!$A:$F, 3, 0)</f>
        <v>Dessert</v>
      </c>
      <c r="G612" s="5">
        <f>VLOOKUP(A612, Orders!$A:$B, 2, 0)</f>
        <v>45870.822372685187</v>
      </c>
      <c r="H612" t="str">
        <f>VLOOKUP(A612, Orders!$A:$C, 3, 0)</f>
        <v>Plant 2 Canteen</v>
      </c>
      <c r="I612">
        <f>C612*D612*(1-VLOOKUP(A612,Orders!$A:$G,7,0))</f>
        <v>208.98149999999998</v>
      </c>
      <c r="J612" t="str">
        <f>VLOOKUP(A612,Orders!$A:$G,6,0)</f>
        <v>Dinner</v>
      </c>
      <c r="K612" t="str">
        <f>VLOOKUP(A612,Orders!$A:$G,5,0)</f>
        <v>UPI</v>
      </c>
    </row>
    <row r="613" spans="1:11" x14ac:dyDescent="0.3">
      <c r="A613" t="s">
        <v>277</v>
      </c>
      <c r="B613" t="s">
        <v>415</v>
      </c>
      <c r="C613">
        <v>2</v>
      </c>
      <c r="D613">
        <f>VLOOKUP(B613, Menu!$A:$F, 6, 0)</f>
        <v>256.91000000000003</v>
      </c>
      <c r="E613">
        <f>VLOOKUP(B613, Menu!$A:$F, 5, 0)</f>
        <v>121.24</v>
      </c>
      <c r="F613" t="str">
        <f>VLOOKUP(B613, Menu!$A:$F, 3, 0)</f>
        <v>Hot Meal</v>
      </c>
      <c r="G613" s="5">
        <f>VLOOKUP(A613, Orders!$A:$B, 2, 0)</f>
        <v>45870.822372685187</v>
      </c>
      <c r="H613" t="str">
        <f>VLOOKUP(A613, Orders!$A:$C, 3, 0)</f>
        <v>Plant 2 Canteen</v>
      </c>
      <c r="I613">
        <f>C613*D613*(1-VLOOKUP(A613,Orders!$A:$G,7,0))</f>
        <v>467.57620000000009</v>
      </c>
      <c r="J613" t="str">
        <f>VLOOKUP(A613,Orders!$A:$G,6,0)</f>
        <v>Dinner</v>
      </c>
      <c r="K613" t="str">
        <f>VLOOKUP(A613,Orders!$A:$G,5,0)</f>
        <v>UPI</v>
      </c>
    </row>
    <row r="614" spans="1:11" x14ac:dyDescent="0.3">
      <c r="A614" t="s">
        <v>278</v>
      </c>
      <c r="B614" t="s">
        <v>402</v>
      </c>
      <c r="C614">
        <v>1</v>
      </c>
      <c r="D614">
        <f>VLOOKUP(B614, Menu!$A:$F, 6, 0)</f>
        <v>30.34</v>
      </c>
      <c r="E614">
        <f>VLOOKUP(B614, Menu!$A:$F, 5, 0)</f>
        <v>14.18</v>
      </c>
      <c r="F614" t="str">
        <f>VLOOKUP(B614, Menu!$A:$F, 3, 0)</f>
        <v>Beverage</v>
      </c>
      <c r="G614" s="5">
        <f>VLOOKUP(A614, Orders!$A:$B, 2, 0)</f>
        <v>45883.301388888889</v>
      </c>
      <c r="H614" t="str">
        <f>VLOOKUP(A614, Orders!$A:$C, 3, 0)</f>
        <v>Head Office Café</v>
      </c>
      <c r="I614">
        <f>C614*D614*(1-VLOOKUP(A614,Orders!$A:$G,7,0))</f>
        <v>26.699200000000001</v>
      </c>
      <c r="J614" t="str">
        <f>VLOOKUP(A614,Orders!$A:$G,6,0)</f>
        <v>Breakfast</v>
      </c>
      <c r="K614" t="str">
        <f>VLOOKUP(A614,Orders!$A:$G,5,0)</f>
        <v>Card</v>
      </c>
    </row>
    <row r="615" spans="1:11" x14ac:dyDescent="0.3">
      <c r="A615" t="s">
        <v>278</v>
      </c>
      <c r="B615" t="s">
        <v>414</v>
      </c>
      <c r="C615">
        <v>1</v>
      </c>
      <c r="D615">
        <f>VLOOKUP(B615, Menu!$A:$F, 6, 0)</f>
        <v>116.8</v>
      </c>
      <c r="E615">
        <f>VLOOKUP(B615, Menu!$A:$F, 5, 0)</f>
        <v>48.97</v>
      </c>
      <c r="F615" t="str">
        <f>VLOOKUP(B615, Menu!$A:$F, 3, 0)</f>
        <v>Dessert</v>
      </c>
      <c r="G615" s="5">
        <f>VLOOKUP(A615, Orders!$A:$B, 2, 0)</f>
        <v>45883.301388888889</v>
      </c>
      <c r="H615" t="str">
        <f>VLOOKUP(A615, Orders!$A:$C, 3, 0)</f>
        <v>Head Office Café</v>
      </c>
      <c r="I615">
        <f>C615*D615*(1-VLOOKUP(A615,Orders!$A:$G,7,0))</f>
        <v>102.78399999999999</v>
      </c>
      <c r="J615" t="str">
        <f>VLOOKUP(A615,Orders!$A:$G,6,0)</f>
        <v>Breakfast</v>
      </c>
      <c r="K615" t="str">
        <f>VLOOKUP(A615,Orders!$A:$G,5,0)</f>
        <v>Card</v>
      </c>
    </row>
    <row r="616" spans="1:11" x14ac:dyDescent="0.3">
      <c r="A616" t="s">
        <v>279</v>
      </c>
      <c r="B616" t="s">
        <v>406</v>
      </c>
      <c r="C616">
        <v>1</v>
      </c>
      <c r="D616">
        <f>VLOOKUP(B616, Menu!$A:$F, 6, 0)</f>
        <v>38.06</v>
      </c>
      <c r="E616">
        <f>VLOOKUP(B616, Menu!$A:$F, 5, 0)</f>
        <v>19.55</v>
      </c>
      <c r="F616" t="str">
        <f>VLOOKUP(B616, Menu!$A:$F, 3, 0)</f>
        <v>Snack</v>
      </c>
      <c r="G616" s="5">
        <f>VLOOKUP(A616, Orders!$A:$B, 2, 0)</f>
        <v>45850.358495370368</v>
      </c>
      <c r="H616" t="str">
        <f>VLOOKUP(A616, Orders!$A:$C, 3, 0)</f>
        <v>Head Office Café</v>
      </c>
      <c r="I616">
        <f>C616*D616*(1-VLOOKUP(A616,Orders!$A:$G,7,0))</f>
        <v>37.679400000000001</v>
      </c>
      <c r="J616" t="str">
        <f>VLOOKUP(A616,Orders!$A:$G,6,0)</f>
        <v>Breakfast</v>
      </c>
      <c r="K616" t="str">
        <f>VLOOKUP(A616,Orders!$A:$G,5,0)</f>
        <v>UPI</v>
      </c>
    </row>
    <row r="617" spans="1:11" x14ac:dyDescent="0.3">
      <c r="A617" t="s">
        <v>279</v>
      </c>
      <c r="B617" t="s">
        <v>415</v>
      </c>
      <c r="C617">
        <v>2</v>
      </c>
      <c r="D617">
        <f>VLOOKUP(B617, Menu!$A:$F, 6, 0)</f>
        <v>256.91000000000003</v>
      </c>
      <c r="E617">
        <f>VLOOKUP(B617, Menu!$A:$F, 5, 0)</f>
        <v>121.24</v>
      </c>
      <c r="F617" t="str">
        <f>VLOOKUP(B617, Menu!$A:$F, 3, 0)</f>
        <v>Hot Meal</v>
      </c>
      <c r="G617" s="5">
        <f>VLOOKUP(A617, Orders!$A:$B, 2, 0)</f>
        <v>45850.358495370368</v>
      </c>
      <c r="H617" t="str">
        <f>VLOOKUP(A617, Orders!$A:$C, 3, 0)</f>
        <v>Head Office Café</v>
      </c>
      <c r="I617">
        <f>C617*D617*(1-VLOOKUP(A617,Orders!$A:$G,7,0))</f>
        <v>508.68180000000007</v>
      </c>
      <c r="J617" t="str">
        <f>VLOOKUP(A617,Orders!$A:$G,6,0)</f>
        <v>Breakfast</v>
      </c>
      <c r="K617" t="str">
        <f>VLOOKUP(A617,Orders!$A:$G,5,0)</f>
        <v>UPI</v>
      </c>
    </row>
    <row r="618" spans="1:11" x14ac:dyDescent="0.3">
      <c r="A618" t="s">
        <v>279</v>
      </c>
      <c r="B618" t="s">
        <v>418</v>
      </c>
      <c r="C618">
        <v>2</v>
      </c>
      <c r="D618">
        <f>VLOOKUP(B618, Menu!$A:$F, 6, 0)</f>
        <v>39.950000000000003</v>
      </c>
      <c r="E618">
        <f>VLOOKUP(B618, Menu!$A:$F, 5, 0)</f>
        <v>15.51</v>
      </c>
      <c r="F618" t="str">
        <f>VLOOKUP(B618, Menu!$A:$F, 3, 0)</f>
        <v>Snack</v>
      </c>
      <c r="G618" s="5">
        <f>VLOOKUP(A618, Orders!$A:$B, 2, 0)</f>
        <v>45850.358495370368</v>
      </c>
      <c r="H618" t="str">
        <f>VLOOKUP(A618, Orders!$A:$C, 3, 0)</f>
        <v>Head Office Café</v>
      </c>
      <c r="I618">
        <f>C618*D618*(1-VLOOKUP(A618,Orders!$A:$G,7,0))</f>
        <v>79.100999999999999</v>
      </c>
      <c r="J618" t="str">
        <f>VLOOKUP(A618,Orders!$A:$G,6,0)</f>
        <v>Breakfast</v>
      </c>
      <c r="K618" t="str">
        <f>VLOOKUP(A618,Orders!$A:$G,5,0)</f>
        <v>UPI</v>
      </c>
    </row>
    <row r="619" spans="1:11" x14ac:dyDescent="0.3">
      <c r="A619" t="s">
        <v>279</v>
      </c>
      <c r="B619" t="s">
        <v>407</v>
      </c>
      <c r="C619">
        <v>2</v>
      </c>
      <c r="D619">
        <f>VLOOKUP(B619, Menu!$A:$F, 6, 0)</f>
        <v>246.09</v>
      </c>
      <c r="E619">
        <f>VLOOKUP(B619, Menu!$A:$F, 5, 0)</f>
        <v>112.08</v>
      </c>
      <c r="F619" t="str">
        <f>VLOOKUP(B619, Menu!$A:$F, 3, 0)</f>
        <v>Hot Meal</v>
      </c>
      <c r="G619" s="5">
        <f>VLOOKUP(A619, Orders!$A:$B, 2, 0)</f>
        <v>45850.358495370368</v>
      </c>
      <c r="H619" t="str">
        <f>VLOOKUP(A619, Orders!$A:$C, 3, 0)</f>
        <v>Head Office Café</v>
      </c>
      <c r="I619">
        <f>C619*D619*(1-VLOOKUP(A619,Orders!$A:$G,7,0))</f>
        <v>487.25819999999999</v>
      </c>
      <c r="J619" t="str">
        <f>VLOOKUP(A619,Orders!$A:$G,6,0)</f>
        <v>Breakfast</v>
      </c>
      <c r="K619" t="str">
        <f>VLOOKUP(A619,Orders!$A:$G,5,0)</f>
        <v>UPI</v>
      </c>
    </row>
    <row r="620" spans="1:11" x14ac:dyDescent="0.3">
      <c r="A620" t="s">
        <v>280</v>
      </c>
      <c r="B620" t="s">
        <v>412</v>
      </c>
      <c r="C620">
        <v>2</v>
      </c>
      <c r="D620">
        <f>VLOOKUP(B620, Menu!$A:$F, 6, 0)</f>
        <v>57.07</v>
      </c>
      <c r="E620">
        <f>VLOOKUP(B620, Menu!$A:$F, 5, 0)</f>
        <v>29.14</v>
      </c>
      <c r="F620" t="str">
        <f>VLOOKUP(B620, Menu!$A:$F, 3, 0)</f>
        <v>Dessert</v>
      </c>
      <c r="G620" s="5">
        <f>VLOOKUP(A620, Orders!$A:$B, 2, 0)</f>
        <v>45881.005648148152</v>
      </c>
      <c r="H620" t="str">
        <f>VLOOKUP(A620, Orders!$A:$C, 3, 0)</f>
        <v>Plant 2 Canteen</v>
      </c>
      <c r="I620">
        <f>C620*D620*(1-VLOOKUP(A620,Orders!$A:$G,7,0))</f>
        <v>97.018999999999991</v>
      </c>
      <c r="J620" t="str">
        <f>VLOOKUP(A620,Orders!$A:$G,6,0)</f>
        <v>Breakfast</v>
      </c>
      <c r="K620" t="str">
        <f>VLOOKUP(A620,Orders!$A:$G,5,0)</f>
        <v>Card</v>
      </c>
    </row>
    <row r="621" spans="1:11" x14ac:dyDescent="0.3">
      <c r="A621" t="s">
        <v>280</v>
      </c>
      <c r="B621" t="s">
        <v>414</v>
      </c>
      <c r="C621">
        <v>1</v>
      </c>
      <c r="D621">
        <f>VLOOKUP(B621, Menu!$A:$F, 6, 0)</f>
        <v>116.8</v>
      </c>
      <c r="E621">
        <f>VLOOKUP(B621, Menu!$A:$F, 5, 0)</f>
        <v>48.97</v>
      </c>
      <c r="F621" t="str">
        <f>VLOOKUP(B621, Menu!$A:$F, 3, 0)</f>
        <v>Dessert</v>
      </c>
      <c r="G621" s="5">
        <f>VLOOKUP(A621, Orders!$A:$B, 2, 0)</f>
        <v>45881.005648148152</v>
      </c>
      <c r="H621" t="str">
        <f>VLOOKUP(A621, Orders!$A:$C, 3, 0)</f>
        <v>Plant 2 Canteen</v>
      </c>
      <c r="I621">
        <f>C621*D621*(1-VLOOKUP(A621,Orders!$A:$G,7,0))</f>
        <v>99.28</v>
      </c>
      <c r="J621" t="str">
        <f>VLOOKUP(A621,Orders!$A:$G,6,0)</f>
        <v>Breakfast</v>
      </c>
      <c r="K621" t="str">
        <f>VLOOKUP(A621,Orders!$A:$G,5,0)</f>
        <v>Card</v>
      </c>
    </row>
    <row r="622" spans="1:11" x14ac:dyDescent="0.3">
      <c r="A622" t="s">
        <v>281</v>
      </c>
      <c r="B622" t="s">
        <v>410</v>
      </c>
      <c r="C622">
        <v>1</v>
      </c>
      <c r="D622">
        <f>VLOOKUP(B622, Menu!$A:$F, 6, 0)</f>
        <v>20.11</v>
      </c>
      <c r="E622">
        <f>VLOOKUP(B622, Menu!$A:$F, 5, 0)</f>
        <v>8</v>
      </c>
      <c r="F622" t="str">
        <f>VLOOKUP(B622, Menu!$A:$F, 3, 0)</f>
        <v>Beverage</v>
      </c>
      <c r="G622" s="5">
        <f>VLOOKUP(A622, Orders!$A:$B, 2, 0)</f>
        <v>45883.280370370368</v>
      </c>
      <c r="H622" t="str">
        <f>VLOOKUP(A622, Orders!$A:$C, 3, 0)</f>
        <v>Plant 2 Canteen</v>
      </c>
      <c r="I622">
        <f>C622*D622*(1-VLOOKUP(A622,Orders!$A:$G,7,0))</f>
        <v>20.11</v>
      </c>
      <c r="J622" t="str">
        <f>VLOOKUP(A622,Orders!$A:$G,6,0)</f>
        <v>Breakfast</v>
      </c>
      <c r="K622" t="str">
        <f>VLOOKUP(A622,Orders!$A:$G,5,0)</f>
        <v>UPI</v>
      </c>
    </row>
    <row r="623" spans="1:11" x14ac:dyDescent="0.3">
      <c r="A623" t="s">
        <v>281</v>
      </c>
      <c r="B623" t="s">
        <v>418</v>
      </c>
      <c r="C623">
        <v>3</v>
      </c>
      <c r="D623">
        <f>VLOOKUP(B623, Menu!$A:$F, 6, 0)</f>
        <v>39.950000000000003</v>
      </c>
      <c r="E623">
        <f>VLOOKUP(B623, Menu!$A:$F, 5, 0)</f>
        <v>15.51</v>
      </c>
      <c r="F623" t="str">
        <f>VLOOKUP(B623, Menu!$A:$F, 3, 0)</f>
        <v>Snack</v>
      </c>
      <c r="G623" s="5">
        <f>VLOOKUP(A623, Orders!$A:$B, 2, 0)</f>
        <v>45883.280370370368</v>
      </c>
      <c r="H623" t="str">
        <f>VLOOKUP(A623, Orders!$A:$C, 3, 0)</f>
        <v>Plant 2 Canteen</v>
      </c>
      <c r="I623">
        <f>C623*D623*(1-VLOOKUP(A623,Orders!$A:$G,7,0))</f>
        <v>119.85000000000001</v>
      </c>
      <c r="J623" t="str">
        <f>VLOOKUP(A623,Orders!$A:$G,6,0)</f>
        <v>Breakfast</v>
      </c>
      <c r="K623" t="str">
        <f>VLOOKUP(A623,Orders!$A:$G,5,0)</f>
        <v>UPI</v>
      </c>
    </row>
    <row r="624" spans="1:11" x14ac:dyDescent="0.3">
      <c r="A624" t="s">
        <v>281</v>
      </c>
      <c r="B624" t="s">
        <v>401</v>
      </c>
      <c r="C624">
        <v>1</v>
      </c>
      <c r="D624">
        <f>VLOOKUP(B624, Menu!$A:$F, 6, 0)</f>
        <v>52.45</v>
      </c>
      <c r="E624">
        <f>VLOOKUP(B624, Menu!$A:$F, 5, 0)</f>
        <v>25.8</v>
      </c>
      <c r="F624" t="str">
        <f>VLOOKUP(B624, Menu!$A:$F, 3, 0)</f>
        <v>Snack</v>
      </c>
      <c r="G624" s="5">
        <f>VLOOKUP(A624, Orders!$A:$B, 2, 0)</f>
        <v>45883.280370370368</v>
      </c>
      <c r="H624" t="str">
        <f>VLOOKUP(A624, Orders!$A:$C, 3, 0)</f>
        <v>Plant 2 Canteen</v>
      </c>
      <c r="I624">
        <f>C624*D624*(1-VLOOKUP(A624,Orders!$A:$G,7,0))</f>
        <v>52.45</v>
      </c>
      <c r="J624" t="str">
        <f>VLOOKUP(A624,Orders!$A:$G,6,0)</f>
        <v>Breakfast</v>
      </c>
      <c r="K624" t="str">
        <f>VLOOKUP(A624,Orders!$A:$G,5,0)</f>
        <v>UPI</v>
      </c>
    </row>
    <row r="625" spans="1:11" x14ac:dyDescent="0.3">
      <c r="A625" t="s">
        <v>281</v>
      </c>
      <c r="B625" t="s">
        <v>416</v>
      </c>
      <c r="C625">
        <v>1</v>
      </c>
      <c r="D625">
        <f>VLOOKUP(B625, Menu!$A:$F, 6, 0)</f>
        <v>227.61</v>
      </c>
      <c r="E625">
        <f>VLOOKUP(B625, Menu!$A:$F, 5, 0)</f>
        <v>96.22</v>
      </c>
      <c r="F625" t="str">
        <f>VLOOKUP(B625, Menu!$A:$F, 3, 0)</f>
        <v>Hot Meal</v>
      </c>
      <c r="G625" s="5">
        <f>VLOOKUP(A625, Orders!$A:$B, 2, 0)</f>
        <v>45883.280370370368</v>
      </c>
      <c r="H625" t="str">
        <f>VLOOKUP(A625, Orders!$A:$C, 3, 0)</f>
        <v>Plant 2 Canteen</v>
      </c>
      <c r="I625">
        <f>C625*D625*(1-VLOOKUP(A625,Orders!$A:$G,7,0))</f>
        <v>227.61</v>
      </c>
      <c r="J625" t="str">
        <f>VLOOKUP(A625,Orders!$A:$G,6,0)</f>
        <v>Breakfast</v>
      </c>
      <c r="K625" t="str">
        <f>VLOOKUP(A625,Orders!$A:$G,5,0)</f>
        <v>UPI</v>
      </c>
    </row>
    <row r="626" spans="1:11" x14ac:dyDescent="0.3">
      <c r="A626" t="s">
        <v>282</v>
      </c>
      <c r="B626" t="s">
        <v>416</v>
      </c>
      <c r="C626">
        <v>1</v>
      </c>
      <c r="D626">
        <f>VLOOKUP(B626, Menu!$A:$F, 6, 0)</f>
        <v>227.61</v>
      </c>
      <c r="E626">
        <f>VLOOKUP(B626, Menu!$A:$F, 5, 0)</f>
        <v>96.22</v>
      </c>
      <c r="F626" t="str">
        <f>VLOOKUP(B626, Menu!$A:$F, 3, 0)</f>
        <v>Hot Meal</v>
      </c>
      <c r="G626" s="5">
        <f>VLOOKUP(A626, Orders!$A:$B, 2, 0)</f>
        <v>45869.59542824074</v>
      </c>
      <c r="H626" t="str">
        <f>VLOOKUP(A626, Orders!$A:$C, 3, 0)</f>
        <v>Plant 2 Canteen</v>
      </c>
      <c r="I626">
        <f>C626*D626*(1-VLOOKUP(A626,Orders!$A:$G,7,0))</f>
        <v>216.2295</v>
      </c>
      <c r="J626" t="str">
        <f>VLOOKUP(A626,Orders!$A:$G,6,0)</f>
        <v>Lunch</v>
      </c>
      <c r="K626" t="str">
        <f>VLOOKUP(A626,Orders!$A:$G,5,0)</f>
        <v>UPI</v>
      </c>
    </row>
    <row r="627" spans="1:11" x14ac:dyDescent="0.3">
      <c r="A627" t="s">
        <v>282</v>
      </c>
      <c r="B627" t="s">
        <v>419</v>
      </c>
      <c r="C627">
        <v>1</v>
      </c>
      <c r="D627">
        <f>VLOOKUP(B627, Menu!$A:$F, 6, 0)</f>
        <v>50.19</v>
      </c>
      <c r="E627">
        <f>VLOOKUP(B627, Menu!$A:$F, 5, 0)</f>
        <v>22.61</v>
      </c>
      <c r="F627" t="str">
        <f>VLOOKUP(B627, Menu!$A:$F, 3, 0)</f>
        <v>Snack</v>
      </c>
      <c r="G627" s="5">
        <f>VLOOKUP(A627, Orders!$A:$B, 2, 0)</f>
        <v>45869.59542824074</v>
      </c>
      <c r="H627" t="str">
        <f>VLOOKUP(A627, Orders!$A:$C, 3, 0)</f>
        <v>Plant 2 Canteen</v>
      </c>
      <c r="I627">
        <f>C627*D627*(1-VLOOKUP(A627,Orders!$A:$G,7,0))</f>
        <v>47.680499999999995</v>
      </c>
      <c r="J627" t="str">
        <f>VLOOKUP(A627,Orders!$A:$G,6,0)</f>
        <v>Lunch</v>
      </c>
      <c r="K627" t="str">
        <f>VLOOKUP(A627,Orders!$A:$G,5,0)</f>
        <v>UPI</v>
      </c>
    </row>
    <row r="628" spans="1:11" x14ac:dyDescent="0.3">
      <c r="A628" t="s">
        <v>282</v>
      </c>
      <c r="B628" t="s">
        <v>417</v>
      </c>
      <c r="C628">
        <v>2</v>
      </c>
      <c r="D628">
        <f>VLOOKUP(B628, Menu!$A:$F, 6, 0)</f>
        <v>146.4</v>
      </c>
      <c r="E628">
        <f>VLOOKUP(B628, Menu!$A:$F, 5, 0)</f>
        <v>80.92</v>
      </c>
      <c r="F628" t="str">
        <f>VLOOKUP(B628, Menu!$A:$F, 3, 0)</f>
        <v>Hot Meal</v>
      </c>
      <c r="G628" s="5">
        <f>VLOOKUP(A628, Orders!$A:$B, 2, 0)</f>
        <v>45869.59542824074</v>
      </c>
      <c r="H628" t="str">
        <f>VLOOKUP(A628, Orders!$A:$C, 3, 0)</f>
        <v>Plant 2 Canteen</v>
      </c>
      <c r="I628">
        <f>C628*D628*(1-VLOOKUP(A628,Orders!$A:$G,7,0))</f>
        <v>278.16000000000003</v>
      </c>
      <c r="J628" t="str">
        <f>VLOOKUP(A628,Orders!$A:$G,6,0)</f>
        <v>Lunch</v>
      </c>
      <c r="K628" t="str">
        <f>VLOOKUP(A628,Orders!$A:$G,5,0)</f>
        <v>UPI</v>
      </c>
    </row>
    <row r="629" spans="1:11" x14ac:dyDescent="0.3">
      <c r="A629" t="s">
        <v>282</v>
      </c>
      <c r="B629" t="s">
        <v>401</v>
      </c>
      <c r="C629">
        <v>1</v>
      </c>
      <c r="D629">
        <f>VLOOKUP(B629, Menu!$A:$F, 6, 0)</f>
        <v>52.45</v>
      </c>
      <c r="E629">
        <f>VLOOKUP(B629, Menu!$A:$F, 5, 0)</f>
        <v>25.8</v>
      </c>
      <c r="F629" t="str">
        <f>VLOOKUP(B629, Menu!$A:$F, 3, 0)</f>
        <v>Snack</v>
      </c>
      <c r="G629" s="5">
        <f>VLOOKUP(A629, Orders!$A:$B, 2, 0)</f>
        <v>45869.59542824074</v>
      </c>
      <c r="H629" t="str">
        <f>VLOOKUP(A629, Orders!$A:$C, 3, 0)</f>
        <v>Plant 2 Canteen</v>
      </c>
      <c r="I629">
        <f>C629*D629*(1-VLOOKUP(A629,Orders!$A:$G,7,0))</f>
        <v>49.827500000000001</v>
      </c>
      <c r="J629" t="str">
        <f>VLOOKUP(A629,Orders!$A:$G,6,0)</f>
        <v>Lunch</v>
      </c>
      <c r="K629" t="str">
        <f>VLOOKUP(A629,Orders!$A:$G,5,0)</f>
        <v>UPI</v>
      </c>
    </row>
    <row r="630" spans="1:11" x14ac:dyDescent="0.3">
      <c r="A630" t="s">
        <v>283</v>
      </c>
      <c r="B630" t="s">
        <v>408</v>
      </c>
      <c r="C630">
        <v>3</v>
      </c>
      <c r="D630">
        <f>VLOOKUP(B630, Menu!$A:$F, 6, 0)</f>
        <v>70.540000000000006</v>
      </c>
      <c r="E630">
        <f>VLOOKUP(B630, Menu!$A:$F, 5, 0)</f>
        <v>35.81</v>
      </c>
      <c r="F630" t="str">
        <f>VLOOKUP(B630, Menu!$A:$F, 3, 0)</f>
        <v>Snack</v>
      </c>
      <c r="G630" s="5">
        <f>VLOOKUP(A630, Orders!$A:$B, 2, 0)</f>
        <v>45875.59101851852</v>
      </c>
      <c r="H630" t="str">
        <f>VLOOKUP(A630, Orders!$A:$C, 3, 0)</f>
        <v>Plant 1 Canteen</v>
      </c>
      <c r="I630">
        <f>C630*D630*(1-VLOOKUP(A630,Orders!$A:$G,7,0))</f>
        <v>194.69040000000001</v>
      </c>
      <c r="J630" t="str">
        <f>VLOOKUP(A630,Orders!$A:$G,6,0)</f>
        <v>Lunch</v>
      </c>
      <c r="K630" t="str">
        <f>VLOOKUP(A630,Orders!$A:$G,5,0)</f>
        <v>Card</v>
      </c>
    </row>
    <row r="631" spans="1:11" x14ac:dyDescent="0.3">
      <c r="A631" t="s">
        <v>284</v>
      </c>
      <c r="B631" t="s">
        <v>405</v>
      </c>
      <c r="C631">
        <v>2</v>
      </c>
      <c r="D631">
        <f>VLOOKUP(B631, Menu!$A:$F, 6, 0)</f>
        <v>170.83</v>
      </c>
      <c r="E631">
        <f>VLOOKUP(B631, Menu!$A:$F, 5, 0)</f>
        <v>74.069999999999993</v>
      </c>
      <c r="F631" t="str">
        <f>VLOOKUP(B631, Menu!$A:$F, 3, 0)</f>
        <v>Hot Meal</v>
      </c>
      <c r="G631" s="5">
        <f>VLOOKUP(A631, Orders!$A:$B, 2, 0)</f>
        <v>45848.107037037043</v>
      </c>
      <c r="H631" t="str">
        <f>VLOOKUP(A631, Orders!$A:$C, 3, 0)</f>
        <v>Plant 1 Canteen</v>
      </c>
      <c r="I631">
        <f>C631*D631*(1-VLOOKUP(A631,Orders!$A:$G,7,0))</f>
        <v>317.74380000000002</v>
      </c>
      <c r="J631" t="str">
        <f>VLOOKUP(A631,Orders!$A:$G,6,0)</f>
        <v>Breakfast</v>
      </c>
      <c r="K631" t="str">
        <f>VLOOKUP(A631,Orders!$A:$G,5,0)</f>
        <v>Card</v>
      </c>
    </row>
    <row r="632" spans="1:11" x14ac:dyDescent="0.3">
      <c r="A632" t="s">
        <v>284</v>
      </c>
      <c r="B632" t="s">
        <v>407</v>
      </c>
      <c r="C632">
        <v>2</v>
      </c>
      <c r="D632">
        <f>VLOOKUP(B632, Menu!$A:$F, 6, 0)</f>
        <v>246.09</v>
      </c>
      <c r="E632">
        <f>VLOOKUP(B632, Menu!$A:$F, 5, 0)</f>
        <v>112.08</v>
      </c>
      <c r="F632" t="str">
        <f>VLOOKUP(B632, Menu!$A:$F, 3, 0)</f>
        <v>Hot Meal</v>
      </c>
      <c r="G632" s="5">
        <f>VLOOKUP(A632, Orders!$A:$B, 2, 0)</f>
        <v>45848.107037037043</v>
      </c>
      <c r="H632" t="str">
        <f>VLOOKUP(A632, Orders!$A:$C, 3, 0)</f>
        <v>Plant 1 Canteen</v>
      </c>
      <c r="I632">
        <f>C632*D632*(1-VLOOKUP(A632,Orders!$A:$G,7,0))</f>
        <v>457.72739999999999</v>
      </c>
      <c r="J632" t="str">
        <f>VLOOKUP(A632,Orders!$A:$G,6,0)</f>
        <v>Breakfast</v>
      </c>
      <c r="K632" t="str">
        <f>VLOOKUP(A632,Orders!$A:$G,5,0)</f>
        <v>Card</v>
      </c>
    </row>
    <row r="633" spans="1:11" x14ac:dyDescent="0.3">
      <c r="A633" t="s">
        <v>285</v>
      </c>
      <c r="B633" t="s">
        <v>418</v>
      </c>
      <c r="C633">
        <v>1</v>
      </c>
      <c r="D633">
        <f>VLOOKUP(B633, Menu!$A:$F, 6, 0)</f>
        <v>39.950000000000003</v>
      </c>
      <c r="E633">
        <f>VLOOKUP(B633, Menu!$A:$F, 5, 0)</f>
        <v>15.51</v>
      </c>
      <c r="F633" t="str">
        <f>VLOOKUP(B633, Menu!$A:$F, 3, 0)</f>
        <v>Snack</v>
      </c>
      <c r="G633" s="5">
        <f>VLOOKUP(A633, Orders!$A:$B, 2, 0)</f>
        <v>45875.43041666667</v>
      </c>
      <c r="H633" t="str">
        <f>VLOOKUP(A633, Orders!$A:$C, 3, 0)</f>
        <v>Plant 1 Canteen</v>
      </c>
      <c r="I633">
        <f>C633*D633*(1-VLOOKUP(A633,Orders!$A:$G,7,0))</f>
        <v>38.352000000000004</v>
      </c>
      <c r="J633" t="str">
        <f>VLOOKUP(A633,Orders!$A:$G,6,0)</f>
        <v>Breakfast</v>
      </c>
      <c r="K633" t="str">
        <f>VLOOKUP(A633,Orders!$A:$G,5,0)</f>
        <v>Cash</v>
      </c>
    </row>
    <row r="634" spans="1:11" x14ac:dyDescent="0.3">
      <c r="A634" t="s">
        <v>285</v>
      </c>
      <c r="B634" t="s">
        <v>407</v>
      </c>
      <c r="C634">
        <v>1</v>
      </c>
      <c r="D634">
        <f>VLOOKUP(B634, Menu!$A:$F, 6, 0)</f>
        <v>246.09</v>
      </c>
      <c r="E634">
        <f>VLOOKUP(B634, Menu!$A:$F, 5, 0)</f>
        <v>112.08</v>
      </c>
      <c r="F634" t="str">
        <f>VLOOKUP(B634, Menu!$A:$F, 3, 0)</f>
        <v>Hot Meal</v>
      </c>
      <c r="G634" s="5">
        <f>VLOOKUP(A634, Orders!$A:$B, 2, 0)</f>
        <v>45875.43041666667</v>
      </c>
      <c r="H634" t="str">
        <f>VLOOKUP(A634, Orders!$A:$C, 3, 0)</f>
        <v>Plant 1 Canteen</v>
      </c>
      <c r="I634">
        <f>C634*D634*(1-VLOOKUP(A634,Orders!$A:$G,7,0))</f>
        <v>236.24639999999999</v>
      </c>
      <c r="J634" t="str">
        <f>VLOOKUP(A634,Orders!$A:$G,6,0)</f>
        <v>Breakfast</v>
      </c>
      <c r="K634" t="str">
        <f>VLOOKUP(A634,Orders!$A:$G,5,0)</f>
        <v>Cash</v>
      </c>
    </row>
    <row r="635" spans="1:11" x14ac:dyDescent="0.3">
      <c r="A635" t="s">
        <v>286</v>
      </c>
      <c r="B635" t="s">
        <v>405</v>
      </c>
      <c r="C635">
        <v>2</v>
      </c>
      <c r="D635">
        <f>VLOOKUP(B635, Menu!$A:$F, 6, 0)</f>
        <v>170.83</v>
      </c>
      <c r="E635">
        <f>VLOOKUP(B635, Menu!$A:$F, 5, 0)</f>
        <v>74.069999999999993</v>
      </c>
      <c r="F635" t="str">
        <f>VLOOKUP(B635, Menu!$A:$F, 3, 0)</f>
        <v>Hot Meal</v>
      </c>
      <c r="G635" s="5">
        <f>VLOOKUP(A635, Orders!$A:$B, 2, 0)</f>
        <v>45893.784039351849</v>
      </c>
      <c r="H635" t="str">
        <f>VLOOKUP(A635, Orders!$A:$C, 3, 0)</f>
        <v>Plant 2 Canteen</v>
      </c>
      <c r="I635">
        <f>C635*D635*(1-VLOOKUP(A635,Orders!$A:$G,7,0))</f>
        <v>324.577</v>
      </c>
      <c r="J635" t="str">
        <f>VLOOKUP(A635,Orders!$A:$G,6,0)</f>
        <v>Dinner</v>
      </c>
      <c r="K635" t="str">
        <f>VLOOKUP(A635,Orders!$A:$G,5,0)</f>
        <v>Cash</v>
      </c>
    </row>
    <row r="636" spans="1:11" x14ac:dyDescent="0.3">
      <c r="A636" t="s">
        <v>286</v>
      </c>
      <c r="B636" t="s">
        <v>407</v>
      </c>
      <c r="C636">
        <v>1</v>
      </c>
      <c r="D636">
        <f>VLOOKUP(B636, Menu!$A:$F, 6, 0)</f>
        <v>246.09</v>
      </c>
      <c r="E636">
        <f>VLOOKUP(B636, Menu!$A:$F, 5, 0)</f>
        <v>112.08</v>
      </c>
      <c r="F636" t="str">
        <f>VLOOKUP(B636, Menu!$A:$F, 3, 0)</f>
        <v>Hot Meal</v>
      </c>
      <c r="G636" s="5">
        <f>VLOOKUP(A636, Orders!$A:$B, 2, 0)</f>
        <v>45893.784039351849</v>
      </c>
      <c r="H636" t="str">
        <f>VLOOKUP(A636, Orders!$A:$C, 3, 0)</f>
        <v>Plant 2 Canteen</v>
      </c>
      <c r="I636">
        <f>C636*D636*(1-VLOOKUP(A636,Orders!$A:$G,7,0))</f>
        <v>233.78549999999998</v>
      </c>
      <c r="J636" t="str">
        <f>VLOOKUP(A636,Orders!$A:$G,6,0)</f>
        <v>Dinner</v>
      </c>
      <c r="K636" t="str">
        <f>VLOOKUP(A636,Orders!$A:$G,5,0)</f>
        <v>Cash</v>
      </c>
    </row>
    <row r="637" spans="1:11" x14ac:dyDescent="0.3">
      <c r="A637" t="s">
        <v>286</v>
      </c>
      <c r="B637" t="s">
        <v>412</v>
      </c>
      <c r="C637">
        <v>1</v>
      </c>
      <c r="D637">
        <f>VLOOKUP(B637, Menu!$A:$F, 6, 0)</f>
        <v>57.07</v>
      </c>
      <c r="E637">
        <f>VLOOKUP(B637, Menu!$A:$F, 5, 0)</f>
        <v>29.14</v>
      </c>
      <c r="F637" t="str">
        <f>VLOOKUP(B637, Menu!$A:$F, 3, 0)</f>
        <v>Dessert</v>
      </c>
      <c r="G637" s="5">
        <f>VLOOKUP(A637, Orders!$A:$B, 2, 0)</f>
        <v>45893.784039351849</v>
      </c>
      <c r="H637" t="str">
        <f>VLOOKUP(A637, Orders!$A:$C, 3, 0)</f>
        <v>Plant 2 Canteen</v>
      </c>
      <c r="I637">
        <f>C637*D637*(1-VLOOKUP(A637,Orders!$A:$G,7,0))</f>
        <v>54.216499999999996</v>
      </c>
      <c r="J637" t="str">
        <f>VLOOKUP(A637,Orders!$A:$G,6,0)</f>
        <v>Dinner</v>
      </c>
      <c r="K637" t="str">
        <f>VLOOKUP(A637,Orders!$A:$G,5,0)</f>
        <v>Cash</v>
      </c>
    </row>
    <row r="638" spans="1:11" x14ac:dyDescent="0.3">
      <c r="A638" t="s">
        <v>287</v>
      </c>
      <c r="B638" t="s">
        <v>410</v>
      </c>
      <c r="C638">
        <v>3</v>
      </c>
      <c r="D638">
        <f>VLOOKUP(B638, Menu!$A:$F, 6, 0)</f>
        <v>20.11</v>
      </c>
      <c r="E638">
        <f>VLOOKUP(B638, Menu!$A:$F, 5, 0)</f>
        <v>8</v>
      </c>
      <c r="F638" t="str">
        <f>VLOOKUP(B638, Menu!$A:$F, 3, 0)</f>
        <v>Beverage</v>
      </c>
      <c r="G638" s="5">
        <f>VLOOKUP(A638, Orders!$A:$B, 2, 0)</f>
        <v>45873.580960648149</v>
      </c>
      <c r="H638" t="str">
        <f>VLOOKUP(A638, Orders!$A:$C, 3, 0)</f>
        <v>Head Office Café</v>
      </c>
      <c r="I638">
        <f>C638*D638*(1-VLOOKUP(A638,Orders!$A:$G,7,0))</f>
        <v>57.916799999999995</v>
      </c>
      <c r="J638" t="str">
        <f>VLOOKUP(A638,Orders!$A:$G,6,0)</f>
        <v>Lunch</v>
      </c>
      <c r="K638" t="str">
        <f>VLOOKUP(A638,Orders!$A:$G,5,0)</f>
        <v>UPI</v>
      </c>
    </row>
    <row r="639" spans="1:11" x14ac:dyDescent="0.3">
      <c r="A639" t="s">
        <v>287</v>
      </c>
      <c r="B639" t="s">
        <v>416</v>
      </c>
      <c r="C639">
        <v>2</v>
      </c>
      <c r="D639">
        <f>VLOOKUP(B639, Menu!$A:$F, 6, 0)</f>
        <v>227.61</v>
      </c>
      <c r="E639">
        <f>VLOOKUP(B639, Menu!$A:$F, 5, 0)</f>
        <v>96.22</v>
      </c>
      <c r="F639" t="str">
        <f>VLOOKUP(B639, Menu!$A:$F, 3, 0)</f>
        <v>Hot Meal</v>
      </c>
      <c r="G639" s="5">
        <f>VLOOKUP(A639, Orders!$A:$B, 2, 0)</f>
        <v>45873.580960648149</v>
      </c>
      <c r="H639" t="str">
        <f>VLOOKUP(A639, Orders!$A:$C, 3, 0)</f>
        <v>Head Office Café</v>
      </c>
      <c r="I639">
        <f>C639*D639*(1-VLOOKUP(A639,Orders!$A:$G,7,0))</f>
        <v>437.01120000000003</v>
      </c>
      <c r="J639" t="str">
        <f>VLOOKUP(A639,Orders!$A:$G,6,0)</f>
        <v>Lunch</v>
      </c>
      <c r="K639" t="str">
        <f>VLOOKUP(A639,Orders!$A:$G,5,0)</f>
        <v>UPI</v>
      </c>
    </row>
    <row r="640" spans="1:11" x14ac:dyDescent="0.3">
      <c r="A640" t="s">
        <v>287</v>
      </c>
      <c r="B640" t="s">
        <v>412</v>
      </c>
      <c r="C640">
        <v>2</v>
      </c>
      <c r="D640">
        <f>VLOOKUP(B640, Menu!$A:$F, 6, 0)</f>
        <v>57.07</v>
      </c>
      <c r="E640">
        <f>VLOOKUP(B640, Menu!$A:$F, 5, 0)</f>
        <v>29.14</v>
      </c>
      <c r="F640" t="str">
        <f>VLOOKUP(B640, Menu!$A:$F, 3, 0)</f>
        <v>Dessert</v>
      </c>
      <c r="G640" s="5">
        <f>VLOOKUP(A640, Orders!$A:$B, 2, 0)</f>
        <v>45873.580960648149</v>
      </c>
      <c r="H640" t="str">
        <f>VLOOKUP(A640, Orders!$A:$C, 3, 0)</f>
        <v>Head Office Café</v>
      </c>
      <c r="I640">
        <f>C640*D640*(1-VLOOKUP(A640,Orders!$A:$G,7,0))</f>
        <v>109.5744</v>
      </c>
      <c r="J640" t="str">
        <f>VLOOKUP(A640,Orders!$A:$G,6,0)</f>
        <v>Lunch</v>
      </c>
      <c r="K640" t="str">
        <f>VLOOKUP(A640,Orders!$A:$G,5,0)</f>
        <v>UPI</v>
      </c>
    </row>
    <row r="641" spans="1:11" x14ac:dyDescent="0.3">
      <c r="A641" t="s">
        <v>287</v>
      </c>
      <c r="B641" t="s">
        <v>407</v>
      </c>
      <c r="C641">
        <v>2</v>
      </c>
      <c r="D641">
        <f>VLOOKUP(B641, Menu!$A:$F, 6, 0)</f>
        <v>246.09</v>
      </c>
      <c r="E641">
        <f>VLOOKUP(B641, Menu!$A:$F, 5, 0)</f>
        <v>112.08</v>
      </c>
      <c r="F641" t="str">
        <f>VLOOKUP(B641, Menu!$A:$F, 3, 0)</f>
        <v>Hot Meal</v>
      </c>
      <c r="G641" s="5">
        <f>VLOOKUP(A641, Orders!$A:$B, 2, 0)</f>
        <v>45873.580960648149</v>
      </c>
      <c r="H641" t="str">
        <f>VLOOKUP(A641, Orders!$A:$C, 3, 0)</f>
        <v>Head Office Café</v>
      </c>
      <c r="I641">
        <f>C641*D641*(1-VLOOKUP(A641,Orders!$A:$G,7,0))</f>
        <v>472.49279999999999</v>
      </c>
      <c r="J641" t="str">
        <f>VLOOKUP(A641,Orders!$A:$G,6,0)</f>
        <v>Lunch</v>
      </c>
      <c r="K641" t="str">
        <f>VLOOKUP(A641,Orders!$A:$G,5,0)</f>
        <v>UPI</v>
      </c>
    </row>
    <row r="642" spans="1:11" x14ac:dyDescent="0.3">
      <c r="A642" t="s">
        <v>288</v>
      </c>
      <c r="B642" t="s">
        <v>416</v>
      </c>
      <c r="C642">
        <v>3</v>
      </c>
      <c r="D642">
        <f>VLOOKUP(B642, Menu!$A:$F, 6, 0)</f>
        <v>227.61</v>
      </c>
      <c r="E642">
        <f>VLOOKUP(B642, Menu!$A:$F, 5, 0)</f>
        <v>96.22</v>
      </c>
      <c r="F642" t="str">
        <f>VLOOKUP(B642, Menu!$A:$F, 3, 0)</f>
        <v>Hot Meal</v>
      </c>
      <c r="G642" s="5">
        <f>VLOOKUP(A642, Orders!$A:$B, 2, 0)</f>
        <v>45867.176041666673</v>
      </c>
      <c r="H642" t="str">
        <f>VLOOKUP(A642, Orders!$A:$C, 3, 0)</f>
        <v>Head Office Café</v>
      </c>
      <c r="I642">
        <f>C642*D642*(1-VLOOKUP(A642,Orders!$A:$G,7,0))</f>
        <v>655.51679999999999</v>
      </c>
      <c r="J642" t="str">
        <f>VLOOKUP(A642,Orders!$A:$G,6,0)</f>
        <v>Breakfast</v>
      </c>
      <c r="K642" t="str">
        <f>VLOOKUP(A642,Orders!$A:$G,5,0)</f>
        <v>Card</v>
      </c>
    </row>
    <row r="643" spans="1:11" x14ac:dyDescent="0.3">
      <c r="A643" t="s">
        <v>288</v>
      </c>
      <c r="B643" t="s">
        <v>419</v>
      </c>
      <c r="C643">
        <v>1</v>
      </c>
      <c r="D643">
        <f>VLOOKUP(B643, Menu!$A:$F, 6, 0)</f>
        <v>50.19</v>
      </c>
      <c r="E643">
        <f>VLOOKUP(B643, Menu!$A:$F, 5, 0)</f>
        <v>22.61</v>
      </c>
      <c r="F643" t="str">
        <f>VLOOKUP(B643, Menu!$A:$F, 3, 0)</f>
        <v>Snack</v>
      </c>
      <c r="G643" s="5">
        <f>VLOOKUP(A643, Orders!$A:$B, 2, 0)</f>
        <v>45867.176041666673</v>
      </c>
      <c r="H643" t="str">
        <f>VLOOKUP(A643, Orders!$A:$C, 3, 0)</f>
        <v>Head Office Café</v>
      </c>
      <c r="I643">
        <f>C643*D643*(1-VLOOKUP(A643,Orders!$A:$G,7,0))</f>
        <v>48.182399999999994</v>
      </c>
      <c r="J643" t="str">
        <f>VLOOKUP(A643,Orders!$A:$G,6,0)</f>
        <v>Breakfast</v>
      </c>
      <c r="K643" t="str">
        <f>VLOOKUP(A643,Orders!$A:$G,5,0)</f>
        <v>Card</v>
      </c>
    </row>
    <row r="644" spans="1:11" x14ac:dyDescent="0.3">
      <c r="A644" t="s">
        <v>288</v>
      </c>
      <c r="B644" t="s">
        <v>417</v>
      </c>
      <c r="C644">
        <v>2</v>
      </c>
      <c r="D644">
        <f>VLOOKUP(B644, Menu!$A:$F, 6, 0)</f>
        <v>146.4</v>
      </c>
      <c r="E644">
        <f>VLOOKUP(B644, Menu!$A:$F, 5, 0)</f>
        <v>80.92</v>
      </c>
      <c r="F644" t="str">
        <f>VLOOKUP(B644, Menu!$A:$F, 3, 0)</f>
        <v>Hot Meal</v>
      </c>
      <c r="G644" s="5">
        <f>VLOOKUP(A644, Orders!$A:$B, 2, 0)</f>
        <v>45867.176041666673</v>
      </c>
      <c r="H644" t="str">
        <f>VLOOKUP(A644, Orders!$A:$C, 3, 0)</f>
        <v>Head Office Café</v>
      </c>
      <c r="I644">
        <f>C644*D644*(1-VLOOKUP(A644,Orders!$A:$G,7,0))</f>
        <v>281.08800000000002</v>
      </c>
      <c r="J644" t="str">
        <f>VLOOKUP(A644,Orders!$A:$G,6,0)</f>
        <v>Breakfast</v>
      </c>
      <c r="K644" t="str">
        <f>VLOOKUP(A644,Orders!$A:$G,5,0)</f>
        <v>Card</v>
      </c>
    </row>
    <row r="645" spans="1:11" x14ac:dyDescent="0.3">
      <c r="A645" t="s">
        <v>288</v>
      </c>
      <c r="B645" t="s">
        <v>415</v>
      </c>
      <c r="C645">
        <v>2</v>
      </c>
      <c r="D645">
        <f>VLOOKUP(B645, Menu!$A:$F, 6, 0)</f>
        <v>256.91000000000003</v>
      </c>
      <c r="E645">
        <f>VLOOKUP(B645, Menu!$A:$F, 5, 0)</f>
        <v>121.24</v>
      </c>
      <c r="F645" t="str">
        <f>VLOOKUP(B645, Menu!$A:$F, 3, 0)</f>
        <v>Hot Meal</v>
      </c>
      <c r="G645" s="5">
        <f>VLOOKUP(A645, Orders!$A:$B, 2, 0)</f>
        <v>45867.176041666673</v>
      </c>
      <c r="H645" t="str">
        <f>VLOOKUP(A645, Orders!$A:$C, 3, 0)</f>
        <v>Head Office Café</v>
      </c>
      <c r="I645">
        <f>C645*D645*(1-VLOOKUP(A645,Orders!$A:$G,7,0))</f>
        <v>493.2672</v>
      </c>
      <c r="J645" t="str">
        <f>VLOOKUP(A645,Orders!$A:$G,6,0)</f>
        <v>Breakfast</v>
      </c>
      <c r="K645" t="str">
        <f>VLOOKUP(A645,Orders!$A:$G,5,0)</f>
        <v>Card</v>
      </c>
    </row>
    <row r="646" spans="1:11" x14ac:dyDescent="0.3">
      <c r="A646" t="s">
        <v>289</v>
      </c>
      <c r="B646" t="s">
        <v>406</v>
      </c>
      <c r="C646">
        <v>2</v>
      </c>
      <c r="D646">
        <f>VLOOKUP(B646, Menu!$A:$F, 6, 0)</f>
        <v>38.06</v>
      </c>
      <c r="E646">
        <f>VLOOKUP(B646, Menu!$A:$F, 5, 0)</f>
        <v>19.55</v>
      </c>
      <c r="F646" t="str">
        <f>VLOOKUP(B646, Menu!$A:$F, 3, 0)</f>
        <v>Snack</v>
      </c>
      <c r="G646" s="5">
        <f>VLOOKUP(A646, Orders!$A:$B, 2, 0)</f>
        <v>45895.360312500001</v>
      </c>
      <c r="H646" t="str">
        <f>VLOOKUP(A646, Orders!$A:$C, 3, 0)</f>
        <v>Head Office Café</v>
      </c>
      <c r="I646">
        <f>C646*D646*(1-VLOOKUP(A646,Orders!$A:$G,7,0))</f>
        <v>69.269200000000012</v>
      </c>
      <c r="J646" t="str">
        <f>VLOOKUP(A646,Orders!$A:$G,6,0)</f>
        <v>Breakfast</v>
      </c>
      <c r="K646" t="str">
        <f>VLOOKUP(A646,Orders!$A:$G,5,0)</f>
        <v>Cash</v>
      </c>
    </row>
    <row r="647" spans="1:11" x14ac:dyDescent="0.3">
      <c r="A647" t="s">
        <v>289</v>
      </c>
      <c r="B647" t="s">
        <v>415</v>
      </c>
      <c r="C647">
        <v>1</v>
      </c>
      <c r="D647">
        <f>VLOOKUP(B647, Menu!$A:$F, 6, 0)</f>
        <v>256.91000000000003</v>
      </c>
      <c r="E647">
        <f>VLOOKUP(B647, Menu!$A:$F, 5, 0)</f>
        <v>121.24</v>
      </c>
      <c r="F647" t="str">
        <f>VLOOKUP(B647, Menu!$A:$F, 3, 0)</f>
        <v>Hot Meal</v>
      </c>
      <c r="G647" s="5">
        <f>VLOOKUP(A647, Orders!$A:$B, 2, 0)</f>
        <v>45895.360312500001</v>
      </c>
      <c r="H647" t="str">
        <f>VLOOKUP(A647, Orders!$A:$C, 3, 0)</f>
        <v>Head Office Café</v>
      </c>
      <c r="I647">
        <f>C647*D647*(1-VLOOKUP(A647,Orders!$A:$G,7,0))</f>
        <v>233.78810000000004</v>
      </c>
      <c r="J647" t="str">
        <f>VLOOKUP(A647,Orders!$A:$G,6,0)</f>
        <v>Breakfast</v>
      </c>
      <c r="K647" t="str">
        <f>VLOOKUP(A647,Orders!$A:$G,5,0)</f>
        <v>Cash</v>
      </c>
    </row>
    <row r="648" spans="1:11" x14ac:dyDescent="0.3">
      <c r="A648" t="s">
        <v>289</v>
      </c>
      <c r="B648" t="s">
        <v>416</v>
      </c>
      <c r="C648">
        <v>3</v>
      </c>
      <c r="D648">
        <f>VLOOKUP(B648, Menu!$A:$F, 6, 0)</f>
        <v>227.61</v>
      </c>
      <c r="E648">
        <f>VLOOKUP(B648, Menu!$A:$F, 5, 0)</f>
        <v>96.22</v>
      </c>
      <c r="F648" t="str">
        <f>VLOOKUP(B648, Menu!$A:$F, 3, 0)</f>
        <v>Hot Meal</v>
      </c>
      <c r="G648" s="5">
        <f>VLOOKUP(A648, Orders!$A:$B, 2, 0)</f>
        <v>45895.360312500001</v>
      </c>
      <c r="H648" t="str">
        <f>VLOOKUP(A648, Orders!$A:$C, 3, 0)</f>
        <v>Head Office Café</v>
      </c>
      <c r="I648">
        <f>C648*D648*(1-VLOOKUP(A648,Orders!$A:$G,7,0))</f>
        <v>621.37530000000004</v>
      </c>
      <c r="J648" t="str">
        <f>VLOOKUP(A648,Orders!$A:$G,6,0)</f>
        <v>Breakfast</v>
      </c>
      <c r="K648" t="str">
        <f>VLOOKUP(A648,Orders!$A:$G,5,0)</f>
        <v>Cash</v>
      </c>
    </row>
    <row r="649" spans="1:11" x14ac:dyDescent="0.3">
      <c r="A649" t="s">
        <v>290</v>
      </c>
      <c r="B649" t="s">
        <v>416</v>
      </c>
      <c r="C649">
        <v>1</v>
      </c>
      <c r="D649">
        <f>VLOOKUP(B649, Menu!$A:$F, 6, 0)</f>
        <v>227.61</v>
      </c>
      <c r="E649">
        <f>VLOOKUP(B649, Menu!$A:$F, 5, 0)</f>
        <v>96.22</v>
      </c>
      <c r="F649" t="str">
        <f>VLOOKUP(B649, Menu!$A:$F, 3, 0)</f>
        <v>Hot Meal</v>
      </c>
      <c r="G649" s="5">
        <f>VLOOKUP(A649, Orders!$A:$B, 2, 0)</f>
        <v>45861.022013888891</v>
      </c>
      <c r="H649" t="str">
        <f>VLOOKUP(A649, Orders!$A:$C, 3, 0)</f>
        <v>Plant 1 Canteen</v>
      </c>
      <c r="I649">
        <f>C649*D649*(1-VLOOKUP(A649,Orders!$A:$G,7,0))</f>
        <v>211.6773</v>
      </c>
      <c r="J649" t="str">
        <f>VLOOKUP(A649,Orders!$A:$G,6,0)</f>
        <v>Breakfast</v>
      </c>
      <c r="K649" t="str">
        <f>VLOOKUP(A649,Orders!$A:$G,5,0)</f>
        <v>UPI</v>
      </c>
    </row>
    <row r="650" spans="1:11" x14ac:dyDescent="0.3">
      <c r="A650" t="s">
        <v>290</v>
      </c>
      <c r="B650" t="s">
        <v>401</v>
      </c>
      <c r="C650">
        <v>1</v>
      </c>
      <c r="D650">
        <f>VLOOKUP(B650, Menu!$A:$F, 6, 0)</f>
        <v>52.45</v>
      </c>
      <c r="E650">
        <f>VLOOKUP(B650, Menu!$A:$F, 5, 0)</f>
        <v>25.8</v>
      </c>
      <c r="F650" t="str">
        <f>VLOOKUP(B650, Menu!$A:$F, 3, 0)</f>
        <v>Snack</v>
      </c>
      <c r="G650" s="5">
        <f>VLOOKUP(A650, Orders!$A:$B, 2, 0)</f>
        <v>45861.022013888891</v>
      </c>
      <c r="H650" t="str">
        <f>VLOOKUP(A650, Orders!$A:$C, 3, 0)</f>
        <v>Plant 1 Canteen</v>
      </c>
      <c r="I650">
        <f>C650*D650*(1-VLOOKUP(A650,Orders!$A:$G,7,0))</f>
        <v>48.778500000000001</v>
      </c>
      <c r="J650" t="str">
        <f>VLOOKUP(A650,Orders!$A:$G,6,0)</f>
        <v>Breakfast</v>
      </c>
      <c r="K650" t="str">
        <f>VLOOKUP(A650,Orders!$A:$G,5,0)</f>
        <v>UPI</v>
      </c>
    </row>
    <row r="651" spans="1:11" x14ac:dyDescent="0.3">
      <c r="A651" t="s">
        <v>291</v>
      </c>
      <c r="B651" t="s">
        <v>408</v>
      </c>
      <c r="C651">
        <v>2</v>
      </c>
      <c r="D651">
        <f>VLOOKUP(B651, Menu!$A:$F, 6, 0)</f>
        <v>70.540000000000006</v>
      </c>
      <c r="E651">
        <f>VLOOKUP(B651, Menu!$A:$F, 5, 0)</f>
        <v>35.81</v>
      </c>
      <c r="F651" t="str">
        <f>VLOOKUP(B651, Menu!$A:$F, 3, 0)</f>
        <v>Snack</v>
      </c>
      <c r="G651" s="5">
        <f>VLOOKUP(A651, Orders!$A:$B, 2, 0)</f>
        <v>45850.404247685183</v>
      </c>
      <c r="H651" t="str">
        <f>VLOOKUP(A651, Orders!$A:$C, 3, 0)</f>
        <v>Plant 2 Canteen</v>
      </c>
      <c r="I651">
        <f>C651*D651*(1-VLOOKUP(A651,Orders!$A:$G,7,0))</f>
        <v>136.8476</v>
      </c>
      <c r="J651" t="str">
        <f>VLOOKUP(A651,Orders!$A:$G,6,0)</f>
        <v>Breakfast</v>
      </c>
      <c r="K651" t="str">
        <f>VLOOKUP(A651,Orders!$A:$G,5,0)</f>
        <v>Cash</v>
      </c>
    </row>
    <row r="652" spans="1:11" x14ac:dyDescent="0.3">
      <c r="A652" t="s">
        <v>291</v>
      </c>
      <c r="B652" t="s">
        <v>406</v>
      </c>
      <c r="C652">
        <v>2</v>
      </c>
      <c r="D652">
        <f>VLOOKUP(B652, Menu!$A:$F, 6, 0)</f>
        <v>38.06</v>
      </c>
      <c r="E652">
        <f>VLOOKUP(B652, Menu!$A:$F, 5, 0)</f>
        <v>19.55</v>
      </c>
      <c r="F652" t="str">
        <f>VLOOKUP(B652, Menu!$A:$F, 3, 0)</f>
        <v>Snack</v>
      </c>
      <c r="G652" s="5">
        <f>VLOOKUP(A652, Orders!$A:$B, 2, 0)</f>
        <v>45850.404247685183</v>
      </c>
      <c r="H652" t="str">
        <f>VLOOKUP(A652, Orders!$A:$C, 3, 0)</f>
        <v>Plant 2 Canteen</v>
      </c>
      <c r="I652">
        <f>C652*D652*(1-VLOOKUP(A652,Orders!$A:$G,7,0))</f>
        <v>73.836399999999998</v>
      </c>
      <c r="J652" t="str">
        <f>VLOOKUP(A652,Orders!$A:$G,6,0)</f>
        <v>Breakfast</v>
      </c>
      <c r="K652" t="str">
        <f>VLOOKUP(A652,Orders!$A:$G,5,0)</f>
        <v>Cash</v>
      </c>
    </row>
    <row r="653" spans="1:11" x14ac:dyDescent="0.3">
      <c r="A653" t="s">
        <v>291</v>
      </c>
      <c r="B653" t="s">
        <v>411</v>
      </c>
      <c r="C653">
        <v>2</v>
      </c>
      <c r="D653">
        <f>VLOOKUP(B653, Menu!$A:$F, 6, 0)</f>
        <v>22.2</v>
      </c>
      <c r="E653">
        <f>VLOOKUP(B653, Menu!$A:$F, 5, 0)</f>
        <v>9.3800000000000008</v>
      </c>
      <c r="F653" t="str">
        <f>VLOOKUP(B653, Menu!$A:$F, 3, 0)</f>
        <v>Beverage</v>
      </c>
      <c r="G653" s="5">
        <f>VLOOKUP(A653, Orders!$A:$B, 2, 0)</f>
        <v>45850.404247685183</v>
      </c>
      <c r="H653" t="str">
        <f>VLOOKUP(A653, Orders!$A:$C, 3, 0)</f>
        <v>Plant 2 Canteen</v>
      </c>
      <c r="I653">
        <f>C653*D653*(1-VLOOKUP(A653,Orders!$A:$G,7,0))</f>
        <v>43.067999999999998</v>
      </c>
      <c r="J653" t="str">
        <f>VLOOKUP(A653,Orders!$A:$G,6,0)</f>
        <v>Breakfast</v>
      </c>
      <c r="K653" t="str">
        <f>VLOOKUP(A653,Orders!$A:$G,5,0)</f>
        <v>Cash</v>
      </c>
    </row>
    <row r="654" spans="1:11" x14ac:dyDescent="0.3">
      <c r="A654" t="s">
        <v>291</v>
      </c>
      <c r="B654" t="s">
        <v>416</v>
      </c>
      <c r="C654">
        <v>1</v>
      </c>
      <c r="D654">
        <f>VLOOKUP(B654, Menu!$A:$F, 6, 0)</f>
        <v>227.61</v>
      </c>
      <c r="E654">
        <f>VLOOKUP(B654, Menu!$A:$F, 5, 0)</f>
        <v>96.22</v>
      </c>
      <c r="F654" t="str">
        <f>VLOOKUP(B654, Menu!$A:$F, 3, 0)</f>
        <v>Hot Meal</v>
      </c>
      <c r="G654" s="5">
        <f>VLOOKUP(A654, Orders!$A:$B, 2, 0)</f>
        <v>45850.404247685183</v>
      </c>
      <c r="H654" t="str">
        <f>VLOOKUP(A654, Orders!$A:$C, 3, 0)</f>
        <v>Plant 2 Canteen</v>
      </c>
      <c r="I654">
        <f>C654*D654*(1-VLOOKUP(A654,Orders!$A:$G,7,0))</f>
        <v>220.7817</v>
      </c>
      <c r="J654" t="str">
        <f>VLOOKUP(A654,Orders!$A:$G,6,0)</f>
        <v>Breakfast</v>
      </c>
      <c r="K654" t="str">
        <f>VLOOKUP(A654,Orders!$A:$G,5,0)</f>
        <v>Cash</v>
      </c>
    </row>
    <row r="655" spans="1:11" x14ac:dyDescent="0.3">
      <c r="A655" t="s">
        <v>292</v>
      </c>
      <c r="B655" t="s">
        <v>418</v>
      </c>
      <c r="C655">
        <v>2</v>
      </c>
      <c r="D655">
        <f>VLOOKUP(B655, Menu!$A:$F, 6, 0)</f>
        <v>39.950000000000003</v>
      </c>
      <c r="E655">
        <f>VLOOKUP(B655, Menu!$A:$F, 5, 0)</f>
        <v>15.51</v>
      </c>
      <c r="F655" t="str">
        <f>VLOOKUP(B655, Menu!$A:$F, 3, 0)</f>
        <v>Snack</v>
      </c>
      <c r="G655" s="5">
        <f>VLOOKUP(A655, Orders!$A:$B, 2, 0)</f>
        <v>45893.714363425926</v>
      </c>
      <c r="H655" t="str">
        <f>VLOOKUP(A655, Orders!$A:$C, 3, 0)</f>
        <v>Head Office Café</v>
      </c>
      <c r="I655">
        <f>C655*D655*(1-VLOOKUP(A655,Orders!$A:$G,7,0))</f>
        <v>71.910000000000011</v>
      </c>
      <c r="J655" t="str">
        <f>VLOOKUP(A655,Orders!$A:$G,6,0)</f>
        <v>Dinner</v>
      </c>
      <c r="K655" t="str">
        <f>VLOOKUP(A655,Orders!$A:$G,5,0)</f>
        <v>UPI</v>
      </c>
    </row>
    <row r="656" spans="1:11" x14ac:dyDescent="0.3">
      <c r="A656" t="s">
        <v>292</v>
      </c>
      <c r="B656" t="s">
        <v>416</v>
      </c>
      <c r="C656">
        <v>1</v>
      </c>
      <c r="D656">
        <f>VLOOKUP(B656, Menu!$A:$F, 6, 0)</f>
        <v>227.61</v>
      </c>
      <c r="E656">
        <f>VLOOKUP(B656, Menu!$A:$F, 5, 0)</f>
        <v>96.22</v>
      </c>
      <c r="F656" t="str">
        <f>VLOOKUP(B656, Menu!$A:$F, 3, 0)</f>
        <v>Hot Meal</v>
      </c>
      <c r="G656" s="5">
        <f>VLOOKUP(A656, Orders!$A:$B, 2, 0)</f>
        <v>45893.714363425926</v>
      </c>
      <c r="H656" t="str">
        <f>VLOOKUP(A656, Orders!$A:$C, 3, 0)</f>
        <v>Head Office Café</v>
      </c>
      <c r="I656">
        <f>C656*D656*(1-VLOOKUP(A656,Orders!$A:$G,7,0))</f>
        <v>204.84900000000002</v>
      </c>
      <c r="J656" t="str">
        <f>VLOOKUP(A656,Orders!$A:$G,6,0)</f>
        <v>Dinner</v>
      </c>
      <c r="K656" t="str">
        <f>VLOOKUP(A656,Orders!$A:$G,5,0)</f>
        <v>UPI</v>
      </c>
    </row>
    <row r="657" spans="1:11" x14ac:dyDescent="0.3">
      <c r="A657" t="s">
        <v>292</v>
      </c>
      <c r="B657" t="s">
        <v>415</v>
      </c>
      <c r="C657">
        <v>1</v>
      </c>
      <c r="D657">
        <f>VLOOKUP(B657, Menu!$A:$F, 6, 0)</f>
        <v>256.91000000000003</v>
      </c>
      <c r="E657">
        <f>VLOOKUP(B657, Menu!$A:$F, 5, 0)</f>
        <v>121.24</v>
      </c>
      <c r="F657" t="str">
        <f>VLOOKUP(B657, Menu!$A:$F, 3, 0)</f>
        <v>Hot Meal</v>
      </c>
      <c r="G657" s="5">
        <f>VLOOKUP(A657, Orders!$A:$B, 2, 0)</f>
        <v>45893.714363425926</v>
      </c>
      <c r="H657" t="str">
        <f>VLOOKUP(A657, Orders!$A:$C, 3, 0)</f>
        <v>Head Office Café</v>
      </c>
      <c r="I657">
        <f>C657*D657*(1-VLOOKUP(A657,Orders!$A:$G,7,0))</f>
        <v>231.21900000000002</v>
      </c>
      <c r="J657" t="str">
        <f>VLOOKUP(A657,Orders!$A:$G,6,0)</f>
        <v>Dinner</v>
      </c>
      <c r="K657" t="str">
        <f>VLOOKUP(A657,Orders!$A:$G,5,0)</f>
        <v>UPI</v>
      </c>
    </row>
    <row r="658" spans="1:11" x14ac:dyDescent="0.3">
      <c r="A658" t="s">
        <v>293</v>
      </c>
      <c r="B658" t="s">
        <v>411</v>
      </c>
      <c r="C658">
        <v>1</v>
      </c>
      <c r="D658">
        <f>VLOOKUP(B658, Menu!$A:$F, 6, 0)</f>
        <v>22.2</v>
      </c>
      <c r="E658">
        <f>VLOOKUP(B658, Menu!$A:$F, 5, 0)</f>
        <v>9.3800000000000008</v>
      </c>
      <c r="F658" t="str">
        <f>VLOOKUP(B658, Menu!$A:$F, 3, 0)</f>
        <v>Beverage</v>
      </c>
      <c r="G658" s="5">
        <f>VLOOKUP(A658, Orders!$A:$B, 2, 0)</f>
        <v>45841.798993055563</v>
      </c>
      <c r="H658" t="str">
        <f>VLOOKUP(A658, Orders!$A:$C, 3, 0)</f>
        <v>Head Office Café</v>
      </c>
      <c r="I658">
        <f>C658*D658*(1-VLOOKUP(A658,Orders!$A:$G,7,0))</f>
        <v>20.645999999999997</v>
      </c>
      <c r="J658" t="str">
        <f>VLOOKUP(A658,Orders!$A:$G,6,0)</f>
        <v>Dinner</v>
      </c>
      <c r="K658" t="str">
        <f>VLOOKUP(A658,Orders!$A:$G,5,0)</f>
        <v>UPI</v>
      </c>
    </row>
    <row r="659" spans="1:11" x14ac:dyDescent="0.3">
      <c r="A659" t="s">
        <v>293</v>
      </c>
      <c r="B659" t="s">
        <v>401</v>
      </c>
      <c r="C659">
        <v>1</v>
      </c>
      <c r="D659">
        <f>VLOOKUP(B659, Menu!$A:$F, 6, 0)</f>
        <v>52.45</v>
      </c>
      <c r="E659">
        <f>VLOOKUP(B659, Menu!$A:$F, 5, 0)</f>
        <v>25.8</v>
      </c>
      <c r="F659" t="str">
        <f>VLOOKUP(B659, Menu!$A:$F, 3, 0)</f>
        <v>Snack</v>
      </c>
      <c r="G659" s="5">
        <f>VLOOKUP(A659, Orders!$A:$B, 2, 0)</f>
        <v>45841.798993055563</v>
      </c>
      <c r="H659" t="str">
        <f>VLOOKUP(A659, Orders!$A:$C, 3, 0)</f>
        <v>Head Office Café</v>
      </c>
      <c r="I659">
        <f>C659*D659*(1-VLOOKUP(A659,Orders!$A:$G,7,0))</f>
        <v>48.778500000000001</v>
      </c>
      <c r="J659" t="str">
        <f>VLOOKUP(A659,Orders!$A:$G,6,0)</f>
        <v>Dinner</v>
      </c>
      <c r="K659" t="str">
        <f>VLOOKUP(A659,Orders!$A:$G,5,0)</f>
        <v>UPI</v>
      </c>
    </row>
    <row r="660" spans="1:11" x14ac:dyDescent="0.3">
      <c r="A660" t="s">
        <v>293</v>
      </c>
      <c r="B660" t="s">
        <v>417</v>
      </c>
      <c r="C660">
        <v>2</v>
      </c>
      <c r="D660">
        <f>VLOOKUP(B660, Menu!$A:$F, 6, 0)</f>
        <v>146.4</v>
      </c>
      <c r="E660">
        <f>VLOOKUP(B660, Menu!$A:$F, 5, 0)</f>
        <v>80.92</v>
      </c>
      <c r="F660" t="str">
        <f>VLOOKUP(B660, Menu!$A:$F, 3, 0)</f>
        <v>Hot Meal</v>
      </c>
      <c r="G660" s="5">
        <f>VLOOKUP(A660, Orders!$A:$B, 2, 0)</f>
        <v>45841.798993055563</v>
      </c>
      <c r="H660" t="str">
        <f>VLOOKUP(A660, Orders!$A:$C, 3, 0)</f>
        <v>Head Office Café</v>
      </c>
      <c r="I660">
        <f>C660*D660*(1-VLOOKUP(A660,Orders!$A:$G,7,0))</f>
        <v>272.30399999999997</v>
      </c>
      <c r="J660" t="str">
        <f>VLOOKUP(A660,Orders!$A:$G,6,0)</f>
        <v>Dinner</v>
      </c>
      <c r="K660" t="str">
        <f>VLOOKUP(A660,Orders!$A:$G,5,0)</f>
        <v>UPI</v>
      </c>
    </row>
    <row r="661" spans="1:11" x14ac:dyDescent="0.3">
      <c r="A661" t="s">
        <v>294</v>
      </c>
      <c r="B661" t="s">
        <v>412</v>
      </c>
      <c r="C661">
        <v>1</v>
      </c>
      <c r="D661">
        <f>VLOOKUP(B661, Menu!$A:$F, 6, 0)</f>
        <v>57.07</v>
      </c>
      <c r="E661">
        <f>VLOOKUP(B661, Menu!$A:$F, 5, 0)</f>
        <v>29.14</v>
      </c>
      <c r="F661" t="str">
        <f>VLOOKUP(B661, Menu!$A:$F, 3, 0)</f>
        <v>Dessert</v>
      </c>
      <c r="G661" s="5">
        <f>VLOOKUP(A661, Orders!$A:$B, 2, 0)</f>
        <v>45842.061064814807</v>
      </c>
      <c r="H661" t="str">
        <f>VLOOKUP(A661, Orders!$A:$C, 3, 0)</f>
        <v>Plant 1 Canteen</v>
      </c>
      <c r="I661">
        <f>C661*D661*(1-VLOOKUP(A661,Orders!$A:$G,7,0))</f>
        <v>51.933700000000002</v>
      </c>
      <c r="J661" t="str">
        <f>VLOOKUP(A661,Orders!$A:$G,6,0)</f>
        <v>Breakfast</v>
      </c>
      <c r="K661" t="str">
        <f>VLOOKUP(A661,Orders!$A:$G,5,0)</f>
        <v>UPI</v>
      </c>
    </row>
    <row r="662" spans="1:11" x14ac:dyDescent="0.3">
      <c r="A662" t="s">
        <v>294</v>
      </c>
      <c r="B662" t="s">
        <v>419</v>
      </c>
      <c r="C662">
        <v>1</v>
      </c>
      <c r="D662">
        <f>VLOOKUP(B662, Menu!$A:$F, 6, 0)</f>
        <v>50.19</v>
      </c>
      <c r="E662">
        <f>VLOOKUP(B662, Menu!$A:$F, 5, 0)</f>
        <v>22.61</v>
      </c>
      <c r="F662" t="str">
        <f>VLOOKUP(B662, Menu!$A:$F, 3, 0)</f>
        <v>Snack</v>
      </c>
      <c r="G662" s="5">
        <f>VLOOKUP(A662, Orders!$A:$B, 2, 0)</f>
        <v>45842.061064814807</v>
      </c>
      <c r="H662" t="str">
        <f>VLOOKUP(A662, Orders!$A:$C, 3, 0)</f>
        <v>Plant 1 Canteen</v>
      </c>
      <c r="I662">
        <f>C662*D662*(1-VLOOKUP(A662,Orders!$A:$G,7,0))</f>
        <v>45.672899999999998</v>
      </c>
      <c r="J662" t="str">
        <f>VLOOKUP(A662,Orders!$A:$G,6,0)</f>
        <v>Breakfast</v>
      </c>
      <c r="K662" t="str">
        <f>VLOOKUP(A662,Orders!$A:$G,5,0)</f>
        <v>UPI</v>
      </c>
    </row>
    <row r="663" spans="1:11" x14ac:dyDescent="0.3">
      <c r="A663" t="s">
        <v>294</v>
      </c>
      <c r="B663" t="s">
        <v>411</v>
      </c>
      <c r="C663">
        <v>3</v>
      </c>
      <c r="D663">
        <f>VLOOKUP(B663, Menu!$A:$F, 6, 0)</f>
        <v>22.2</v>
      </c>
      <c r="E663">
        <f>VLOOKUP(B663, Menu!$A:$F, 5, 0)</f>
        <v>9.3800000000000008</v>
      </c>
      <c r="F663" t="str">
        <f>VLOOKUP(B663, Menu!$A:$F, 3, 0)</f>
        <v>Beverage</v>
      </c>
      <c r="G663" s="5">
        <f>VLOOKUP(A663, Orders!$A:$B, 2, 0)</f>
        <v>45842.061064814807</v>
      </c>
      <c r="H663" t="str">
        <f>VLOOKUP(A663, Orders!$A:$C, 3, 0)</f>
        <v>Plant 1 Canteen</v>
      </c>
      <c r="I663">
        <f>C663*D663*(1-VLOOKUP(A663,Orders!$A:$G,7,0))</f>
        <v>60.605999999999995</v>
      </c>
      <c r="J663" t="str">
        <f>VLOOKUP(A663,Orders!$A:$G,6,0)</f>
        <v>Breakfast</v>
      </c>
      <c r="K663" t="str">
        <f>VLOOKUP(A663,Orders!$A:$G,5,0)</f>
        <v>UPI</v>
      </c>
    </row>
    <row r="664" spans="1:11" x14ac:dyDescent="0.3">
      <c r="A664" t="s">
        <v>295</v>
      </c>
      <c r="B664" t="s">
        <v>404</v>
      </c>
      <c r="C664">
        <v>2</v>
      </c>
      <c r="D664">
        <f>VLOOKUP(B664, Menu!$A:$F, 6, 0)</f>
        <v>32.979999999999997</v>
      </c>
      <c r="E664">
        <f>VLOOKUP(B664, Menu!$A:$F, 5, 0)</f>
        <v>11.84</v>
      </c>
      <c r="F664" t="str">
        <f>VLOOKUP(B664, Menu!$A:$F, 3, 0)</f>
        <v>Beverage</v>
      </c>
      <c r="G664" s="5">
        <f>VLOOKUP(A664, Orders!$A:$B, 2, 0)</f>
        <v>45872.243692129632</v>
      </c>
      <c r="H664" t="str">
        <f>VLOOKUP(A664, Orders!$A:$C, 3, 0)</f>
        <v>Plant 2 Canteen</v>
      </c>
      <c r="I664">
        <f>C664*D664*(1-VLOOKUP(A664,Orders!$A:$G,7,0))</f>
        <v>60.023599999999995</v>
      </c>
      <c r="J664" t="str">
        <f>VLOOKUP(A664,Orders!$A:$G,6,0)</f>
        <v>Breakfast</v>
      </c>
      <c r="K664" t="str">
        <f>VLOOKUP(A664,Orders!$A:$G,5,0)</f>
        <v>Cash</v>
      </c>
    </row>
    <row r="665" spans="1:11" x14ac:dyDescent="0.3">
      <c r="A665" t="s">
        <v>295</v>
      </c>
      <c r="B665" t="s">
        <v>408</v>
      </c>
      <c r="C665">
        <v>3</v>
      </c>
      <c r="D665">
        <f>VLOOKUP(B665, Menu!$A:$F, 6, 0)</f>
        <v>70.540000000000006</v>
      </c>
      <c r="E665">
        <f>VLOOKUP(B665, Menu!$A:$F, 5, 0)</f>
        <v>35.81</v>
      </c>
      <c r="F665" t="str">
        <f>VLOOKUP(B665, Menu!$A:$F, 3, 0)</f>
        <v>Snack</v>
      </c>
      <c r="G665" s="5">
        <f>VLOOKUP(A665, Orders!$A:$B, 2, 0)</f>
        <v>45872.243692129632</v>
      </c>
      <c r="H665" t="str">
        <f>VLOOKUP(A665, Orders!$A:$C, 3, 0)</f>
        <v>Plant 2 Canteen</v>
      </c>
      <c r="I665">
        <f>C665*D665*(1-VLOOKUP(A665,Orders!$A:$G,7,0))</f>
        <v>192.57420000000002</v>
      </c>
      <c r="J665" t="str">
        <f>VLOOKUP(A665,Orders!$A:$G,6,0)</f>
        <v>Breakfast</v>
      </c>
      <c r="K665" t="str">
        <f>VLOOKUP(A665,Orders!$A:$G,5,0)</f>
        <v>Cash</v>
      </c>
    </row>
    <row r="666" spans="1:11" x14ac:dyDescent="0.3">
      <c r="A666" t="s">
        <v>295</v>
      </c>
      <c r="B666" t="s">
        <v>409</v>
      </c>
      <c r="C666">
        <v>1</v>
      </c>
      <c r="D666">
        <f>VLOOKUP(B666, Menu!$A:$F, 6, 0)</f>
        <v>28.43</v>
      </c>
      <c r="E666">
        <f>VLOOKUP(B666, Menu!$A:$F, 5, 0)</f>
        <v>13.89</v>
      </c>
      <c r="F666" t="str">
        <f>VLOOKUP(B666, Menu!$A:$F, 3, 0)</f>
        <v>Beverage</v>
      </c>
      <c r="G666" s="5">
        <f>VLOOKUP(A666, Orders!$A:$B, 2, 0)</f>
        <v>45872.243692129632</v>
      </c>
      <c r="H666" t="str">
        <f>VLOOKUP(A666, Orders!$A:$C, 3, 0)</f>
        <v>Plant 2 Canteen</v>
      </c>
      <c r="I666">
        <f>C666*D666*(1-VLOOKUP(A666,Orders!$A:$G,7,0))</f>
        <v>25.871300000000002</v>
      </c>
      <c r="J666" t="str">
        <f>VLOOKUP(A666,Orders!$A:$G,6,0)</f>
        <v>Breakfast</v>
      </c>
      <c r="K666" t="str">
        <f>VLOOKUP(A666,Orders!$A:$G,5,0)</f>
        <v>Cash</v>
      </c>
    </row>
    <row r="667" spans="1:11" x14ac:dyDescent="0.3">
      <c r="A667" t="s">
        <v>295</v>
      </c>
      <c r="B667" t="s">
        <v>417</v>
      </c>
      <c r="C667">
        <v>2</v>
      </c>
      <c r="D667">
        <f>VLOOKUP(B667, Menu!$A:$F, 6, 0)</f>
        <v>146.4</v>
      </c>
      <c r="E667">
        <f>VLOOKUP(B667, Menu!$A:$F, 5, 0)</f>
        <v>80.92</v>
      </c>
      <c r="F667" t="str">
        <f>VLOOKUP(B667, Menu!$A:$F, 3, 0)</f>
        <v>Hot Meal</v>
      </c>
      <c r="G667" s="5">
        <f>VLOOKUP(A667, Orders!$A:$B, 2, 0)</f>
        <v>45872.243692129632</v>
      </c>
      <c r="H667" t="str">
        <f>VLOOKUP(A667, Orders!$A:$C, 3, 0)</f>
        <v>Plant 2 Canteen</v>
      </c>
      <c r="I667">
        <f>C667*D667*(1-VLOOKUP(A667,Orders!$A:$G,7,0))</f>
        <v>266.44800000000004</v>
      </c>
      <c r="J667" t="str">
        <f>VLOOKUP(A667,Orders!$A:$G,6,0)</f>
        <v>Breakfast</v>
      </c>
      <c r="K667" t="str">
        <f>VLOOKUP(A667,Orders!$A:$G,5,0)</f>
        <v>Cash</v>
      </c>
    </row>
    <row r="668" spans="1:11" x14ac:dyDescent="0.3">
      <c r="A668" t="s">
        <v>296</v>
      </c>
      <c r="B668" t="s">
        <v>407</v>
      </c>
      <c r="C668">
        <v>1</v>
      </c>
      <c r="D668">
        <f>VLOOKUP(B668, Menu!$A:$F, 6, 0)</f>
        <v>246.09</v>
      </c>
      <c r="E668">
        <f>VLOOKUP(B668, Menu!$A:$F, 5, 0)</f>
        <v>112.08</v>
      </c>
      <c r="F668" t="str">
        <f>VLOOKUP(B668, Menu!$A:$F, 3, 0)</f>
        <v>Hot Meal</v>
      </c>
      <c r="G668" s="5">
        <f>VLOOKUP(A668, Orders!$A:$B, 2, 0)</f>
        <v>45894.234317129631</v>
      </c>
      <c r="H668" t="str">
        <f>VLOOKUP(A668, Orders!$A:$C, 3, 0)</f>
        <v>Head Office Café</v>
      </c>
      <c r="I668">
        <f>C668*D668*(1-VLOOKUP(A668,Orders!$A:$G,7,0))</f>
        <v>238.7073</v>
      </c>
      <c r="J668" t="str">
        <f>VLOOKUP(A668,Orders!$A:$G,6,0)</f>
        <v>Breakfast</v>
      </c>
      <c r="K668" t="str">
        <f>VLOOKUP(A668,Orders!$A:$G,5,0)</f>
        <v>Cash</v>
      </c>
    </row>
    <row r="669" spans="1:11" x14ac:dyDescent="0.3">
      <c r="A669" t="s">
        <v>296</v>
      </c>
      <c r="B669" t="s">
        <v>408</v>
      </c>
      <c r="C669">
        <v>2</v>
      </c>
      <c r="D669">
        <f>VLOOKUP(B669, Menu!$A:$F, 6, 0)</f>
        <v>70.540000000000006</v>
      </c>
      <c r="E669">
        <f>VLOOKUP(B669, Menu!$A:$F, 5, 0)</f>
        <v>35.81</v>
      </c>
      <c r="F669" t="str">
        <f>VLOOKUP(B669, Menu!$A:$F, 3, 0)</f>
        <v>Snack</v>
      </c>
      <c r="G669" s="5">
        <f>VLOOKUP(A669, Orders!$A:$B, 2, 0)</f>
        <v>45894.234317129631</v>
      </c>
      <c r="H669" t="str">
        <f>VLOOKUP(A669, Orders!$A:$C, 3, 0)</f>
        <v>Head Office Café</v>
      </c>
      <c r="I669">
        <f>C669*D669*(1-VLOOKUP(A669,Orders!$A:$G,7,0))</f>
        <v>136.8476</v>
      </c>
      <c r="J669" t="str">
        <f>VLOOKUP(A669,Orders!$A:$G,6,0)</f>
        <v>Breakfast</v>
      </c>
      <c r="K669" t="str">
        <f>VLOOKUP(A669,Orders!$A:$G,5,0)</f>
        <v>Cash</v>
      </c>
    </row>
    <row r="670" spans="1:11" x14ac:dyDescent="0.3">
      <c r="A670" t="s">
        <v>297</v>
      </c>
      <c r="B670" t="s">
        <v>416</v>
      </c>
      <c r="C670">
        <v>1</v>
      </c>
      <c r="D670">
        <f>VLOOKUP(B670, Menu!$A:$F, 6, 0)</f>
        <v>227.61</v>
      </c>
      <c r="E670">
        <f>VLOOKUP(B670, Menu!$A:$F, 5, 0)</f>
        <v>96.22</v>
      </c>
      <c r="F670" t="str">
        <f>VLOOKUP(B670, Menu!$A:$F, 3, 0)</f>
        <v>Hot Meal</v>
      </c>
      <c r="G670" s="5">
        <f>VLOOKUP(A670, Orders!$A:$B, 2, 0)</f>
        <v>45842.226504629631</v>
      </c>
      <c r="H670" t="str">
        <f>VLOOKUP(A670, Orders!$A:$C, 3, 0)</f>
        <v>Plant 1 Canteen</v>
      </c>
      <c r="I670">
        <f>C670*D670*(1-VLOOKUP(A670,Orders!$A:$G,7,0))</f>
        <v>218.50560000000002</v>
      </c>
      <c r="J670" t="str">
        <f>VLOOKUP(A670,Orders!$A:$G,6,0)</f>
        <v>Breakfast</v>
      </c>
      <c r="K670" t="str">
        <f>VLOOKUP(A670,Orders!$A:$G,5,0)</f>
        <v>UPI</v>
      </c>
    </row>
    <row r="671" spans="1:11" x14ac:dyDescent="0.3">
      <c r="A671" t="s">
        <v>297</v>
      </c>
      <c r="B671" t="s">
        <v>417</v>
      </c>
      <c r="C671">
        <v>2</v>
      </c>
      <c r="D671">
        <f>VLOOKUP(B671, Menu!$A:$F, 6, 0)</f>
        <v>146.4</v>
      </c>
      <c r="E671">
        <f>VLOOKUP(B671, Menu!$A:$F, 5, 0)</f>
        <v>80.92</v>
      </c>
      <c r="F671" t="str">
        <f>VLOOKUP(B671, Menu!$A:$F, 3, 0)</f>
        <v>Hot Meal</v>
      </c>
      <c r="G671" s="5">
        <f>VLOOKUP(A671, Orders!$A:$B, 2, 0)</f>
        <v>45842.226504629631</v>
      </c>
      <c r="H671" t="str">
        <f>VLOOKUP(A671, Orders!$A:$C, 3, 0)</f>
        <v>Plant 1 Canteen</v>
      </c>
      <c r="I671">
        <f>C671*D671*(1-VLOOKUP(A671,Orders!$A:$G,7,0))</f>
        <v>281.08800000000002</v>
      </c>
      <c r="J671" t="str">
        <f>VLOOKUP(A671,Orders!$A:$G,6,0)</f>
        <v>Breakfast</v>
      </c>
      <c r="K671" t="str">
        <f>VLOOKUP(A671,Orders!$A:$G,5,0)</f>
        <v>UPI</v>
      </c>
    </row>
    <row r="672" spans="1:11" x14ac:dyDescent="0.3">
      <c r="A672" t="s">
        <v>298</v>
      </c>
      <c r="B672" t="s">
        <v>409</v>
      </c>
      <c r="C672">
        <v>2</v>
      </c>
      <c r="D672">
        <f>VLOOKUP(B672, Menu!$A:$F, 6, 0)</f>
        <v>28.43</v>
      </c>
      <c r="E672">
        <f>VLOOKUP(B672, Menu!$A:$F, 5, 0)</f>
        <v>13.89</v>
      </c>
      <c r="F672" t="str">
        <f>VLOOKUP(B672, Menu!$A:$F, 3, 0)</f>
        <v>Beverage</v>
      </c>
      <c r="G672" s="5">
        <f>VLOOKUP(A672, Orders!$A:$B, 2, 0)</f>
        <v>45875.77484953704</v>
      </c>
      <c r="H672" t="str">
        <f>VLOOKUP(A672, Orders!$A:$C, 3, 0)</f>
        <v>Plant 2 Canteen</v>
      </c>
      <c r="I672">
        <f>C672*D672*(1-VLOOKUP(A672,Orders!$A:$G,7,0))</f>
        <v>51.742600000000003</v>
      </c>
      <c r="J672" t="str">
        <f>VLOOKUP(A672,Orders!$A:$G,6,0)</f>
        <v>Dinner</v>
      </c>
      <c r="K672" t="str">
        <f>VLOOKUP(A672,Orders!$A:$G,5,0)</f>
        <v>Card</v>
      </c>
    </row>
    <row r="673" spans="1:11" x14ac:dyDescent="0.3">
      <c r="A673" t="s">
        <v>298</v>
      </c>
      <c r="B673" t="s">
        <v>401</v>
      </c>
      <c r="C673">
        <v>1</v>
      </c>
      <c r="D673">
        <f>VLOOKUP(B673, Menu!$A:$F, 6, 0)</f>
        <v>52.45</v>
      </c>
      <c r="E673">
        <f>VLOOKUP(B673, Menu!$A:$F, 5, 0)</f>
        <v>25.8</v>
      </c>
      <c r="F673" t="str">
        <f>VLOOKUP(B673, Menu!$A:$F, 3, 0)</f>
        <v>Snack</v>
      </c>
      <c r="G673" s="5">
        <f>VLOOKUP(A673, Orders!$A:$B, 2, 0)</f>
        <v>45875.77484953704</v>
      </c>
      <c r="H673" t="str">
        <f>VLOOKUP(A673, Orders!$A:$C, 3, 0)</f>
        <v>Plant 2 Canteen</v>
      </c>
      <c r="I673">
        <f>C673*D673*(1-VLOOKUP(A673,Orders!$A:$G,7,0))</f>
        <v>47.729500000000002</v>
      </c>
      <c r="J673" t="str">
        <f>VLOOKUP(A673,Orders!$A:$G,6,0)</f>
        <v>Dinner</v>
      </c>
      <c r="K673" t="str">
        <f>VLOOKUP(A673,Orders!$A:$G,5,0)</f>
        <v>Card</v>
      </c>
    </row>
    <row r="674" spans="1:11" x14ac:dyDescent="0.3">
      <c r="A674" t="s">
        <v>298</v>
      </c>
      <c r="B674" t="s">
        <v>417</v>
      </c>
      <c r="C674">
        <v>1</v>
      </c>
      <c r="D674">
        <f>VLOOKUP(B674, Menu!$A:$F, 6, 0)</f>
        <v>146.4</v>
      </c>
      <c r="E674">
        <f>VLOOKUP(B674, Menu!$A:$F, 5, 0)</f>
        <v>80.92</v>
      </c>
      <c r="F674" t="str">
        <f>VLOOKUP(B674, Menu!$A:$F, 3, 0)</f>
        <v>Hot Meal</v>
      </c>
      <c r="G674" s="5">
        <f>VLOOKUP(A674, Orders!$A:$B, 2, 0)</f>
        <v>45875.77484953704</v>
      </c>
      <c r="H674" t="str">
        <f>VLOOKUP(A674, Orders!$A:$C, 3, 0)</f>
        <v>Plant 2 Canteen</v>
      </c>
      <c r="I674">
        <f>C674*D674*(1-VLOOKUP(A674,Orders!$A:$G,7,0))</f>
        <v>133.22400000000002</v>
      </c>
      <c r="J674" t="str">
        <f>VLOOKUP(A674,Orders!$A:$G,6,0)</f>
        <v>Dinner</v>
      </c>
      <c r="K674" t="str">
        <f>VLOOKUP(A674,Orders!$A:$G,5,0)</f>
        <v>Card</v>
      </c>
    </row>
    <row r="675" spans="1:11" x14ac:dyDescent="0.3">
      <c r="A675" t="s">
        <v>299</v>
      </c>
      <c r="B675" t="s">
        <v>403</v>
      </c>
      <c r="C675">
        <v>2</v>
      </c>
      <c r="D675">
        <f>VLOOKUP(B675, Menu!$A:$F, 6, 0)</f>
        <v>76.55</v>
      </c>
      <c r="E675">
        <f>VLOOKUP(B675, Menu!$A:$F, 5, 0)</f>
        <v>38.229999999999997</v>
      </c>
      <c r="F675" t="str">
        <f>VLOOKUP(B675, Menu!$A:$F, 3, 0)</f>
        <v>Dessert</v>
      </c>
      <c r="G675" s="5">
        <f>VLOOKUP(A675, Orders!$A:$B, 2, 0)</f>
        <v>45875.178587962961</v>
      </c>
      <c r="H675" t="str">
        <f>VLOOKUP(A675, Orders!$A:$C, 3, 0)</f>
        <v>Plant 2 Canteen</v>
      </c>
      <c r="I675">
        <f>C675*D675*(1-VLOOKUP(A675,Orders!$A:$G,7,0))</f>
        <v>140.852</v>
      </c>
      <c r="J675" t="str">
        <f>VLOOKUP(A675,Orders!$A:$G,6,0)</f>
        <v>Breakfast</v>
      </c>
      <c r="K675" t="str">
        <f>VLOOKUP(A675,Orders!$A:$G,5,0)</f>
        <v>Card</v>
      </c>
    </row>
    <row r="676" spans="1:11" x14ac:dyDescent="0.3">
      <c r="A676" t="s">
        <v>299</v>
      </c>
      <c r="B676" t="s">
        <v>413</v>
      </c>
      <c r="C676">
        <v>1</v>
      </c>
      <c r="D676">
        <f>VLOOKUP(B676, Menu!$A:$F, 6, 0)</f>
        <v>54.2</v>
      </c>
      <c r="E676">
        <f>VLOOKUP(B676, Menu!$A:$F, 5, 0)</f>
        <v>21.95</v>
      </c>
      <c r="F676" t="str">
        <f>VLOOKUP(B676, Menu!$A:$F, 3, 0)</f>
        <v>Dessert</v>
      </c>
      <c r="G676" s="5">
        <f>VLOOKUP(A676, Orders!$A:$B, 2, 0)</f>
        <v>45875.178587962961</v>
      </c>
      <c r="H676" t="str">
        <f>VLOOKUP(A676, Orders!$A:$C, 3, 0)</f>
        <v>Plant 2 Canteen</v>
      </c>
      <c r="I676">
        <f>C676*D676*(1-VLOOKUP(A676,Orders!$A:$G,7,0))</f>
        <v>49.864000000000004</v>
      </c>
      <c r="J676" t="str">
        <f>VLOOKUP(A676,Orders!$A:$G,6,0)</f>
        <v>Breakfast</v>
      </c>
      <c r="K676" t="str">
        <f>VLOOKUP(A676,Orders!$A:$G,5,0)</f>
        <v>Card</v>
      </c>
    </row>
    <row r="677" spans="1:11" x14ac:dyDescent="0.3">
      <c r="A677" t="s">
        <v>299</v>
      </c>
      <c r="B677" t="s">
        <v>415</v>
      </c>
      <c r="C677">
        <v>2</v>
      </c>
      <c r="D677">
        <f>VLOOKUP(B677, Menu!$A:$F, 6, 0)</f>
        <v>256.91000000000003</v>
      </c>
      <c r="E677">
        <f>VLOOKUP(B677, Menu!$A:$F, 5, 0)</f>
        <v>121.24</v>
      </c>
      <c r="F677" t="str">
        <f>VLOOKUP(B677, Menu!$A:$F, 3, 0)</f>
        <v>Hot Meal</v>
      </c>
      <c r="G677" s="5">
        <f>VLOOKUP(A677, Orders!$A:$B, 2, 0)</f>
        <v>45875.178587962961</v>
      </c>
      <c r="H677" t="str">
        <f>VLOOKUP(A677, Orders!$A:$C, 3, 0)</f>
        <v>Plant 2 Canteen</v>
      </c>
      <c r="I677">
        <f>C677*D677*(1-VLOOKUP(A677,Orders!$A:$G,7,0))</f>
        <v>472.71440000000007</v>
      </c>
      <c r="J677" t="str">
        <f>VLOOKUP(A677,Orders!$A:$G,6,0)</f>
        <v>Breakfast</v>
      </c>
      <c r="K677" t="str">
        <f>VLOOKUP(A677,Orders!$A:$G,5,0)</f>
        <v>Card</v>
      </c>
    </row>
    <row r="678" spans="1:11" x14ac:dyDescent="0.3">
      <c r="A678" t="s">
        <v>300</v>
      </c>
      <c r="B678" t="s">
        <v>415</v>
      </c>
      <c r="C678">
        <v>1</v>
      </c>
      <c r="D678">
        <f>VLOOKUP(B678, Menu!$A:$F, 6, 0)</f>
        <v>256.91000000000003</v>
      </c>
      <c r="E678">
        <f>VLOOKUP(B678, Menu!$A:$F, 5, 0)</f>
        <v>121.24</v>
      </c>
      <c r="F678" t="str">
        <f>VLOOKUP(B678, Menu!$A:$F, 3, 0)</f>
        <v>Hot Meal</v>
      </c>
      <c r="G678" s="5">
        <f>VLOOKUP(A678, Orders!$A:$B, 2, 0)</f>
        <v>45844.357800925929</v>
      </c>
      <c r="H678" t="str">
        <f>VLOOKUP(A678, Orders!$A:$C, 3, 0)</f>
        <v>Plant 1 Canteen</v>
      </c>
      <c r="I678">
        <f>C678*D678*(1-VLOOKUP(A678,Orders!$A:$G,7,0))</f>
        <v>241.49540000000002</v>
      </c>
      <c r="J678" t="str">
        <f>VLOOKUP(A678,Orders!$A:$G,6,0)</f>
        <v>Breakfast</v>
      </c>
      <c r="K678" t="str">
        <f>VLOOKUP(A678,Orders!$A:$G,5,0)</f>
        <v>UPI</v>
      </c>
    </row>
    <row r="679" spans="1:11" x14ac:dyDescent="0.3">
      <c r="A679" t="s">
        <v>300</v>
      </c>
      <c r="B679" t="s">
        <v>403</v>
      </c>
      <c r="C679">
        <v>2</v>
      </c>
      <c r="D679">
        <f>VLOOKUP(B679, Menu!$A:$F, 6, 0)</f>
        <v>76.55</v>
      </c>
      <c r="E679">
        <f>VLOOKUP(B679, Menu!$A:$F, 5, 0)</f>
        <v>38.229999999999997</v>
      </c>
      <c r="F679" t="str">
        <f>VLOOKUP(B679, Menu!$A:$F, 3, 0)</f>
        <v>Dessert</v>
      </c>
      <c r="G679" s="5">
        <f>VLOOKUP(A679, Orders!$A:$B, 2, 0)</f>
        <v>45844.357800925929</v>
      </c>
      <c r="H679" t="str">
        <f>VLOOKUP(A679, Orders!$A:$C, 3, 0)</f>
        <v>Plant 1 Canteen</v>
      </c>
      <c r="I679">
        <f>C679*D679*(1-VLOOKUP(A679,Orders!$A:$G,7,0))</f>
        <v>143.91399999999999</v>
      </c>
      <c r="J679" t="str">
        <f>VLOOKUP(A679,Orders!$A:$G,6,0)</f>
        <v>Breakfast</v>
      </c>
      <c r="K679" t="str">
        <f>VLOOKUP(A679,Orders!$A:$G,5,0)</f>
        <v>UPI</v>
      </c>
    </row>
    <row r="680" spans="1:11" x14ac:dyDescent="0.3">
      <c r="A680" t="s">
        <v>301</v>
      </c>
      <c r="B680" t="s">
        <v>409</v>
      </c>
      <c r="C680">
        <v>1</v>
      </c>
      <c r="D680">
        <f>VLOOKUP(B680, Menu!$A:$F, 6, 0)</f>
        <v>28.43</v>
      </c>
      <c r="E680">
        <f>VLOOKUP(B680, Menu!$A:$F, 5, 0)</f>
        <v>13.89</v>
      </c>
      <c r="F680" t="str">
        <f>VLOOKUP(B680, Menu!$A:$F, 3, 0)</f>
        <v>Beverage</v>
      </c>
      <c r="G680" s="5">
        <f>VLOOKUP(A680, Orders!$A:$B, 2, 0)</f>
        <v>45847.170775462961</v>
      </c>
      <c r="H680" t="str">
        <f>VLOOKUP(A680, Orders!$A:$C, 3, 0)</f>
        <v>Plant 2 Canteen</v>
      </c>
      <c r="I680">
        <f>C680*D680*(1-VLOOKUP(A680,Orders!$A:$G,7,0))</f>
        <v>26.7242</v>
      </c>
      <c r="J680" t="str">
        <f>VLOOKUP(A680,Orders!$A:$G,6,0)</f>
        <v>Breakfast</v>
      </c>
      <c r="K680" t="str">
        <f>VLOOKUP(A680,Orders!$A:$G,5,0)</f>
        <v>UPI</v>
      </c>
    </row>
    <row r="681" spans="1:11" x14ac:dyDescent="0.3">
      <c r="A681" t="s">
        <v>301</v>
      </c>
      <c r="B681" t="s">
        <v>403</v>
      </c>
      <c r="C681">
        <v>2</v>
      </c>
      <c r="D681">
        <f>VLOOKUP(B681, Menu!$A:$F, 6, 0)</f>
        <v>76.55</v>
      </c>
      <c r="E681">
        <f>VLOOKUP(B681, Menu!$A:$F, 5, 0)</f>
        <v>38.229999999999997</v>
      </c>
      <c r="F681" t="str">
        <f>VLOOKUP(B681, Menu!$A:$F, 3, 0)</f>
        <v>Dessert</v>
      </c>
      <c r="G681" s="5">
        <f>VLOOKUP(A681, Orders!$A:$B, 2, 0)</f>
        <v>45847.170775462961</v>
      </c>
      <c r="H681" t="str">
        <f>VLOOKUP(A681, Orders!$A:$C, 3, 0)</f>
        <v>Plant 2 Canteen</v>
      </c>
      <c r="I681">
        <f>C681*D681*(1-VLOOKUP(A681,Orders!$A:$G,7,0))</f>
        <v>143.91399999999999</v>
      </c>
      <c r="J681" t="str">
        <f>VLOOKUP(A681,Orders!$A:$G,6,0)</f>
        <v>Breakfast</v>
      </c>
      <c r="K681" t="str">
        <f>VLOOKUP(A681,Orders!$A:$G,5,0)</f>
        <v>UPI</v>
      </c>
    </row>
    <row r="682" spans="1:11" x14ac:dyDescent="0.3">
      <c r="A682" t="s">
        <v>301</v>
      </c>
      <c r="B682" t="s">
        <v>414</v>
      </c>
      <c r="C682">
        <v>3</v>
      </c>
      <c r="D682">
        <f>VLOOKUP(B682, Menu!$A:$F, 6, 0)</f>
        <v>116.8</v>
      </c>
      <c r="E682">
        <f>VLOOKUP(B682, Menu!$A:$F, 5, 0)</f>
        <v>48.97</v>
      </c>
      <c r="F682" t="str">
        <f>VLOOKUP(B682, Menu!$A:$F, 3, 0)</f>
        <v>Dessert</v>
      </c>
      <c r="G682" s="5">
        <f>VLOOKUP(A682, Orders!$A:$B, 2, 0)</f>
        <v>45847.170775462961</v>
      </c>
      <c r="H682" t="str">
        <f>VLOOKUP(A682, Orders!$A:$C, 3, 0)</f>
        <v>Plant 2 Canteen</v>
      </c>
      <c r="I682">
        <f>C682*D682*(1-VLOOKUP(A682,Orders!$A:$G,7,0))</f>
        <v>329.37599999999998</v>
      </c>
      <c r="J682" t="str">
        <f>VLOOKUP(A682,Orders!$A:$G,6,0)</f>
        <v>Breakfast</v>
      </c>
      <c r="K682" t="str">
        <f>VLOOKUP(A682,Orders!$A:$G,5,0)</f>
        <v>UPI</v>
      </c>
    </row>
    <row r="683" spans="1:11" x14ac:dyDescent="0.3">
      <c r="A683" t="s">
        <v>302</v>
      </c>
      <c r="B683" t="s">
        <v>402</v>
      </c>
      <c r="C683">
        <v>2</v>
      </c>
      <c r="D683">
        <f>VLOOKUP(B683, Menu!$A:$F, 6, 0)</f>
        <v>30.34</v>
      </c>
      <c r="E683">
        <f>VLOOKUP(B683, Menu!$A:$F, 5, 0)</f>
        <v>14.18</v>
      </c>
      <c r="F683" t="str">
        <f>VLOOKUP(B683, Menu!$A:$F, 3, 0)</f>
        <v>Beverage</v>
      </c>
      <c r="G683" s="5">
        <f>VLOOKUP(A683, Orders!$A:$B, 2, 0)</f>
        <v>45886.403067129628</v>
      </c>
      <c r="H683" t="str">
        <f>VLOOKUP(A683, Orders!$A:$C, 3, 0)</f>
        <v>Head Office Café</v>
      </c>
      <c r="I683">
        <f>C683*D683*(1-VLOOKUP(A683,Orders!$A:$G,7,0))</f>
        <v>54.005200000000002</v>
      </c>
      <c r="J683" t="str">
        <f>VLOOKUP(A683,Orders!$A:$G,6,0)</f>
        <v>Breakfast</v>
      </c>
      <c r="K683" t="str">
        <f>VLOOKUP(A683,Orders!$A:$G,5,0)</f>
        <v>Card</v>
      </c>
    </row>
    <row r="684" spans="1:11" x14ac:dyDescent="0.3">
      <c r="A684" t="s">
        <v>302</v>
      </c>
      <c r="B684" t="s">
        <v>410</v>
      </c>
      <c r="C684">
        <v>2</v>
      </c>
      <c r="D684">
        <f>VLOOKUP(B684, Menu!$A:$F, 6, 0)</f>
        <v>20.11</v>
      </c>
      <c r="E684">
        <f>VLOOKUP(B684, Menu!$A:$F, 5, 0)</f>
        <v>8</v>
      </c>
      <c r="F684" t="str">
        <f>VLOOKUP(B684, Menu!$A:$F, 3, 0)</f>
        <v>Beverage</v>
      </c>
      <c r="G684" s="5">
        <f>VLOOKUP(A684, Orders!$A:$B, 2, 0)</f>
        <v>45886.403067129628</v>
      </c>
      <c r="H684" t="str">
        <f>VLOOKUP(A684, Orders!$A:$C, 3, 0)</f>
        <v>Head Office Café</v>
      </c>
      <c r="I684">
        <f>C684*D684*(1-VLOOKUP(A684,Orders!$A:$G,7,0))</f>
        <v>35.7958</v>
      </c>
      <c r="J684" t="str">
        <f>VLOOKUP(A684,Orders!$A:$G,6,0)</f>
        <v>Breakfast</v>
      </c>
      <c r="K684" t="str">
        <f>VLOOKUP(A684,Orders!$A:$G,5,0)</f>
        <v>Card</v>
      </c>
    </row>
    <row r="685" spans="1:11" x14ac:dyDescent="0.3">
      <c r="A685" t="s">
        <v>302</v>
      </c>
      <c r="B685" t="s">
        <v>407</v>
      </c>
      <c r="C685">
        <v>2</v>
      </c>
      <c r="D685">
        <f>VLOOKUP(B685, Menu!$A:$F, 6, 0)</f>
        <v>246.09</v>
      </c>
      <c r="E685">
        <f>VLOOKUP(B685, Menu!$A:$F, 5, 0)</f>
        <v>112.08</v>
      </c>
      <c r="F685" t="str">
        <f>VLOOKUP(B685, Menu!$A:$F, 3, 0)</f>
        <v>Hot Meal</v>
      </c>
      <c r="G685" s="5">
        <f>VLOOKUP(A685, Orders!$A:$B, 2, 0)</f>
        <v>45886.403067129628</v>
      </c>
      <c r="H685" t="str">
        <f>VLOOKUP(A685, Orders!$A:$C, 3, 0)</f>
        <v>Head Office Café</v>
      </c>
      <c r="I685">
        <f>C685*D685*(1-VLOOKUP(A685,Orders!$A:$G,7,0))</f>
        <v>438.04020000000003</v>
      </c>
      <c r="J685" t="str">
        <f>VLOOKUP(A685,Orders!$A:$G,6,0)</f>
        <v>Breakfast</v>
      </c>
      <c r="K685" t="str">
        <f>VLOOKUP(A685,Orders!$A:$G,5,0)</f>
        <v>Card</v>
      </c>
    </row>
    <row r="686" spans="1:11" x14ac:dyDescent="0.3">
      <c r="A686" t="s">
        <v>303</v>
      </c>
      <c r="B686" t="s">
        <v>414</v>
      </c>
      <c r="C686">
        <v>2</v>
      </c>
      <c r="D686">
        <f>VLOOKUP(B686, Menu!$A:$F, 6, 0)</f>
        <v>116.8</v>
      </c>
      <c r="E686">
        <f>VLOOKUP(B686, Menu!$A:$F, 5, 0)</f>
        <v>48.97</v>
      </c>
      <c r="F686" t="str">
        <f>VLOOKUP(B686, Menu!$A:$F, 3, 0)</f>
        <v>Dessert</v>
      </c>
      <c r="G686" s="5">
        <f>VLOOKUP(A686, Orders!$A:$B, 2, 0)</f>
        <v>45860.179664351846</v>
      </c>
      <c r="H686" t="str">
        <f>VLOOKUP(A686, Orders!$A:$C, 3, 0)</f>
        <v>Head Office Café</v>
      </c>
      <c r="I686">
        <f>C686*D686*(1-VLOOKUP(A686,Orders!$A:$G,7,0))</f>
        <v>224.256</v>
      </c>
      <c r="J686" t="str">
        <f>VLOOKUP(A686,Orders!$A:$G,6,0)</f>
        <v>Breakfast</v>
      </c>
      <c r="K686" t="str">
        <f>VLOOKUP(A686,Orders!$A:$G,5,0)</f>
        <v>Card</v>
      </c>
    </row>
    <row r="687" spans="1:11" x14ac:dyDescent="0.3">
      <c r="A687" t="s">
        <v>303</v>
      </c>
      <c r="B687" t="s">
        <v>416</v>
      </c>
      <c r="C687">
        <v>1</v>
      </c>
      <c r="D687">
        <f>VLOOKUP(B687, Menu!$A:$F, 6, 0)</f>
        <v>227.61</v>
      </c>
      <c r="E687">
        <f>VLOOKUP(B687, Menu!$A:$F, 5, 0)</f>
        <v>96.22</v>
      </c>
      <c r="F687" t="str">
        <f>VLOOKUP(B687, Menu!$A:$F, 3, 0)</f>
        <v>Hot Meal</v>
      </c>
      <c r="G687" s="5">
        <f>VLOOKUP(A687, Orders!$A:$B, 2, 0)</f>
        <v>45860.179664351846</v>
      </c>
      <c r="H687" t="str">
        <f>VLOOKUP(A687, Orders!$A:$C, 3, 0)</f>
        <v>Head Office Café</v>
      </c>
      <c r="I687">
        <f>C687*D687*(1-VLOOKUP(A687,Orders!$A:$G,7,0))</f>
        <v>218.50560000000002</v>
      </c>
      <c r="J687" t="str">
        <f>VLOOKUP(A687,Orders!$A:$G,6,0)</f>
        <v>Breakfast</v>
      </c>
      <c r="K687" t="str">
        <f>VLOOKUP(A687,Orders!$A:$G,5,0)</f>
        <v>Card</v>
      </c>
    </row>
    <row r="688" spans="1:11" x14ac:dyDescent="0.3">
      <c r="A688" t="s">
        <v>304</v>
      </c>
      <c r="B688" t="s">
        <v>416</v>
      </c>
      <c r="C688">
        <v>1</v>
      </c>
      <c r="D688">
        <f>VLOOKUP(B688, Menu!$A:$F, 6, 0)</f>
        <v>227.61</v>
      </c>
      <c r="E688">
        <f>VLOOKUP(B688, Menu!$A:$F, 5, 0)</f>
        <v>96.22</v>
      </c>
      <c r="F688" t="str">
        <f>VLOOKUP(B688, Menu!$A:$F, 3, 0)</f>
        <v>Hot Meal</v>
      </c>
      <c r="G688" s="5">
        <f>VLOOKUP(A688, Orders!$A:$B, 2, 0)</f>
        <v>45850.016319444447</v>
      </c>
      <c r="H688" t="str">
        <f>VLOOKUP(A688, Orders!$A:$C, 3, 0)</f>
        <v>Plant 2 Canteen</v>
      </c>
      <c r="I688">
        <f>C688*D688*(1-VLOOKUP(A688,Orders!$A:$G,7,0))</f>
        <v>209.40120000000002</v>
      </c>
      <c r="J688" t="str">
        <f>VLOOKUP(A688,Orders!$A:$G,6,0)</f>
        <v>Breakfast</v>
      </c>
      <c r="K688" t="str">
        <f>VLOOKUP(A688,Orders!$A:$G,5,0)</f>
        <v>UPI</v>
      </c>
    </row>
    <row r="689" spans="1:11" x14ac:dyDescent="0.3">
      <c r="A689" t="s">
        <v>304</v>
      </c>
      <c r="B689" t="s">
        <v>407</v>
      </c>
      <c r="C689">
        <v>1</v>
      </c>
      <c r="D689">
        <f>VLOOKUP(B689, Menu!$A:$F, 6, 0)</f>
        <v>246.09</v>
      </c>
      <c r="E689">
        <f>VLOOKUP(B689, Menu!$A:$F, 5, 0)</f>
        <v>112.08</v>
      </c>
      <c r="F689" t="str">
        <f>VLOOKUP(B689, Menu!$A:$F, 3, 0)</f>
        <v>Hot Meal</v>
      </c>
      <c r="G689" s="5">
        <f>VLOOKUP(A689, Orders!$A:$B, 2, 0)</f>
        <v>45850.016319444447</v>
      </c>
      <c r="H689" t="str">
        <f>VLOOKUP(A689, Orders!$A:$C, 3, 0)</f>
        <v>Plant 2 Canteen</v>
      </c>
      <c r="I689">
        <f>C689*D689*(1-VLOOKUP(A689,Orders!$A:$G,7,0))</f>
        <v>226.40280000000001</v>
      </c>
      <c r="J689" t="str">
        <f>VLOOKUP(A689,Orders!$A:$G,6,0)</f>
        <v>Breakfast</v>
      </c>
      <c r="K689" t="str">
        <f>VLOOKUP(A689,Orders!$A:$G,5,0)</f>
        <v>UPI</v>
      </c>
    </row>
    <row r="690" spans="1:11" x14ac:dyDescent="0.3">
      <c r="A690" t="s">
        <v>304</v>
      </c>
      <c r="B690" t="s">
        <v>410</v>
      </c>
      <c r="C690">
        <v>1</v>
      </c>
      <c r="D690">
        <f>VLOOKUP(B690, Menu!$A:$F, 6, 0)</f>
        <v>20.11</v>
      </c>
      <c r="E690">
        <f>VLOOKUP(B690, Menu!$A:$F, 5, 0)</f>
        <v>8</v>
      </c>
      <c r="F690" t="str">
        <f>VLOOKUP(B690, Menu!$A:$F, 3, 0)</f>
        <v>Beverage</v>
      </c>
      <c r="G690" s="5">
        <f>VLOOKUP(A690, Orders!$A:$B, 2, 0)</f>
        <v>45850.016319444447</v>
      </c>
      <c r="H690" t="str">
        <f>VLOOKUP(A690, Orders!$A:$C, 3, 0)</f>
        <v>Plant 2 Canteen</v>
      </c>
      <c r="I690">
        <f>C690*D690*(1-VLOOKUP(A690,Orders!$A:$G,7,0))</f>
        <v>18.501200000000001</v>
      </c>
      <c r="J690" t="str">
        <f>VLOOKUP(A690,Orders!$A:$G,6,0)</f>
        <v>Breakfast</v>
      </c>
      <c r="K690" t="str">
        <f>VLOOKUP(A690,Orders!$A:$G,5,0)</f>
        <v>UPI</v>
      </c>
    </row>
    <row r="691" spans="1:11" x14ac:dyDescent="0.3">
      <c r="A691" t="s">
        <v>304</v>
      </c>
      <c r="B691" t="s">
        <v>409</v>
      </c>
      <c r="C691">
        <v>3</v>
      </c>
      <c r="D691">
        <f>VLOOKUP(B691, Menu!$A:$F, 6, 0)</f>
        <v>28.43</v>
      </c>
      <c r="E691">
        <f>VLOOKUP(B691, Menu!$A:$F, 5, 0)</f>
        <v>13.89</v>
      </c>
      <c r="F691" t="str">
        <f>VLOOKUP(B691, Menu!$A:$F, 3, 0)</f>
        <v>Beverage</v>
      </c>
      <c r="G691" s="5">
        <f>VLOOKUP(A691, Orders!$A:$B, 2, 0)</f>
        <v>45850.016319444447</v>
      </c>
      <c r="H691" t="str">
        <f>VLOOKUP(A691, Orders!$A:$C, 3, 0)</f>
        <v>Plant 2 Canteen</v>
      </c>
      <c r="I691">
        <f>C691*D691*(1-VLOOKUP(A691,Orders!$A:$G,7,0))</f>
        <v>78.466799999999992</v>
      </c>
      <c r="J691" t="str">
        <f>VLOOKUP(A691,Orders!$A:$G,6,0)</f>
        <v>Breakfast</v>
      </c>
      <c r="K691" t="str">
        <f>VLOOKUP(A691,Orders!$A:$G,5,0)</f>
        <v>UPI</v>
      </c>
    </row>
    <row r="692" spans="1:11" x14ac:dyDescent="0.3">
      <c r="A692" t="s">
        <v>305</v>
      </c>
      <c r="B692" t="s">
        <v>419</v>
      </c>
      <c r="C692">
        <v>1</v>
      </c>
      <c r="D692">
        <f>VLOOKUP(B692, Menu!$A:$F, 6, 0)</f>
        <v>50.19</v>
      </c>
      <c r="E692">
        <f>VLOOKUP(B692, Menu!$A:$F, 5, 0)</f>
        <v>22.61</v>
      </c>
      <c r="F692" t="str">
        <f>VLOOKUP(B692, Menu!$A:$F, 3, 0)</f>
        <v>Snack</v>
      </c>
      <c r="G692" s="5">
        <f>VLOOKUP(A692, Orders!$A:$B, 2, 0)</f>
        <v>45890.410219907397</v>
      </c>
      <c r="H692" t="str">
        <f>VLOOKUP(A692, Orders!$A:$C, 3, 0)</f>
        <v>Head Office Café</v>
      </c>
      <c r="I692">
        <f>C692*D692*(1-VLOOKUP(A692,Orders!$A:$G,7,0))</f>
        <v>47.680499999999995</v>
      </c>
      <c r="J692" t="str">
        <f>VLOOKUP(A692,Orders!$A:$G,6,0)</f>
        <v>Breakfast</v>
      </c>
      <c r="K692" t="str">
        <f>VLOOKUP(A692,Orders!$A:$G,5,0)</f>
        <v>Cash</v>
      </c>
    </row>
    <row r="693" spans="1:11" x14ac:dyDescent="0.3">
      <c r="A693" t="s">
        <v>305</v>
      </c>
      <c r="B693" t="s">
        <v>415</v>
      </c>
      <c r="C693">
        <v>3</v>
      </c>
      <c r="D693">
        <f>VLOOKUP(B693, Menu!$A:$F, 6, 0)</f>
        <v>256.91000000000003</v>
      </c>
      <c r="E693">
        <f>VLOOKUP(B693, Menu!$A:$F, 5, 0)</f>
        <v>121.24</v>
      </c>
      <c r="F693" t="str">
        <f>VLOOKUP(B693, Menu!$A:$F, 3, 0)</f>
        <v>Hot Meal</v>
      </c>
      <c r="G693" s="5">
        <f>VLOOKUP(A693, Orders!$A:$B, 2, 0)</f>
        <v>45890.410219907397</v>
      </c>
      <c r="H693" t="str">
        <f>VLOOKUP(A693, Orders!$A:$C, 3, 0)</f>
        <v>Head Office Café</v>
      </c>
      <c r="I693">
        <f>C693*D693*(1-VLOOKUP(A693,Orders!$A:$G,7,0))</f>
        <v>732.19349999999997</v>
      </c>
      <c r="J693" t="str">
        <f>VLOOKUP(A693,Orders!$A:$G,6,0)</f>
        <v>Breakfast</v>
      </c>
      <c r="K693" t="str">
        <f>VLOOKUP(A693,Orders!$A:$G,5,0)</f>
        <v>Cash</v>
      </c>
    </row>
    <row r="694" spans="1:11" x14ac:dyDescent="0.3">
      <c r="A694" t="s">
        <v>305</v>
      </c>
      <c r="B694" t="s">
        <v>412</v>
      </c>
      <c r="C694">
        <v>3</v>
      </c>
      <c r="D694">
        <f>VLOOKUP(B694, Menu!$A:$F, 6, 0)</f>
        <v>57.07</v>
      </c>
      <c r="E694">
        <f>VLOOKUP(B694, Menu!$A:$F, 5, 0)</f>
        <v>29.14</v>
      </c>
      <c r="F694" t="str">
        <f>VLOOKUP(B694, Menu!$A:$F, 3, 0)</f>
        <v>Dessert</v>
      </c>
      <c r="G694" s="5">
        <f>VLOOKUP(A694, Orders!$A:$B, 2, 0)</f>
        <v>45890.410219907397</v>
      </c>
      <c r="H694" t="str">
        <f>VLOOKUP(A694, Orders!$A:$C, 3, 0)</f>
        <v>Head Office Café</v>
      </c>
      <c r="I694">
        <f>C694*D694*(1-VLOOKUP(A694,Orders!$A:$G,7,0))</f>
        <v>162.64949999999999</v>
      </c>
      <c r="J694" t="str">
        <f>VLOOKUP(A694,Orders!$A:$G,6,0)</f>
        <v>Breakfast</v>
      </c>
      <c r="K694" t="str">
        <f>VLOOKUP(A694,Orders!$A:$G,5,0)</f>
        <v>Cash</v>
      </c>
    </row>
    <row r="695" spans="1:11" x14ac:dyDescent="0.3">
      <c r="A695" t="s">
        <v>306</v>
      </c>
      <c r="B695" t="s">
        <v>415</v>
      </c>
      <c r="C695">
        <v>3</v>
      </c>
      <c r="D695">
        <f>VLOOKUP(B695, Menu!$A:$F, 6, 0)</f>
        <v>256.91000000000003</v>
      </c>
      <c r="E695">
        <f>VLOOKUP(B695, Menu!$A:$F, 5, 0)</f>
        <v>121.24</v>
      </c>
      <c r="F695" t="str">
        <f>VLOOKUP(B695, Menu!$A:$F, 3, 0)</f>
        <v>Hot Meal</v>
      </c>
      <c r="G695" s="5">
        <f>VLOOKUP(A695, Orders!$A:$B, 2, 0)</f>
        <v>45877.626261574071</v>
      </c>
      <c r="H695" t="str">
        <f>VLOOKUP(A695, Orders!$A:$C, 3, 0)</f>
        <v>Head Office Café</v>
      </c>
      <c r="I695">
        <f>C695*D695*(1-VLOOKUP(A695,Orders!$A:$G,7,0))</f>
        <v>732.19349999999997</v>
      </c>
      <c r="J695" t="str">
        <f>VLOOKUP(A695,Orders!$A:$G,6,0)</f>
        <v>Lunch</v>
      </c>
      <c r="K695" t="str">
        <f>VLOOKUP(A695,Orders!$A:$G,5,0)</f>
        <v>Cash</v>
      </c>
    </row>
    <row r="696" spans="1:11" x14ac:dyDescent="0.3">
      <c r="A696" t="s">
        <v>306</v>
      </c>
      <c r="B696" t="s">
        <v>409</v>
      </c>
      <c r="C696">
        <v>1</v>
      </c>
      <c r="D696">
        <f>VLOOKUP(B696, Menu!$A:$F, 6, 0)</f>
        <v>28.43</v>
      </c>
      <c r="E696">
        <f>VLOOKUP(B696, Menu!$A:$F, 5, 0)</f>
        <v>13.89</v>
      </c>
      <c r="F696" t="str">
        <f>VLOOKUP(B696, Menu!$A:$F, 3, 0)</f>
        <v>Beverage</v>
      </c>
      <c r="G696" s="5">
        <f>VLOOKUP(A696, Orders!$A:$B, 2, 0)</f>
        <v>45877.626261574071</v>
      </c>
      <c r="H696" t="str">
        <f>VLOOKUP(A696, Orders!$A:$C, 3, 0)</f>
        <v>Head Office Café</v>
      </c>
      <c r="I696">
        <f>C696*D696*(1-VLOOKUP(A696,Orders!$A:$G,7,0))</f>
        <v>27.008499999999998</v>
      </c>
      <c r="J696" t="str">
        <f>VLOOKUP(A696,Orders!$A:$G,6,0)</f>
        <v>Lunch</v>
      </c>
      <c r="K696" t="str">
        <f>VLOOKUP(A696,Orders!$A:$G,5,0)</f>
        <v>Cash</v>
      </c>
    </row>
    <row r="697" spans="1:11" x14ac:dyDescent="0.3">
      <c r="A697" t="s">
        <v>306</v>
      </c>
      <c r="B697" t="s">
        <v>416</v>
      </c>
      <c r="C697">
        <v>1</v>
      </c>
      <c r="D697">
        <f>VLOOKUP(B697, Menu!$A:$F, 6, 0)</f>
        <v>227.61</v>
      </c>
      <c r="E697">
        <f>VLOOKUP(B697, Menu!$A:$F, 5, 0)</f>
        <v>96.22</v>
      </c>
      <c r="F697" t="str">
        <f>VLOOKUP(B697, Menu!$A:$F, 3, 0)</f>
        <v>Hot Meal</v>
      </c>
      <c r="G697" s="5">
        <f>VLOOKUP(A697, Orders!$A:$B, 2, 0)</f>
        <v>45877.626261574071</v>
      </c>
      <c r="H697" t="str">
        <f>VLOOKUP(A697, Orders!$A:$C, 3, 0)</f>
        <v>Head Office Café</v>
      </c>
      <c r="I697">
        <f>C697*D697*(1-VLOOKUP(A697,Orders!$A:$G,7,0))</f>
        <v>216.2295</v>
      </c>
      <c r="J697" t="str">
        <f>VLOOKUP(A697,Orders!$A:$G,6,0)</f>
        <v>Lunch</v>
      </c>
      <c r="K697" t="str">
        <f>VLOOKUP(A697,Orders!$A:$G,5,0)</f>
        <v>Cash</v>
      </c>
    </row>
    <row r="698" spans="1:11" x14ac:dyDescent="0.3">
      <c r="A698" t="s">
        <v>306</v>
      </c>
      <c r="B698" t="s">
        <v>408</v>
      </c>
      <c r="C698">
        <v>2</v>
      </c>
      <c r="D698">
        <f>VLOOKUP(B698, Menu!$A:$F, 6, 0)</f>
        <v>70.540000000000006</v>
      </c>
      <c r="E698">
        <f>VLOOKUP(B698, Menu!$A:$F, 5, 0)</f>
        <v>35.81</v>
      </c>
      <c r="F698" t="str">
        <f>VLOOKUP(B698, Menu!$A:$F, 3, 0)</f>
        <v>Snack</v>
      </c>
      <c r="G698" s="5">
        <f>VLOOKUP(A698, Orders!$A:$B, 2, 0)</f>
        <v>45877.626261574071</v>
      </c>
      <c r="H698" t="str">
        <f>VLOOKUP(A698, Orders!$A:$C, 3, 0)</f>
        <v>Head Office Café</v>
      </c>
      <c r="I698">
        <f>C698*D698*(1-VLOOKUP(A698,Orders!$A:$G,7,0))</f>
        <v>134.02600000000001</v>
      </c>
      <c r="J698" t="str">
        <f>VLOOKUP(A698,Orders!$A:$G,6,0)</f>
        <v>Lunch</v>
      </c>
      <c r="K698" t="str">
        <f>VLOOKUP(A698,Orders!$A:$G,5,0)</f>
        <v>Cash</v>
      </c>
    </row>
    <row r="699" spans="1:11" x14ac:dyDescent="0.3">
      <c r="A699" t="s">
        <v>307</v>
      </c>
      <c r="B699" t="s">
        <v>407</v>
      </c>
      <c r="C699">
        <v>3</v>
      </c>
      <c r="D699">
        <f>VLOOKUP(B699, Menu!$A:$F, 6, 0)</f>
        <v>246.09</v>
      </c>
      <c r="E699">
        <f>VLOOKUP(B699, Menu!$A:$F, 5, 0)</f>
        <v>112.08</v>
      </c>
      <c r="F699" t="str">
        <f>VLOOKUP(B699, Menu!$A:$F, 3, 0)</f>
        <v>Hot Meal</v>
      </c>
      <c r="G699" s="5">
        <f>VLOOKUP(A699, Orders!$A:$B, 2, 0)</f>
        <v>45868.514907407407</v>
      </c>
      <c r="H699" t="str">
        <f>VLOOKUP(A699, Orders!$A:$C, 3, 0)</f>
        <v>Plant 1 Canteen</v>
      </c>
      <c r="I699">
        <f>C699*D699*(1-VLOOKUP(A699,Orders!$A:$G,7,0))</f>
        <v>664.44299999999998</v>
      </c>
      <c r="J699" t="str">
        <f>VLOOKUP(A699,Orders!$A:$G,6,0)</f>
        <v>Lunch</v>
      </c>
      <c r="K699" t="str">
        <f>VLOOKUP(A699,Orders!$A:$G,5,0)</f>
        <v>Card</v>
      </c>
    </row>
    <row r="700" spans="1:11" x14ac:dyDescent="0.3">
      <c r="A700" t="s">
        <v>307</v>
      </c>
      <c r="B700" t="s">
        <v>415</v>
      </c>
      <c r="C700">
        <v>3</v>
      </c>
      <c r="D700">
        <f>VLOOKUP(B700, Menu!$A:$F, 6, 0)</f>
        <v>256.91000000000003</v>
      </c>
      <c r="E700">
        <f>VLOOKUP(B700, Menu!$A:$F, 5, 0)</f>
        <v>121.24</v>
      </c>
      <c r="F700" t="str">
        <f>VLOOKUP(B700, Menu!$A:$F, 3, 0)</f>
        <v>Hot Meal</v>
      </c>
      <c r="G700" s="5">
        <f>VLOOKUP(A700, Orders!$A:$B, 2, 0)</f>
        <v>45868.514907407407</v>
      </c>
      <c r="H700" t="str">
        <f>VLOOKUP(A700, Orders!$A:$C, 3, 0)</f>
        <v>Plant 1 Canteen</v>
      </c>
      <c r="I700">
        <f>C700*D700*(1-VLOOKUP(A700,Orders!$A:$G,7,0))</f>
        <v>693.65700000000004</v>
      </c>
      <c r="J700" t="str">
        <f>VLOOKUP(A700,Orders!$A:$G,6,0)</f>
        <v>Lunch</v>
      </c>
      <c r="K700" t="str">
        <f>VLOOKUP(A700,Orders!$A:$G,5,0)</f>
        <v>Card</v>
      </c>
    </row>
    <row r="701" spans="1:11" x14ac:dyDescent="0.3">
      <c r="A701" t="s">
        <v>307</v>
      </c>
      <c r="B701" t="s">
        <v>408</v>
      </c>
      <c r="C701">
        <v>2</v>
      </c>
      <c r="D701">
        <f>VLOOKUP(B701, Menu!$A:$F, 6, 0)</f>
        <v>70.540000000000006</v>
      </c>
      <c r="E701">
        <f>VLOOKUP(B701, Menu!$A:$F, 5, 0)</f>
        <v>35.81</v>
      </c>
      <c r="F701" t="str">
        <f>VLOOKUP(B701, Menu!$A:$F, 3, 0)</f>
        <v>Snack</v>
      </c>
      <c r="G701" s="5">
        <f>VLOOKUP(A701, Orders!$A:$B, 2, 0)</f>
        <v>45868.514907407407</v>
      </c>
      <c r="H701" t="str">
        <f>VLOOKUP(A701, Orders!$A:$C, 3, 0)</f>
        <v>Plant 1 Canteen</v>
      </c>
      <c r="I701">
        <f>C701*D701*(1-VLOOKUP(A701,Orders!$A:$G,7,0))</f>
        <v>126.97200000000001</v>
      </c>
      <c r="J701" t="str">
        <f>VLOOKUP(A701,Orders!$A:$G,6,0)</f>
        <v>Lunch</v>
      </c>
      <c r="K701" t="str">
        <f>VLOOKUP(A701,Orders!$A:$G,5,0)</f>
        <v>Card</v>
      </c>
    </row>
    <row r="702" spans="1:11" x14ac:dyDescent="0.3">
      <c r="A702" t="s">
        <v>308</v>
      </c>
      <c r="B702" t="s">
        <v>411</v>
      </c>
      <c r="C702">
        <v>1</v>
      </c>
      <c r="D702">
        <f>VLOOKUP(B702, Menu!$A:$F, 6, 0)</f>
        <v>22.2</v>
      </c>
      <c r="E702">
        <f>VLOOKUP(B702, Menu!$A:$F, 5, 0)</f>
        <v>9.3800000000000008</v>
      </c>
      <c r="F702" t="str">
        <f>VLOOKUP(B702, Menu!$A:$F, 3, 0)</f>
        <v>Beverage</v>
      </c>
      <c r="G702" s="5">
        <f>VLOOKUP(A702, Orders!$A:$B, 2, 0)</f>
        <v>45871.107511574082</v>
      </c>
      <c r="H702" t="str">
        <f>VLOOKUP(A702, Orders!$A:$C, 3, 0)</f>
        <v>Plant 1 Canteen</v>
      </c>
      <c r="I702">
        <f>C702*D702*(1-VLOOKUP(A702,Orders!$A:$G,7,0))</f>
        <v>20.202000000000002</v>
      </c>
      <c r="J702" t="str">
        <f>VLOOKUP(A702,Orders!$A:$G,6,0)</f>
        <v>Breakfast</v>
      </c>
      <c r="K702" t="str">
        <f>VLOOKUP(A702,Orders!$A:$G,5,0)</f>
        <v>Card</v>
      </c>
    </row>
    <row r="703" spans="1:11" x14ac:dyDescent="0.3">
      <c r="A703" t="s">
        <v>308</v>
      </c>
      <c r="B703" t="s">
        <v>403</v>
      </c>
      <c r="C703">
        <v>1</v>
      </c>
      <c r="D703">
        <f>VLOOKUP(B703, Menu!$A:$F, 6, 0)</f>
        <v>76.55</v>
      </c>
      <c r="E703">
        <f>VLOOKUP(B703, Menu!$A:$F, 5, 0)</f>
        <v>38.229999999999997</v>
      </c>
      <c r="F703" t="str">
        <f>VLOOKUP(B703, Menu!$A:$F, 3, 0)</f>
        <v>Dessert</v>
      </c>
      <c r="G703" s="5">
        <f>VLOOKUP(A703, Orders!$A:$B, 2, 0)</f>
        <v>45871.107511574082</v>
      </c>
      <c r="H703" t="str">
        <f>VLOOKUP(A703, Orders!$A:$C, 3, 0)</f>
        <v>Plant 1 Canteen</v>
      </c>
      <c r="I703">
        <f>C703*D703*(1-VLOOKUP(A703,Orders!$A:$G,7,0))</f>
        <v>69.660499999999999</v>
      </c>
      <c r="J703" t="str">
        <f>VLOOKUP(A703,Orders!$A:$G,6,0)</f>
        <v>Breakfast</v>
      </c>
      <c r="K703" t="str">
        <f>VLOOKUP(A703,Orders!$A:$G,5,0)</f>
        <v>Card</v>
      </c>
    </row>
    <row r="704" spans="1:11" x14ac:dyDescent="0.3">
      <c r="A704" t="s">
        <v>308</v>
      </c>
      <c r="B704" t="s">
        <v>413</v>
      </c>
      <c r="C704">
        <v>1</v>
      </c>
      <c r="D704">
        <f>VLOOKUP(B704, Menu!$A:$F, 6, 0)</f>
        <v>54.2</v>
      </c>
      <c r="E704">
        <f>VLOOKUP(B704, Menu!$A:$F, 5, 0)</f>
        <v>21.95</v>
      </c>
      <c r="F704" t="str">
        <f>VLOOKUP(B704, Menu!$A:$F, 3, 0)</f>
        <v>Dessert</v>
      </c>
      <c r="G704" s="5">
        <f>VLOOKUP(A704, Orders!$A:$B, 2, 0)</f>
        <v>45871.107511574082</v>
      </c>
      <c r="H704" t="str">
        <f>VLOOKUP(A704, Orders!$A:$C, 3, 0)</f>
        <v>Plant 1 Canteen</v>
      </c>
      <c r="I704">
        <f>C704*D704*(1-VLOOKUP(A704,Orders!$A:$G,7,0))</f>
        <v>49.322000000000003</v>
      </c>
      <c r="J704" t="str">
        <f>VLOOKUP(A704,Orders!$A:$G,6,0)</f>
        <v>Breakfast</v>
      </c>
      <c r="K704" t="str">
        <f>VLOOKUP(A704,Orders!$A:$G,5,0)</f>
        <v>Card</v>
      </c>
    </row>
    <row r="705" spans="1:11" x14ac:dyDescent="0.3">
      <c r="A705" t="s">
        <v>309</v>
      </c>
      <c r="B705" t="s">
        <v>417</v>
      </c>
      <c r="C705">
        <v>1</v>
      </c>
      <c r="D705">
        <f>VLOOKUP(B705, Menu!$A:$F, 6, 0)</f>
        <v>146.4</v>
      </c>
      <c r="E705">
        <f>VLOOKUP(B705, Menu!$A:$F, 5, 0)</f>
        <v>80.92</v>
      </c>
      <c r="F705" t="str">
        <f>VLOOKUP(B705, Menu!$A:$F, 3, 0)</f>
        <v>Hot Meal</v>
      </c>
      <c r="G705" s="5">
        <f>VLOOKUP(A705, Orders!$A:$B, 2, 0)</f>
        <v>45856.308263888888</v>
      </c>
      <c r="H705" t="str">
        <f>VLOOKUP(A705, Orders!$A:$C, 3, 0)</f>
        <v>Plant 1 Canteen</v>
      </c>
      <c r="I705">
        <f>C705*D705*(1-VLOOKUP(A705,Orders!$A:$G,7,0))</f>
        <v>133.22400000000002</v>
      </c>
      <c r="J705" t="str">
        <f>VLOOKUP(A705,Orders!$A:$G,6,0)</f>
        <v>Breakfast</v>
      </c>
      <c r="K705" t="str">
        <f>VLOOKUP(A705,Orders!$A:$G,5,0)</f>
        <v>UPI</v>
      </c>
    </row>
    <row r="706" spans="1:11" x14ac:dyDescent="0.3">
      <c r="A706" t="s">
        <v>309</v>
      </c>
      <c r="B706" t="s">
        <v>411</v>
      </c>
      <c r="C706">
        <v>3</v>
      </c>
      <c r="D706">
        <f>VLOOKUP(B706, Menu!$A:$F, 6, 0)</f>
        <v>22.2</v>
      </c>
      <c r="E706">
        <f>VLOOKUP(B706, Menu!$A:$F, 5, 0)</f>
        <v>9.3800000000000008</v>
      </c>
      <c r="F706" t="str">
        <f>VLOOKUP(B706, Menu!$A:$F, 3, 0)</f>
        <v>Beverage</v>
      </c>
      <c r="G706" s="5">
        <f>VLOOKUP(A706, Orders!$A:$B, 2, 0)</f>
        <v>45856.308263888888</v>
      </c>
      <c r="H706" t="str">
        <f>VLOOKUP(A706, Orders!$A:$C, 3, 0)</f>
        <v>Plant 1 Canteen</v>
      </c>
      <c r="I706">
        <f>C706*D706*(1-VLOOKUP(A706,Orders!$A:$G,7,0))</f>
        <v>60.605999999999995</v>
      </c>
      <c r="J706" t="str">
        <f>VLOOKUP(A706,Orders!$A:$G,6,0)</f>
        <v>Breakfast</v>
      </c>
      <c r="K706" t="str">
        <f>VLOOKUP(A706,Orders!$A:$G,5,0)</f>
        <v>UPI</v>
      </c>
    </row>
    <row r="707" spans="1:11" x14ac:dyDescent="0.3">
      <c r="A707" t="s">
        <v>309</v>
      </c>
      <c r="B707" t="s">
        <v>406</v>
      </c>
      <c r="C707">
        <v>1</v>
      </c>
      <c r="D707">
        <f>VLOOKUP(B707, Menu!$A:$F, 6, 0)</f>
        <v>38.06</v>
      </c>
      <c r="E707">
        <f>VLOOKUP(B707, Menu!$A:$F, 5, 0)</f>
        <v>19.55</v>
      </c>
      <c r="F707" t="str">
        <f>VLOOKUP(B707, Menu!$A:$F, 3, 0)</f>
        <v>Snack</v>
      </c>
      <c r="G707" s="5">
        <f>VLOOKUP(A707, Orders!$A:$B, 2, 0)</f>
        <v>45856.308263888888</v>
      </c>
      <c r="H707" t="str">
        <f>VLOOKUP(A707, Orders!$A:$C, 3, 0)</f>
        <v>Plant 1 Canteen</v>
      </c>
      <c r="I707">
        <f>C707*D707*(1-VLOOKUP(A707,Orders!$A:$G,7,0))</f>
        <v>34.634600000000006</v>
      </c>
      <c r="J707" t="str">
        <f>VLOOKUP(A707,Orders!$A:$G,6,0)</f>
        <v>Breakfast</v>
      </c>
      <c r="K707" t="str">
        <f>VLOOKUP(A707,Orders!$A:$G,5,0)</f>
        <v>UPI</v>
      </c>
    </row>
    <row r="708" spans="1:11" x14ac:dyDescent="0.3">
      <c r="A708" t="s">
        <v>310</v>
      </c>
      <c r="B708" t="s">
        <v>414</v>
      </c>
      <c r="C708">
        <v>3</v>
      </c>
      <c r="D708">
        <f>VLOOKUP(B708, Menu!$A:$F, 6, 0)</f>
        <v>116.8</v>
      </c>
      <c r="E708">
        <f>VLOOKUP(B708, Menu!$A:$F, 5, 0)</f>
        <v>48.97</v>
      </c>
      <c r="F708" t="str">
        <f>VLOOKUP(B708, Menu!$A:$F, 3, 0)</f>
        <v>Dessert</v>
      </c>
      <c r="G708" s="5">
        <f>VLOOKUP(A708, Orders!$A:$B, 2, 0)</f>
        <v>45887.820648148147</v>
      </c>
      <c r="H708" t="str">
        <f>VLOOKUP(A708, Orders!$A:$C, 3, 0)</f>
        <v>Head Office Café</v>
      </c>
      <c r="I708">
        <f>C708*D708*(1-VLOOKUP(A708,Orders!$A:$G,7,0))</f>
        <v>311.85599999999999</v>
      </c>
      <c r="J708" t="str">
        <f>VLOOKUP(A708,Orders!$A:$G,6,0)</f>
        <v>Dinner</v>
      </c>
      <c r="K708" t="str">
        <f>VLOOKUP(A708,Orders!$A:$G,5,0)</f>
        <v>Card</v>
      </c>
    </row>
    <row r="709" spans="1:11" x14ac:dyDescent="0.3">
      <c r="A709" t="s">
        <v>311</v>
      </c>
      <c r="B709" t="s">
        <v>406</v>
      </c>
      <c r="C709">
        <v>1</v>
      </c>
      <c r="D709">
        <f>VLOOKUP(B709, Menu!$A:$F, 6, 0)</f>
        <v>38.06</v>
      </c>
      <c r="E709">
        <f>VLOOKUP(B709, Menu!$A:$F, 5, 0)</f>
        <v>19.55</v>
      </c>
      <c r="F709" t="str">
        <f>VLOOKUP(B709, Menu!$A:$F, 3, 0)</f>
        <v>Snack</v>
      </c>
      <c r="G709" s="5">
        <f>VLOOKUP(A709, Orders!$A:$B, 2, 0)</f>
        <v>45877.801782407398</v>
      </c>
      <c r="H709" t="str">
        <f>VLOOKUP(A709, Orders!$A:$C, 3, 0)</f>
        <v>Head Office Café</v>
      </c>
      <c r="I709">
        <f>C709*D709*(1-VLOOKUP(A709,Orders!$A:$G,7,0))</f>
        <v>35.776400000000002</v>
      </c>
      <c r="J709" t="str">
        <f>VLOOKUP(A709,Orders!$A:$G,6,0)</f>
        <v>Dinner</v>
      </c>
      <c r="K709" t="str">
        <f>VLOOKUP(A709,Orders!$A:$G,5,0)</f>
        <v>Card</v>
      </c>
    </row>
    <row r="710" spans="1:11" x14ac:dyDescent="0.3">
      <c r="A710" t="s">
        <v>311</v>
      </c>
      <c r="B710" t="s">
        <v>411</v>
      </c>
      <c r="C710">
        <v>1</v>
      </c>
      <c r="D710">
        <f>VLOOKUP(B710, Menu!$A:$F, 6, 0)</f>
        <v>22.2</v>
      </c>
      <c r="E710">
        <f>VLOOKUP(B710, Menu!$A:$F, 5, 0)</f>
        <v>9.3800000000000008</v>
      </c>
      <c r="F710" t="str">
        <f>VLOOKUP(B710, Menu!$A:$F, 3, 0)</f>
        <v>Beverage</v>
      </c>
      <c r="G710" s="5">
        <f>VLOOKUP(A710, Orders!$A:$B, 2, 0)</f>
        <v>45877.801782407398</v>
      </c>
      <c r="H710" t="str">
        <f>VLOOKUP(A710, Orders!$A:$C, 3, 0)</f>
        <v>Head Office Café</v>
      </c>
      <c r="I710">
        <f>C710*D710*(1-VLOOKUP(A710,Orders!$A:$G,7,0))</f>
        <v>20.867999999999999</v>
      </c>
      <c r="J710" t="str">
        <f>VLOOKUP(A710,Orders!$A:$G,6,0)</f>
        <v>Dinner</v>
      </c>
      <c r="K710" t="str">
        <f>VLOOKUP(A710,Orders!$A:$G,5,0)</f>
        <v>Card</v>
      </c>
    </row>
    <row r="711" spans="1:11" x14ac:dyDescent="0.3">
      <c r="A711" t="s">
        <v>311</v>
      </c>
      <c r="B711" t="s">
        <v>419</v>
      </c>
      <c r="C711">
        <v>2</v>
      </c>
      <c r="D711">
        <f>VLOOKUP(B711, Menu!$A:$F, 6, 0)</f>
        <v>50.19</v>
      </c>
      <c r="E711">
        <f>VLOOKUP(B711, Menu!$A:$F, 5, 0)</f>
        <v>22.61</v>
      </c>
      <c r="F711" t="str">
        <f>VLOOKUP(B711, Menu!$A:$F, 3, 0)</f>
        <v>Snack</v>
      </c>
      <c r="G711" s="5">
        <f>VLOOKUP(A711, Orders!$A:$B, 2, 0)</f>
        <v>45877.801782407398</v>
      </c>
      <c r="H711" t="str">
        <f>VLOOKUP(A711, Orders!$A:$C, 3, 0)</f>
        <v>Head Office Café</v>
      </c>
      <c r="I711">
        <f>C711*D711*(1-VLOOKUP(A711,Orders!$A:$G,7,0))</f>
        <v>94.357199999999992</v>
      </c>
      <c r="J711" t="str">
        <f>VLOOKUP(A711,Orders!$A:$G,6,0)</f>
        <v>Dinner</v>
      </c>
      <c r="K711" t="str">
        <f>VLOOKUP(A711,Orders!$A:$G,5,0)</f>
        <v>Card</v>
      </c>
    </row>
    <row r="712" spans="1:11" x14ac:dyDescent="0.3">
      <c r="A712" t="s">
        <v>311</v>
      </c>
      <c r="B712" t="s">
        <v>415</v>
      </c>
      <c r="C712">
        <v>2</v>
      </c>
      <c r="D712">
        <f>VLOOKUP(B712, Menu!$A:$F, 6, 0)</f>
        <v>256.91000000000003</v>
      </c>
      <c r="E712">
        <f>VLOOKUP(B712, Menu!$A:$F, 5, 0)</f>
        <v>121.24</v>
      </c>
      <c r="F712" t="str">
        <f>VLOOKUP(B712, Menu!$A:$F, 3, 0)</f>
        <v>Hot Meal</v>
      </c>
      <c r="G712" s="5">
        <f>VLOOKUP(A712, Orders!$A:$B, 2, 0)</f>
        <v>45877.801782407398</v>
      </c>
      <c r="H712" t="str">
        <f>VLOOKUP(A712, Orders!$A:$C, 3, 0)</f>
        <v>Head Office Café</v>
      </c>
      <c r="I712">
        <f>C712*D712*(1-VLOOKUP(A712,Orders!$A:$G,7,0))</f>
        <v>482.99080000000004</v>
      </c>
      <c r="J712" t="str">
        <f>VLOOKUP(A712,Orders!$A:$G,6,0)</f>
        <v>Dinner</v>
      </c>
      <c r="K712" t="str">
        <f>VLOOKUP(A712,Orders!$A:$G,5,0)</f>
        <v>Card</v>
      </c>
    </row>
    <row r="713" spans="1:11" x14ac:dyDescent="0.3">
      <c r="A713" t="s">
        <v>312</v>
      </c>
      <c r="B713" t="s">
        <v>402</v>
      </c>
      <c r="C713">
        <v>2</v>
      </c>
      <c r="D713">
        <f>VLOOKUP(B713, Menu!$A:$F, 6, 0)</f>
        <v>30.34</v>
      </c>
      <c r="E713">
        <f>VLOOKUP(B713, Menu!$A:$F, 5, 0)</f>
        <v>14.18</v>
      </c>
      <c r="F713" t="str">
        <f>VLOOKUP(B713, Menu!$A:$F, 3, 0)</f>
        <v>Beverage</v>
      </c>
      <c r="G713" s="5">
        <f>VLOOKUP(A713, Orders!$A:$B, 2, 0)</f>
        <v>45883.887708333343</v>
      </c>
      <c r="H713" t="str">
        <f>VLOOKUP(A713, Orders!$A:$C, 3, 0)</f>
        <v>Plant 1 Canteen</v>
      </c>
      <c r="I713">
        <f>C713*D713*(1-VLOOKUP(A713,Orders!$A:$G,7,0))</f>
        <v>55.218800000000002</v>
      </c>
      <c r="J713" t="str">
        <f>VLOOKUP(A713,Orders!$A:$G,6,0)</f>
        <v>Dinner</v>
      </c>
      <c r="K713" t="str">
        <f>VLOOKUP(A713,Orders!$A:$G,5,0)</f>
        <v>UPI</v>
      </c>
    </row>
    <row r="714" spans="1:11" x14ac:dyDescent="0.3">
      <c r="A714" t="s">
        <v>312</v>
      </c>
      <c r="B714" t="s">
        <v>405</v>
      </c>
      <c r="C714">
        <v>2</v>
      </c>
      <c r="D714">
        <f>VLOOKUP(B714, Menu!$A:$F, 6, 0)</f>
        <v>170.83</v>
      </c>
      <c r="E714">
        <f>VLOOKUP(B714, Menu!$A:$F, 5, 0)</f>
        <v>74.069999999999993</v>
      </c>
      <c r="F714" t="str">
        <f>VLOOKUP(B714, Menu!$A:$F, 3, 0)</f>
        <v>Hot Meal</v>
      </c>
      <c r="G714" s="5">
        <f>VLOOKUP(A714, Orders!$A:$B, 2, 0)</f>
        <v>45883.887708333343</v>
      </c>
      <c r="H714" t="str">
        <f>VLOOKUP(A714, Orders!$A:$C, 3, 0)</f>
        <v>Plant 1 Canteen</v>
      </c>
      <c r="I714">
        <f>C714*D714*(1-VLOOKUP(A714,Orders!$A:$G,7,0))</f>
        <v>310.91060000000004</v>
      </c>
      <c r="J714" t="str">
        <f>VLOOKUP(A714,Orders!$A:$G,6,0)</f>
        <v>Dinner</v>
      </c>
      <c r="K714" t="str">
        <f>VLOOKUP(A714,Orders!$A:$G,5,0)</f>
        <v>UPI</v>
      </c>
    </row>
    <row r="715" spans="1:11" x14ac:dyDescent="0.3">
      <c r="A715" t="s">
        <v>312</v>
      </c>
      <c r="B715" t="s">
        <v>414</v>
      </c>
      <c r="C715">
        <v>3</v>
      </c>
      <c r="D715">
        <f>VLOOKUP(B715, Menu!$A:$F, 6, 0)</f>
        <v>116.8</v>
      </c>
      <c r="E715">
        <f>VLOOKUP(B715, Menu!$A:$F, 5, 0)</f>
        <v>48.97</v>
      </c>
      <c r="F715" t="str">
        <f>VLOOKUP(B715, Menu!$A:$F, 3, 0)</f>
        <v>Dessert</v>
      </c>
      <c r="G715" s="5">
        <f>VLOOKUP(A715, Orders!$A:$B, 2, 0)</f>
        <v>45883.887708333343</v>
      </c>
      <c r="H715" t="str">
        <f>VLOOKUP(A715, Orders!$A:$C, 3, 0)</f>
        <v>Plant 1 Canteen</v>
      </c>
      <c r="I715">
        <f>C715*D715*(1-VLOOKUP(A715,Orders!$A:$G,7,0))</f>
        <v>318.86399999999998</v>
      </c>
      <c r="J715" t="str">
        <f>VLOOKUP(A715,Orders!$A:$G,6,0)</f>
        <v>Dinner</v>
      </c>
      <c r="K715" t="str">
        <f>VLOOKUP(A715,Orders!$A:$G,5,0)</f>
        <v>UPI</v>
      </c>
    </row>
    <row r="716" spans="1:11" x14ac:dyDescent="0.3">
      <c r="A716" t="s">
        <v>312</v>
      </c>
      <c r="B716" t="s">
        <v>419</v>
      </c>
      <c r="C716">
        <v>3</v>
      </c>
      <c r="D716">
        <f>VLOOKUP(B716, Menu!$A:$F, 6, 0)</f>
        <v>50.19</v>
      </c>
      <c r="E716">
        <f>VLOOKUP(B716, Menu!$A:$F, 5, 0)</f>
        <v>22.61</v>
      </c>
      <c r="F716" t="str">
        <f>VLOOKUP(B716, Menu!$A:$F, 3, 0)</f>
        <v>Snack</v>
      </c>
      <c r="G716" s="5">
        <f>VLOOKUP(A716, Orders!$A:$B, 2, 0)</f>
        <v>45883.887708333343</v>
      </c>
      <c r="H716" t="str">
        <f>VLOOKUP(A716, Orders!$A:$C, 3, 0)</f>
        <v>Plant 1 Canteen</v>
      </c>
      <c r="I716">
        <f>C716*D716*(1-VLOOKUP(A716,Orders!$A:$G,7,0))</f>
        <v>137.0187</v>
      </c>
      <c r="J716" t="str">
        <f>VLOOKUP(A716,Orders!$A:$G,6,0)</f>
        <v>Dinner</v>
      </c>
      <c r="K716" t="str">
        <f>VLOOKUP(A716,Orders!$A:$G,5,0)</f>
        <v>UPI</v>
      </c>
    </row>
    <row r="717" spans="1:11" x14ac:dyDescent="0.3">
      <c r="A717" t="s">
        <v>313</v>
      </c>
      <c r="B717" t="s">
        <v>406</v>
      </c>
      <c r="C717">
        <v>1</v>
      </c>
      <c r="D717">
        <f>VLOOKUP(B717, Menu!$A:$F, 6, 0)</f>
        <v>38.06</v>
      </c>
      <c r="E717">
        <f>VLOOKUP(B717, Menu!$A:$F, 5, 0)</f>
        <v>19.55</v>
      </c>
      <c r="F717" t="str">
        <f>VLOOKUP(B717, Menu!$A:$F, 3, 0)</f>
        <v>Snack</v>
      </c>
      <c r="G717" s="5">
        <f>VLOOKUP(A717, Orders!$A:$B, 2, 0)</f>
        <v>45894.921585648153</v>
      </c>
      <c r="H717" t="str">
        <f>VLOOKUP(A717, Orders!$A:$C, 3, 0)</f>
        <v>Plant 2 Canteen</v>
      </c>
      <c r="I717">
        <f>C717*D717*(1-VLOOKUP(A717,Orders!$A:$G,7,0))</f>
        <v>36.157000000000004</v>
      </c>
      <c r="J717" t="str">
        <f>VLOOKUP(A717,Orders!$A:$G,6,0)</f>
        <v>Dinner</v>
      </c>
      <c r="K717" t="str">
        <f>VLOOKUP(A717,Orders!$A:$G,5,0)</f>
        <v>UPI</v>
      </c>
    </row>
    <row r="718" spans="1:11" x14ac:dyDescent="0.3">
      <c r="A718" t="s">
        <v>313</v>
      </c>
      <c r="B718" t="s">
        <v>410</v>
      </c>
      <c r="C718">
        <v>2</v>
      </c>
      <c r="D718">
        <f>VLOOKUP(B718, Menu!$A:$F, 6, 0)</f>
        <v>20.11</v>
      </c>
      <c r="E718">
        <f>VLOOKUP(B718, Menu!$A:$F, 5, 0)</f>
        <v>8</v>
      </c>
      <c r="F718" t="str">
        <f>VLOOKUP(B718, Menu!$A:$F, 3, 0)</f>
        <v>Beverage</v>
      </c>
      <c r="G718" s="5">
        <f>VLOOKUP(A718, Orders!$A:$B, 2, 0)</f>
        <v>45894.921585648153</v>
      </c>
      <c r="H718" t="str">
        <f>VLOOKUP(A718, Orders!$A:$C, 3, 0)</f>
        <v>Plant 2 Canteen</v>
      </c>
      <c r="I718">
        <f>C718*D718*(1-VLOOKUP(A718,Orders!$A:$G,7,0))</f>
        <v>38.208999999999996</v>
      </c>
      <c r="J718" t="str">
        <f>VLOOKUP(A718,Orders!$A:$G,6,0)</f>
        <v>Dinner</v>
      </c>
      <c r="K718" t="str">
        <f>VLOOKUP(A718,Orders!$A:$G,5,0)</f>
        <v>UPI</v>
      </c>
    </row>
    <row r="719" spans="1:11" x14ac:dyDescent="0.3">
      <c r="A719" t="s">
        <v>313</v>
      </c>
      <c r="B719" t="s">
        <v>414</v>
      </c>
      <c r="C719">
        <v>3</v>
      </c>
      <c r="D719">
        <f>VLOOKUP(B719, Menu!$A:$F, 6, 0)</f>
        <v>116.8</v>
      </c>
      <c r="E719">
        <f>VLOOKUP(B719, Menu!$A:$F, 5, 0)</f>
        <v>48.97</v>
      </c>
      <c r="F719" t="str">
        <f>VLOOKUP(B719, Menu!$A:$F, 3, 0)</f>
        <v>Dessert</v>
      </c>
      <c r="G719" s="5">
        <f>VLOOKUP(A719, Orders!$A:$B, 2, 0)</f>
        <v>45894.921585648153</v>
      </c>
      <c r="H719" t="str">
        <f>VLOOKUP(A719, Orders!$A:$C, 3, 0)</f>
        <v>Plant 2 Canteen</v>
      </c>
      <c r="I719">
        <f>C719*D719*(1-VLOOKUP(A719,Orders!$A:$G,7,0))</f>
        <v>332.87999999999994</v>
      </c>
      <c r="J719" t="str">
        <f>VLOOKUP(A719,Orders!$A:$G,6,0)</f>
        <v>Dinner</v>
      </c>
      <c r="K719" t="str">
        <f>VLOOKUP(A719,Orders!$A:$G,5,0)</f>
        <v>UPI</v>
      </c>
    </row>
    <row r="720" spans="1:11" x14ac:dyDescent="0.3">
      <c r="A720" t="s">
        <v>314</v>
      </c>
      <c r="B720" t="s">
        <v>406</v>
      </c>
      <c r="C720">
        <v>1</v>
      </c>
      <c r="D720">
        <f>VLOOKUP(B720, Menu!$A:$F, 6, 0)</f>
        <v>38.06</v>
      </c>
      <c r="E720">
        <f>VLOOKUP(B720, Menu!$A:$F, 5, 0)</f>
        <v>19.55</v>
      </c>
      <c r="F720" t="str">
        <f>VLOOKUP(B720, Menu!$A:$F, 3, 0)</f>
        <v>Snack</v>
      </c>
      <c r="G720" s="5">
        <f>VLOOKUP(A720, Orders!$A:$B, 2, 0)</f>
        <v>45867.359131944453</v>
      </c>
      <c r="H720" t="str">
        <f>VLOOKUP(A720, Orders!$A:$C, 3, 0)</f>
        <v>Plant 1 Canteen</v>
      </c>
      <c r="I720">
        <f>C720*D720*(1-VLOOKUP(A720,Orders!$A:$G,7,0))</f>
        <v>35.395800000000001</v>
      </c>
      <c r="J720" t="str">
        <f>VLOOKUP(A720,Orders!$A:$G,6,0)</f>
        <v>Breakfast</v>
      </c>
      <c r="K720" t="str">
        <f>VLOOKUP(A720,Orders!$A:$G,5,0)</f>
        <v>Cash</v>
      </c>
    </row>
    <row r="721" spans="1:11" x14ac:dyDescent="0.3">
      <c r="A721" t="s">
        <v>314</v>
      </c>
      <c r="B721" t="s">
        <v>418</v>
      </c>
      <c r="C721">
        <v>1</v>
      </c>
      <c r="D721">
        <f>VLOOKUP(B721, Menu!$A:$F, 6, 0)</f>
        <v>39.950000000000003</v>
      </c>
      <c r="E721">
        <f>VLOOKUP(B721, Menu!$A:$F, 5, 0)</f>
        <v>15.51</v>
      </c>
      <c r="F721" t="str">
        <f>VLOOKUP(B721, Menu!$A:$F, 3, 0)</f>
        <v>Snack</v>
      </c>
      <c r="G721" s="5">
        <f>VLOOKUP(A721, Orders!$A:$B, 2, 0)</f>
        <v>45867.359131944453</v>
      </c>
      <c r="H721" t="str">
        <f>VLOOKUP(A721, Orders!$A:$C, 3, 0)</f>
        <v>Plant 1 Canteen</v>
      </c>
      <c r="I721">
        <f>C721*D721*(1-VLOOKUP(A721,Orders!$A:$G,7,0))</f>
        <v>37.153500000000001</v>
      </c>
      <c r="J721" t="str">
        <f>VLOOKUP(A721,Orders!$A:$G,6,0)</f>
        <v>Breakfast</v>
      </c>
      <c r="K721" t="str">
        <f>VLOOKUP(A721,Orders!$A:$G,5,0)</f>
        <v>Cash</v>
      </c>
    </row>
    <row r="722" spans="1:11" x14ac:dyDescent="0.3">
      <c r="A722" t="s">
        <v>315</v>
      </c>
      <c r="B722" t="s">
        <v>405</v>
      </c>
      <c r="C722">
        <v>1</v>
      </c>
      <c r="D722">
        <f>VLOOKUP(B722, Menu!$A:$F, 6, 0)</f>
        <v>170.83</v>
      </c>
      <c r="E722">
        <f>VLOOKUP(B722, Menu!$A:$F, 5, 0)</f>
        <v>74.069999999999993</v>
      </c>
      <c r="F722" t="str">
        <f>VLOOKUP(B722, Menu!$A:$F, 3, 0)</f>
        <v>Hot Meal</v>
      </c>
      <c r="G722" s="5">
        <f>VLOOKUP(A722, Orders!$A:$B, 2, 0)</f>
        <v>45855.937222222223</v>
      </c>
      <c r="H722" t="str">
        <f>VLOOKUP(A722, Orders!$A:$C, 3, 0)</f>
        <v>Head Office Café</v>
      </c>
      <c r="I722">
        <f>C722*D722*(1-VLOOKUP(A722,Orders!$A:$G,7,0))</f>
        <v>162.2885</v>
      </c>
      <c r="J722" t="str">
        <f>VLOOKUP(A722,Orders!$A:$G,6,0)</f>
        <v>Dinner</v>
      </c>
      <c r="K722" t="str">
        <f>VLOOKUP(A722,Orders!$A:$G,5,0)</f>
        <v>UPI</v>
      </c>
    </row>
    <row r="723" spans="1:11" x14ac:dyDescent="0.3">
      <c r="A723" t="s">
        <v>315</v>
      </c>
      <c r="B723" t="s">
        <v>402</v>
      </c>
      <c r="C723">
        <v>1</v>
      </c>
      <c r="D723">
        <f>VLOOKUP(B723, Menu!$A:$F, 6, 0)</f>
        <v>30.34</v>
      </c>
      <c r="E723">
        <f>VLOOKUP(B723, Menu!$A:$F, 5, 0)</f>
        <v>14.18</v>
      </c>
      <c r="F723" t="str">
        <f>VLOOKUP(B723, Menu!$A:$F, 3, 0)</f>
        <v>Beverage</v>
      </c>
      <c r="G723" s="5">
        <f>VLOOKUP(A723, Orders!$A:$B, 2, 0)</f>
        <v>45855.937222222223</v>
      </c>
      <c r="H723" t="str">
        <f>VLOOKUP(A723, Orders!$A:$C, 3, 0)</f>
        <v>Head Office Café</v>
      </c>
      <c r="I723">
        <f>C723*D723*(1-VLOOKUP(A723,Orders!$A:$G,7,0))</f>
        <v>28.822999999999997</v>
      </c>
      <c r="J723" t="str">
        <f>VLOOKUP(A723,Orders!$A:$G,6,0)</f>
        <v>Dinner</v>
      </c>
      <c r="K723" t="str">
        <f>VLOOKUP(A723,Orders!$A:$G,5,0)</f>
        <v>UPI</v>
      </c>
    </row>
    <row r="724" spans="1:11" x14ac:dyDescent="0.3">
      <c r="A724" t="s">
        <v>315</v>
      </c>
      <c r="B724" t="s">
        <v>414</v>
      </c>
      <c r="C724">
        <v>2</v>
      </c>
      <c r="D724">
        <f>VLOOKUP(B724, Menu!$A:$F, 6, 0)</f>
        <v>116.8</v>
      </c>
      <c r="E724">
        <f>VLOOKUP(B724, Menu!$A:$F, 5, 0)</f>
        <v>48.97</v>
      </c>
      <c r="F724" t="str">
        <f>VLOOKUP(B724, Menu!$A:$F, 3, 0)</f>
        <v>Dessert</v>
      </c>
      <c r="G724" s="5">
        <f>VLOOKUP(A724, Orders!$A:$B, 2, 0)</f>
        <v>45855.937222222223</v>
      </c>
      <c r="H724" t="str">
        <f>VLOOKUP(A724, Orders!$A:$C, 3, 0)</f>
        <v>Head Office Café</v>
      </c>
      <c r="I724">
        <f>C724*D724*(1-VLOOKUP(A724,Orders!$A:$G,7,0))</f>
        <v>221.92</v>
      </c>
      <c r="J724" t="str">
        <f>VLOOKUP(A724,Orders!$A:$G,6,0)</f>
        <v>Dinner</v>
      </c>
      <c r="K724" t="str">
        <f>VLOOKUP(A724,Orders!$A:$G,5,0)</f>
        <v>UPI</v>
      </c>
    </row>
    <row r="725" spans="1:11" x14ac:dyDescent="0.3">
      <c r="A725" t="s">
        <v>316</v>
      </c>
      <c r="B725" t="s">
        <v>402</v>
      </c>
      <c r="C725">
        <v>1</v>
      </c>
      <c r="D725">
        <f>VLOOKUP(B725, Menu!$A:$F, 6, 0)</f>
        <v>30.34</v>
      </c>
      <c r="E725">
        <f>VLOOKUP(B725, Menu!$A:$F, 5, 0)</f>
        <v>14.18</v>
      </c>
      <c r="F725" t="str">
        <f>VLOOKUP(B725, Menu!$A:$F, 3, 0)</f>
        <v>Beverage</v>
      </c>
      <c r="G725" s="5">
        <f>VLOOKUP(A725, Orders!$A:$B, 2, 0)</f>
        <v>45847.806562500002</v>
      </c>
      <c r="H725" t="str">
        <f>VLOOKUP(A725, Orders!$A:$C, 3, 0)</f>
        <v>Plant 2 Canteen</v>
      </c>
      <c r="I725">
        <f>C725*D725*(1-VLOOKUP(A725,Orders!$A:$G,7,0))</f>
        <v>28.519599999999997</v>
      </c>
      <c r="J725" t="str">
        <f>VLOOKUP(A725,Orders!$A:$G,6,0)</f>
        <v>Dinner</v>
      </c>
      <c r="K725" t="str">
        <f>VLOOKUP(A725,Orders!$A:$G,5,0)</f>
        <v>Cash</v>
      </c>
    </row>
    <row r="726" spans="1:11" x14ac:dyDescent="0.3">
      <c r="A726" t="s">
        <v>317</v>
      </c>
      <c r="B726" t="s">
        <v>409</v>
      </c>
      <c r="C726">
        <v>1</v>
      </c>
      <c r="D726">
        <f>VLOOKUP(B726, Menu!$A:$F, 6, 0)</f>
        <v>28.43</v>
      </c>
      <c r="E726">
        <f>VLOOKUP(B726, Menu!$A:$F, 5, 0)</f>
        <v>13.89</v>
      </c>
      <c r="F726" t="str">
        <f>VLOOKUP(B726, Menu!$A:$F, 3, 0)</f>
        <v>Beverage</v>
      </c>
      <c r="G726" s="5">
        <f>VLOOKUP(A726, Orders!$A:$B, 2, 0)</f>
        <v>45896.423726851863</v>
      </c>
      <c r="H726" t="str">
        <f>VLOOKUP(A726, Orders!$A:$C, 3, 0)</f>
        <v>Plant 2 Canteen</v>
      </c>
      <c r="I726">
        <f>C726*D726*(1-VLOOKUP(A726,Orders!$A:$G,7,0))</f>
        <v>26.1556</v>
      </c>
      <c r="J726" t="str">
        <f>VLOOKUP(A726,Orders!$A:$G,6,0)</f>
        <v>Breakfast</v>
      </c>
      <c r="K726" t="str">
        <f>VLOOKUP(A726,Orders!$A:$G,5,0)</f>
        <v>Cash</v>
      </c>
    </row>
    <row r="727" spans="1:11" x14ac:dyDescent="0.3">
      <c r="A727" t="s">
        <v>317</v>
      </c>
      <c r="B727" t="s">
        <v>402</v>
      </c>
      <c r="C727">
        <v>3</v>
      </c>
      <c r="D727">
        <f>VLOOKUP(B727, Menu!$A:$F, 6, 0)</f>
        <v>30.34</v>
      </c>
      <c r="E727">
        <f>VLOOKUP(B727, Menu!$A:$F, 5, 0)</f>
        <v>14.18</v>
      </c>
      <c r="F727" t="str">
        <f>VLOOKUP(B727, Menu!$A:$F, 3, 0)</f>
        <v>Beverage</v>
      </c>
      <c r="G727" s="5">
        <f>VLOOKUP(A727, Orders!$A:$B, 2, 0)</f>
        <v>45896.423726851863</v>
      </c>
      <c r="H727" t="str">
        <f>VLOOKUP(A727, Orders!$A:$C, 3, 0)</f>
        <v>Plant 2 Canteen</v>
      </c>
      <c r="I727">
        <f>C727*D727*(1-VLOOKUP(A727,Orders!$A:$G,7,0))</f>
        <v>83.738399999999999</v>
      </c>
      <c r="J727" t="str">
        <f>VLOOKUP(A727,Orders!$A:$G,6,0)</f>
        <v>Breakfast</v>
      </c>
      <c r="K727" t="str">
        <f>VLOOKUP(A727,Orders!$A:$G,5,0)</f>
        <v>Cash</v>
      </c>
    </row>
    <row r="728" spans="1:11" x14ac:dyDescent="0.3">
      <c r="A728" t="s">
        <v>317</v>
      </c>
      <c r="B728" t="s">
        <v>405</v>
      </c>
      <c r="C728">
        <v>1</v>
      </c>
      <c r="D728">
        <f>VLOOKUP(B728, Menu!$A:$F, 6, 0)</f>
        <v>170.83</v>
      </c>
      <c r="E728">
        <f>VLOOKUP(B728, Menu!$A:$F, 5, 0)</f>
        <v>74.069999999999993</v>
      </c>
      <c r="F728" t="str">
        <f>VLOOKUP(B728, Menu!$A:$F, 3, 0)</f>
        <v>Hot Meal</v>
      </c>
      <c r="G728" s="5">
        <f>VLOOKUP(A728, Orders!$A:$B, 2, 0)</f>
        <v>45896.423726851863</v>
      </c>
      <c r="H728" t="str">
        <f>VLOOKUP(A728, Orders!$A:$C, 3, 0)</f>
        <v>Plant 2 Canteen</v>
      </c>
      <c r="I728">
        <f>C728*D728*(1-VLOOKUP(A728,Orders!$A:$G,7,0))</f>
        <v>157.16360000000003</v>
      </c>
      <c r="J728" t="str">
        <f>VLOOKUP(A728,Orders!$A:$G,6,0)</f>
        <v>Breakfast</v>
      </c>
      <c r="K728" t="str">
        <f>VLOOKUP(A728,Orders!$A:$G,5,0)</f>
        <v>Cash</v>
      </c>
    </row>
    <row r="729" spans="1:11" x14ac:dyDescent="0.3">
      <c r="A729" t="s">
        <v>318</v>
      </c>
      <c r="B729" t="s">
        <v>402</v>
      </c>
      <c r="C729">
        <v>1</v>
      </c>
      <c r="D729">
        <f>VLOOKUP(B729, Menu!$A:$F, 6, 0)</f>
        <v>30.34</v>
      </c>
      <c r="E729">
        <f>VLOOKUP(B729, Menu!$A:$F, 5, 0)</f>
        <v>14.18</v>
      </c>
      <c r="F729" t="str">
        <f>VLOOKUP(B729, Menu!$A:$F, 3, 0)</f>
        <v>Beverage</v>
      </c>
      <c r="G729" s="5">
        <f>VLOOKUP(A729, Orders!$A:$B, 2, 0)</f>
        <v>45869.374664351853</v>
      </c>
      <c r="H729" t="str">
        <f>VLOOKUP(A729, Orders!$A:$C, 3, 0)</f>
        <v>Head Office Café</v>
      </c>
      <c r="I729">
        <f>C729*D729*(1-VLOOKUP(A729,Orders!$A:$G,7,0))</f>
        <v>29.4298</v>
      </c>
      <c r="J729" t="str">
        <f>VLOOKUP(A729,Orders!$A:$G,6,0)</f>
        <v>Breakfast</v>
      </c>
      <c r="K729" t="str">
        <f>VLOOKUP(A729,Orders!$A:$G,5,0)</f>
        <v>Cash</v>
      </c>
    </row>
    <row r="730" spans="1:11" x14ac:dyDescent="0.3">
      <c r="A730" t="s">
        <v>319</v>
      </c>
      <c r="B730" t="s">
        <v>418</v>
      </c>
      <c r="C730">
        <v>2</v>
      </c>
      <c r="D730">
        <f>VLOOKUP(B730, Menu!$A:$F, 6, 0)</f>
        <v>39.950000000000003</v>
      </c>
      <c r="E730">
        <f>VLOOKUP(B730, Menu!$A:$F, 5, 0)</f>
        <v>15.51</v>
      </c>
      <c r="F730" t="str">
        <f>VLOOKUP(B730, Menu!$A:$F, 3, 0)</f>
        <v>Snack</v>
      </c>
      <c r="G730" s="5">
        <f>VLOOKUP(A730, Orders!$A:$B, 2, 0)</f>
        <v>45855.574062500003</v>
      </c>
      <c r="H730" t="str">
        <f>VLOOKUP(A730, Orders!$A:$C, 3, 0)</f>
        <v>Plant 1 Canteen</v>
      </c>
      <c r="I730">
        <f>C730*D730*(1-VLOOKUP(A730,Orders!$A:$G,7,0))</f>
        <v>68.713999999999999</v>
      </c>
      <c r="J730" t="str">
        <f>VLOOKUP(A730,Orders!$A:$G,6,0)</f>
        <v>Lunch</v>
      </c>
      <c r="K730" t="str">
        <f>VLOOKUP(A730,Orders!$A:$G,5,0)</f>
        <v>UPI</v>
      </c>
    </row>
    <row r="731" spans="1:11" x14ac:dyDescent="0.3">
      <c r="A731" t="s">
        <v>319</v>
      </c>
      <c r="B731" t="s">
        <v>408</v>
      </c>
      <c r="C731">
        <v>3</v>
      </c>
      <c r="D731">
        <f>VLOOKUP(B731, Menu!$A:$F, 6, 0)</f>
        <v>70.540000000000006</v>
      </c>
      <c r="E731">
        <f>VLOOKUP(B731, Menu!$A:$F, 5, 0)</f>
        <v>35.81</v>
      </c>
      <c r="F731" t="str">
        <f>VLOOKUP(B731, Menu!$A:$F, 3, 0)</f>
        <v>Snack</v>
      </c>
      <c r="G731" s="5">
        <f>VLOOKUP(A731, Orders!$A:$B, 2, 0)</f>
        <v>45855.574062500003</v>
      </c>
      <c r="H731" t="str">
        <f>VLOOKUP(A731, Orders!$A:$C, 3, 0)</f>
        <v>Plant 1 Canteen</v>
      </c>
      <c r="I731">
        <f>C731*D731*(1-VLOOKUP(A731,Orders!$A:$G,7,0))</f>
        <v>181.9932</v>
      </c>
      <c r="J731" t="str">
        <f>VLOOKUP(A731,Orders!$A:$G,6,0)</f>
        <v>Lunch</v>
      </c>
      <c r="K731" t="str">
        <f>VLOOKUP(A731,Orders!$A:$G,5,0)</f>
        <v>UPI</v>
      </c>
    </row>
    <row r="732" spans="1:11" x14ac:dyDescent="0.3">
      <c r="A732" t="s">
        <v>319</v>
      </c>
      <c r="B732" t="s">
        <v>402</v>
      </c>
      <c r="C732">
        <v>1</v>
      </c>
      <c r="D732">
        <f>VLOOKUP(B732, Menu!$A:$F, 6, 0)</f>
        <v>30.34</v>
      </c>
      <c r="E732">
        <f>VLOOKUP(B732, Menu!$A:$F, 5, 0)</f>
        <v>14.18</v>
      </c>
      <c r="F732" t="str">
        <f>VLOOKUP(B732, Menu!$A:$F, 3, 0)</f>
        <v>Beverage</v>
      </c>
      <c r="G732" s="5">
        <f>VLOOKUP(A732, Orders!$A:$B, 2, 0)</f>
        <v>45855.574062500003</v>
      </c>
      <c r="H732" t="str">
        <f>VLOOKUP(A732, Orders!$A:$C, 3, 0)</f>
        <v>Plant 1 Canteen</v>
      </c>
      <c r="I732">
        <f>C732*D732*(1-VLOOKUP(A732,Orders!$A:$G,7,0))</f>
        <v>26.092399999999998</v>
      </c>
      <c r="J732" t="str">
        <f>VLOOKUP(A732,Orders!$A:$G,6,0)</f>
        <v>Lunch</v>
      </c>
      <c r="K732" t="str">
        <f>VLOOKUP(A732,Orders!$A:$G,5,0)</f>
        <v>UPI</v>
      </c>
    </row>
    <row r="733" spans="1:11" x14ac:dyDescent="0.3">
      <c r="A733" t="s">
        <v>320</v>
      </c>
      <c r="B733" t="s">
        <v>416</v>
      </c>
      <c r="C733">
        <v>3</v>
      </c>
      <c r="D733">
        <f>VLOOKUP(B733, Menu!$A:$F, 6, 0)</f>
        <v>227.61</v>
      </c>
      <c r="E733">
        <f>VLOOKUP(B733, Menu!$A:$F, 5, 0)</f>
        <v>96.22</v>
      </c>
      <c r="F733" t="str">
        <f>VLOOKUP(B733, Menu!$A:$F, 3, 0)</f>
        <v>Hot Meal</v>
      </c>
      <c r="G733" s="5">
        <f>VLOOKUP(A733, Orders!$A:$B, 2, 0)</f>
        <v>45890.766608796293</v>
      </c>
      <c r="H733" t="str">
        <f>VLOOKUP(A733, Orders!$A:$C, 3, 0)</f>
        <v>Head Office Café</v>
      </c>
      <c r="I733">
        <f>C733*D733*(1-VLOOKUP(A733,Orders!$A:$G,7,0))</f>
        <v>669.17340000000002</v>
      </c>
      <c r="J733" t="str">
        <f>VLOOKUP(A733,Orders!$A:$G,6,0)</f>
        <v>Dinner</v>
      </c>
      <c r="K733" t="str">
        <f>VLOOKUP(A733,Orders!$A:$G,5,0)</f>
        <v>Card</v>
      </c>
    </row>
    <row r="734" spans="1:11" x14ac:dyDescent="0.3">
      <c r="A734" t="s">
        <v>320</v>
      </c>
      <c r="B734" t="s">
        <v>418</v>
      </c>
      <c r="C734">
        <v>2</v>
      </c>
      <c r="D734">
        <f>VLOOKUP(B734, Menu!$A:$F, 6, 0)</f>
        <v>39.950000000000003</v>
      </c>
      <c r="E734">
        <f>VLOOKUP(B734, Menu!$A:$F, 5, 0)</f>
        <v>15.51</v>
      </c>
      <c r="F734" t="str">
        <f>VLOOKUP(B734, Menu!$A:$F, 3, 0)</f>
        <v>Snack</v>
      </c>
      <c r="G734" s="5">
        <f>VLOOKUP(A734, Orders!$A:$B, 2, 0)</f>
        <v>45890.766608796293</v>
      </c>
      <c r="H734" t="str">
        <f>VLOOKUP(A734, Orders!$A:$C, 3, 0)</f>
        <v>Head Office Café</v>
      </c>
      <c r="I734">
        <f>C734*D734*(1-VLOOKUP(A734,Orders!$A:$G,7,0))</f>
        <v>78.302000000000007</v>
      </c>
      <c r="J734" t="str">
        <f>VLOOKUP(A734,Orders!$A:$G,6,0)</f>
        <v>Dinner</v>
      </c>
      <c r="K734" t="str">
        <f>VLOOKUP(A734,Orders!$A:$G,5,0)</f>
        <v>Card</v>
      </c>
    </row>
    <row r="735" spans="1:11" x14ac:dyDescent="0.3">
      <c r="A735" t="s">
        <v>320</v>
      </c>
      <c r="B735" t="s">
        <v>405</v>
      </c>
      <c r="C735">
        <v>2</v>
      </c>
      <c r="D735">
        <f>VLOOKUP(B735, Menu!$A:$F, 6, 0)</f>
        <v>170.83</v>
      </c>
      <c r="E735">
        <f>VLOOKUP(B735, Menu!$A:$F, 5, 0)</f>
        <v>74.069999999999993</v>
      </c>
      <c r="F735" t="str">
        <f>VLOOKUP(B735, Menu!$A:$F, 3, 0)</f>
        <v>Hot Meal</v>
      </c>
      <c r="G735" s="5">
        <f>VLOOKUP(A735, Orders!$A:$B, 2, 0)</f>
        <v>45890.766608796293</v>
      </c>
      <c r="H735" t="str">
        <f>VLOOKUP(A735, Orders!$A:$C, 3, 0)</f>
        <v>Head Office Café</v>
      </c>
      <c r="I735">
        <f>C735*D735*(1-VLOOKUP(A735,Orders!$A:$G,7,0))</f>
        <v>334.82679999999999</v>
      </c>
      <c r="J735" t="str">
        <f>VLOOKUP(A735,Orders!$A:$G,6,0)</f>
        <v>Dinner</v>
      </c>
      <c r="K735" t="str">
        <f>VLOOKUP(A735,Orders!$A:$G,5,0)</f>
        <v>Card</v>
      </c>
    </row>
    <row r="736" spans="1:11" x14ac:dyDescent="0.3">
      <c r="A736" t="s">
        <v>320</v>
      </c>
      <c r="B736" t="s">
        <v>402</v>
      </c>
      <c r="C736">
        <v>1</v>
      </c>
      <c r="D736">
        <f>VLOOKUP(B736, Menu!$A:$F, 6, 0)</f>
        <v>30.34</v>
      </c>
      <c r="E736">
        <f>VLOOKUP(B736, Menu!$A:$F, 5, 0)</f>
        <v>14.18</v>
      </c>
      <c r="F736" t="str">
        <f>VLOOKUP(B736, Menu!$A:$F, 3, 0)</f>
        <v>Beverage</v>
      </c>
      <c r="G736" s="5">
        <f>VLOOKUP(A736, Orders!$A:$B, 2, 0)</f>
        <v>45890.766608796293</v>
      </c>
      <c r="H736" t="str">
        <f>VLOOKUP(A736, Orders!$A:$C, 3, 0)</f>
        <v>Head Office Café</v>
      </c>
      <c r="I736">
        <f>C736*D736*(1-VLOOKUP(A736,Orders!$A:$G,7,0))</f>
        <v>29.7332</v>
      </c>
      <c r="J736" t="str">
        <f>VLOOKUP(A736,Orders!$A:$G,6,0)</f>
        <v>Dinner</v>
      </c>
      <c r="K736" t="str">
        <f>VLOOKUP(A736,Orders!$A:$G,5,0)</f>
        <v>Card</v>
      </c>
    </row>
    <row r="737" spans="1:11" x14ac:dyDescent="0.3">
      <c r="A737" t="s">
        <v>321</v>
      </c>
      <c r="B737" t="s">
        <v>403</v>
      </c>
      <c r="C737">
        <v>1</v>
      </c>
      <c r="D737">
        <f>VLOOKUP(B737, Menu!$A:$F, 6, 0)</f>
        <v>76.55</v>
      </c>
      <c r="E737">
        <f>VLOOKUP(B737, Menu!$A:$F, 5, 0)</f>
        <v>38.229999999999997</v>
      </c>
      <c r="F737" t="str">
        <f>VLOOKUP(B737, Menu!$A:$F, 3, 0)</f>
        <v>Dessert</v>
      </c>
      <c r="G737" s="5">
        <f>VLOOKUP(A737, Orders!$A:$B, 2, 0)</f>
        <v>45853.589259259257</v>
      </c>
      <c r="H737" t="str">
        <f>VLOOKUP(A737, Orders!$A:$C, 3, 0)</f>
        <v>Plant 1 Canteen</v>
      </c>
      <c r="I737">
        <f>C737*D737*(1-VLOOKUP(A737,Orders!$A:$G,7,0))</f>
        <v>75.784499999999994</v>
      </c>
      <c r="J737" t="str">
        <f>VLOOKUP(A737,Orders!$A:$G,6,0)</f>
        <v>Lunch</v>
      </c>
      <c r="K737" t="str">
        <f>VLOOKUP(A737,Orders!$A:$G,5,0)</f>
        <v>Cash</v>
      </c>
    </row>
    <row r="738" spans="1:11" x14ac:dyDescent="0.3">
      <c r="A738" t="s">
        <v>321</v>
      </c>
      <c r="B738" t="s">
        <v>419</v>
      </c>
      <c r="C738">
        <v>3</v>
      </c>
      <c r="D738">
        <f>VLOOKUP(B738, Menu!$A:$F, 6, 0)</f>
        <v>50.19</v>
      </c>
      <c r="E738">
        <f>VLOOKUP(B738, Menu!$A:$F, 5, 0)</f>
        <v>22.61</v>
      </c>
      <c r="F738" t="str">
        <f>VLOOKUP(B738, Menu!$A:$F, 3, 0)</f>
        <v>Snack</v>
      </c>
      <c r="G738" s="5">
        <f>VLOOKUP(A738, Orders!$A:$B, 2, 0)</f>
        <v>45853.589259259257</v>
      </c>
      <c r="H738" t="str">
        <f>VLOOKUP(A738, Orders!$A:$C, 3, 0)</f>
        <v>Plant 1 Canteen</v>
      </c>
      <c r="I738">
        <f>C738*D738*(1-VLOOKUP(A738,Orders!$A:$G,7,0))</f>
        <v>149.0643</v>
      </c>
      <c r="J738" t="str">
        <f>VLOOKUP(A738,Orders!$A:$G,6,0)</f>
        <v>Lunch</v>
      </c>
      <c r="K738" t="str">
        <f>VLOOKUP(A738,Orders!$A:$G,5,0)</f>
        <v>Cash</v>
      </c>
    </row>
    <row r="739" spans="1:11" x14ac:dyDescent="0.3">
      <c r="A739" t="s">
        <v>321</v>
      </c>
      <c r="B739" t="s">
        <v>401</v>
      </c>
      <c r="C739">
        <v>2</v>
      </c>
      <c r="D739">
        <f>VLOOKUP(B739, Menu!$A:$F, 6, 0)</f>
        <v>52.45</v>
      </c>
      <c r="E739">
        <f>VLOOKUP(B739, Menu!$A:$F, 5, 0)</f>
        <v>25.8</v>
      </c>
      <c r="F739" t="str">
        <f>VLOOKUP(B739, Menu!$A:$F, 3, 0)</f>
        <v>Snack</v>
      </c>
      <c r="G739" s="5">
        <f>VLOOKUP(A739, Orders!$A:$B, 2, 0)</f>
        <v>45853.589259259257</v>
      </c>
      <c r="H739" t="str">
        <f>VLOOKUP(A739, Orders!$A:$C, 3, 0)</f>
        <v>Plant 1 Canteen</v>
      </c>
      <c r="I739">
        <f>C739*D739*(1-VLOOKUP(A739,Orders!$A:$G,7,0))</f>
        <v>103.851</v>
      </c>
      <c r="J739" t="str">
        <f>VLOOKUP(A739,Orders!$A:$G,6,0)</f>
        <v>Lunch</v>
      </c>
      <c r="K739" t="str">
        <f>VLOOKUP(A739,Orders!$A:$G,5,0)</f>
        <v>Cash</v>
      </c>
    </row>
    <row r="740" spans="1:11" x14ac:dyDescent="0.3">
      <c r="A740" t="s">
        <v>322</v>
      </c>
      <c r="B740" t="s">
        <v>413</v>
      </c>
      <c r="C740">
        <v>1</v>
      </c>
      <c r="D740">
        <f>VLOOKUP(B740, Menu!$A:$F, 6, 0)</f>
        <v>54.2</v>
      </c>
      <c r="E740">
        <f>VLOOKUP(B740, Menu!$A:$F, 5, 0)</f>
        <v>21.95</v>
      </c>
      <c r="F740" t="str">
        <f>VLOOKUP(B740, Menu!$A:$F, 3, 0)</f>
        <v>Dessert</v>
      </c>
      <c r="G740" s="5">
        <f>VLOOKUP(A740, Orders!$A:$B, 2, 0)</f>
        <v>45858.403182870366</v>
      </c>
      <c r="H740" t="str">
        <f>VLOOKUP(A740, Orders!$A:$C, 3, 0)</f>
        <v>Plant 1 Canteen</v>
      </c>
      <c r="I740">
        <f>C740*D740*(1-VLOOKUP(A740,Orders!$A:$G,7,0))</f>
        <v>48.238000000000007</v>
      </c>
      <c r="J740" t="str">
        <f>VLOOKUP(A740,Orders!$A:$G,6,0)</f>
        <v>Breakfast</v>
      </c>
      <c r="K740" t="str">
        <f>VLOOKUP(A740,Orders!$A:$G,5,0)</f>
        <v>Cash</v>
      </c>
    </row>
    <row r="741" spans="1:11" x14ac:dyDescent="0.3">
      <c r="A741" t="s">
        <v>322</v>
      </c>
      <c r="B741" t="s">
        <v>401</v>
      </c>
      <c r="C741">
        <v>1</v>
      </c>
      <c r="D741">
        <f>VLOOKUP(B741, Menu!$A:$F, 6, 0)</f>
        <v>52.45</v>
      </c>
      <c r="E741">
        <f>VLOOKUP(B741, Menu!$A:$F, 5, 0)</f>
        <v>25.8</v>
      </c>
      <c r="F741" t="str">
        <f>VLOOKUP(B741, Menu!$A:$F, 3, 0)</f>
        <v>Snack</v>
      </c>
      <c r="G741" s="5">
        <f>VLOOKUP(A741, Orders!$A:$B, 2, 0)</f>
        <v>45858.403182870366</v>
      </c>
      <c r="H741" t="str">
        <f>VLOOKUP(A741, Orders!$A:$C, 3, 0)</f>
        <v>Plant 1 Canteen</v>
      </c>
      <c r="I741">
        <f>C741*D741*(1-VLOOKUP(A741,Orders!$A:$G,7,0))</f>
        <v>46.680500000000002</v>
      </c>
      <c r="J741" t="str">
        <f>VLOOKUP(A741,Orders!$A:$G,6,0)</f>
        <v>Breakfast</v>
      </c>
      <c r="K741" t="str">
        <f>VLOOKUP(A741,Orders!$A:$G,5,0)</f>
        <v>Cash</v>
      </c>
    </row>
    <row r="742" spans="1:11" x14ac:dyDescent="0.3">
      <c r="A742" t="s">
        <v>322</v>
      </c>
      <c r="B742" t="s">
        <v>405</v>
      </c>
      <c r="C742">
        <v>1</v>
      </c>
      <c r="D742">
        <f>VLOOKUP(B742, Menu!$A:$F, 6, 0)</f>
        <v>170.83</v>
      </c>
      <c r="E742">
        <f>VLOOKUP(B742, Menu!$A:$F, 5, 0)</f>
        <v>74.069999999999993</v>
      </c>
      <c r="F742" t="str">
        <f>VLOOKUP(B742, Menu!$A:$F, 3, 0)</f>
        <v>Hot Meal</v>
      </c>
      <c r="G742" s="5">
        <f>VLOOKUP(A742, Orders!$A:$B, 2, 0)</f>
        <v>45858.403182870366</v>
      </c>
      <c r="H742" t="str">
        <f>VLOOKUP(A742, Orders!$A:$C, 3, 0)</f>
        <v>Plant 1 Canteen</v>
      </c>
      <c r="I742">
        <f>C742*D742*(1-VLOOKUP(A742,Orders!$A:$G,7,0))</f>
        <v>152.03870000000001</v>
      </c>
      <c r="J742" t="str">
        <f>VLOOKUP(A742,Orders!$A:$G,6,0)</f>
        <v>Breakfast</v>
      </c>
      <c r="K742" t="str">
        <f>VLOOKUP(A742,Orders!$A:$G,5,0)</f>
        <v>Cash</v>
      </c>
    </row>
    <row r="743" spans="1:11" x14ac:dyDescent="0.3">
      <c r="A743" t="s">
        <v>322</v>
      </c>
      <c r="B743" t="s">
        <v>419</v>
      </c>
      <c r="C743">
        <v>3</v>
      </c>
      <c r="D743">
        <f>VLOOKUP(B743, Menu!$A:$F, 6, 0)</f>
        <v>50.19</v>
      </c>
      <c r="E743">
        <f>VLOOKUP(B743, Menu!$A:$F, 5, 0)</f>
        <v>22.61</v>
      </c>
      <c r="F743" t="str">
        <f>VLOOKUP(B743, Menu!$A:$F, 3, 0)</f>
        <v>Snack</v>
      </c>
      <c r="G743" s="5">
        <f>VLOOKUP(A743, Orders!$A:$B, 2, 0)</f>
        <v>45858.403182870366</v>
      </c>
      <c r="H743" t="str">
        <f>VLOOKUP(A743, Orders!$A:$C, 3, 0)</f>
        <v>Plant 1 Canteen</v>
      </c>
      <c r="I743">
        <f>C743*D743*(1-VLOOKUP(A743,Orders!$A:$G,7,0))</f>
        <v>134.00729999999999</v>
      </c>
      <c r="J743" t="str">
        <f>VLOOKUP(A743,Orders!$A:$G,6,0)</f>
        <v>Breakfast</v>
      </c>
      <c r="K743" t="str">
        <f>VLOOKUP(A743,Orders!$A:$G,5,0)</f>
        <v>Cash</v>
      </c>
    </row>
    <row r="744" spans="1:11" x14ac:dyDescent="0.3">
      <c r="A744" t="s">
        <v>323</v>
      </c>
      <c r="B744" t="s">
        <v>403</v>
      </c>
      <c r="C744">
        <v>2</v>
      </c>
      <c r="D744">
        <f>VLOOKUP(B744, Menu!$A:$F, 6, 0)</f>
        <v>76.55</v>
      </c>
      <c r="E744">
        <f>VLOOKUP(B744, Menu!$A:$F, 5, 0)</f>
        <v>38.229999999999997</v>
      </c>
      <c r="F744" t="str">
        <f>VLOOKUP(B744, Menu!$A:$F, 3, 0)</f>
        <v>Dessert</v>
      </c>
      <c r="G744" s="5">
        <f>VLOOKUP(A744, Orders!$A:$B, 2, 0)</f>
        <v>45856.449178240742</v>
      </c>
      <c r="H744" t="str">
        <f>VLOOKUP(A744, Orders!$A:$C, 3, 0)</f>
        <v>Head Office Café</v>
      </c>
      <c r="I744">
        <f>C744*D744*(1-VLOOKUP(A744,Orders!$A:$G,7,0))</f>
        <v>139.321</v>
      </c>
      <c r="J744" t="str">
        <f>VLOOKUP(A744,Orders!$A:$G,6,0)</f>
        <v>Breakfast</v>
      </c>
      <c r="K744" t="str">
        <f>VLOOKUP(A744,Orders!$A:$G,5,0)</f>
        <v>Card</v>
      </c>
    </row>
    <row r="745" spans="1:11" x14ac:dyDescent="0.3">
      <c r="A745" t="s">
        <v>323</v>
      </c>
      <c r="B745" t="s">
        <v>405</v>
      </c>
      <c r="C745">
        <v>1</v>
      </c>
      <c r="D745">
        <f>VLOOKUP(B745, Menu!$A:$F, 6, 0)</f>
        <v>170.83</v>
      </c>
      <c r="E745">
        <f>VLOOKUP(B745, Menu!$A:$F, 5, 0)</f>
        <v>74.069999999999993</v>
      </c>
      <c r="F745" t="str">
        <f>VLOOKUP(B745, Menu!$A:$F, 3, 0)</f>
        <v>Hot Meal</v>
      </c>
      <c r="G745" s="5">
        <f>VLOOKUP(A745, Orders!$A:$B, 2, 0)</f>
        <v>45856.449178240742</v>
      </c>
      <c r="H745" t="str">
        <f>VLOOKUP(A745, Orders!$A:$C, 3, 0)</f>
        <v>Head Office Café</v>
      </c>
      <c r="I745">
        <f>C745*D745*(1-VLOOKUP(A745,Orders!$A:$G,7,0))</f>
        <v>155.45530000000002</v>
      </c>
      <c r="J745" t="str">
        <f>VLOOKUP(A745,Orders!$A:$G,6,0)</f>
        <v>Breakfast</v>
      </c>
      <c r="K745" t="str">
        <f>VLOOKUP(A745,Orders!$A:$G,5,0)</f>
        <v>Card</v>
      </c>
    </row>
    <row r="746" spans="1:11" x14ac:dyDescent="0.3">
      <c r="A746" t="s">
        <v>324</v>
      </c>
      <c r="B746" t="s">
        <v>417</v>
      </c>
      <c r="C746">
        <v>1</v>
      </c>
      <c r="D746">
        <f>VLOOKUP(B746, Menu!$A:$F, 6, 0)</f>
        <v>146.4</v>
      </c>
      <c r="E746">
        <f>VLOOKUP(B746, Menu!$A:$F, 5, 0)</f>
        <v>80.92</v>
      </c>
      <c r="F746" t="str">
        <f>VLOOKUP(B746, Menu!$A:$F, 3, 0)</f>
        <v>Hot Meal</v>
      </c>
      <c r="G746" s="5">
        <f>VLOOKUP(A746, Orders!$A:$B, 2, 0)</f>
        <v>45894.056712962964</v>
      </c>
      <c r="H746" t="str">
        <f>VLOOKUP(A746, Orders!$A:$C, 3, 0)</f>
        <v>Head Office Café</v>
      </c>
      <c r="I746">
        <f>C746*D746*(1-VLOOKUP(A746,Orders!$A:$G,7,0))</f>
        <v>134.68800000000002</v>
      </c>
      <c r="J746" t="str">
        <f>VLOOKUP(A746,Orders!$A:$G,6,0)</f>
        <v>Breakfast</v>
      </c>
      <c r="K746" t="str">
        <f>VLOOKUP(A746,Orders!$A:$G,5,0)</f>
        <v>UPI</v>
      </c>
    </row>
    <row r="747" spans="1:11" x14ac:dyDescent="0.3">
      <c r="A747" t="s">
        <v>324</v>
      </c>
      <c r="B747" t="s">
        <v>415</v>
      </c>
      <c r="C747">
        <v>1</v>
      </c>
      <c r="D747">
        <f>VLOOKUP(B747, Menu!$A:$F, 6, 0)</f>
        <v>256.91000000000003</v>
      </c>
      <c r="E747">
        <f>VLOOKUP(B747, Menu!$A:$F, 5, 0)</f>
        <v>121.24</v>
      </c>
      <c r="F747" t="str">
        <f>VLOOKUP(B747, Menu!$A:$F, 3, 0)</f>
        <v>Hot Meal</v>
      </c>
      <c r="G747" s="5">
        <f>VLOOKUP(A747, Orders!$A:$B, 2, 0)</f>
        <v>45894.056712962964</v>
      </c>
      <c r="H747" t="str">
        <f>VLOOKUP(A747, Orders!$A:$C, 3, 0)</f>
        <v>Head Office Café</v>
      </c>
      <c r="I747">
        <f>C747*D747*(1-VLOOKUP(A747,Orders!$A:$G,7,0))</f>
        <v>236.35720000000003</v>
      </c>
      <c r="J747" t="str">
        <f>VLOOKUP(A747,Orders!$A:$G,6,0)</f>
        <v>Breakfast</v>
      </c>
      <c r="K747" t="str">
        <f>VLOOKUP(A747,Orders!$A:$G,5,0)</f>
        <v>UPI</v>
      </c>
    </row>
    <row r="748" spans="1:11" x14ac:dyDescent="0.3">
      <c r="A748" t="s">
        <v>325</v>
      </c>
      <c r="B748" t="s">
        <v>405</v>
      </c>
      <c r="C748">
        <v>1</v>
      </c>
      <c r="D748">
        <f>VLOOKUP(B748, Menu!$A:$F, 6, 0)</f>
        <v>170.83</v>
      </c>
      <c r="E748">
        <f>VLOOKUP(B748, Menu!$A:$F, 5, 0)</f>
        <v>74.069999999999993</v>
      </c>
      <c r="F748" t="str">
        <f>VLOOKUP(B748, Menu!$A:$F, 3, 0)</f>
        <v>Hot Meal</v>
      </c>
      <c r="G748" s="5">
        <f>VLOOKUP(A748, Orders!$A:$B, 2, 0)</f>
        <v>45869.944039351853</v>
      </c>
      <c r="H748" t="str">
        <f>VLOOKUP(A748, Orders!$A:$C, 3, 0)</f>
        <v>Plant 1 Canteen</v>
      </c>
      <c r="I748">
        <f>C748*D748*(1-VLOOKUP(A748,Orders!$A:$G,7,0))</f>
        <v>155.45530000000002</v>
      </c>
      <c r="J748" t="str">
        <f>VLOOKUP(A748,Orders!$A:$G,6,0)</f>
        <v>Dinner</v>
      </c>
      <c r="K748" t="str">
        <f>VLOOKUP(A748,Orders!$A:$G,5,0)</f>
        <v>Cash</v>
      </c>
    </row>
    <row r="749" spans="1:11" x14ac:dyDescent="0.3">
      <c r="A749" t="s">
        <v>325</v>
      </c>
      <c r="B749" t="s">
        <v>401</v>
      </c>
      <c r="C749">
        <v>2</v>
      </c>
      <c r="D749">
        <f>VLOOKUP(B749, Menu!$A:$F, 6, 0)</f>
        <v>52.45</v>
      </c>
      <c r="E749">
        <f>VLOOKUP(B749, Menu!$A:$F, 5, 0)</f>
        <v>25.8</v>
      </c>
      <c r="F749" t="str">
        <f>VLOOKUP(B749, Menu!$A:$F, 3, 0)</f>
        <v>Snack</v>
      </c>
      <c r="G749" s="5">
        <f>VLOOKUP(A749, Orders!$A:$B, 2, 0)</f>
        <v>45869.944039351853</v>
      </c>
      <c r="H749" t="str">
        <f>VLOOKUP(A749, Orders!$A:$C, 3, 0)</f>
        <v>Plant 1 Canteen</v>
      </c>
      <c r="I749">
        <f>C749*D749*(1-VLOOKUP(A749,Orders!$A:$G,7,0))</f>
        <v>95.459000000000003</v>
      </c>
      <c r="J749" t="str">
        <f>VLOOKUP(A749,Orders!$A:$G,6,0)</f>
        <v>Dinner</v>
      </c>
      <c r="K749" t="str">
        <f>VLOOKUP(A749,Orders!$A:$G,5,0)</f>
        <v>Cash</v>
      </c>
    </row>
    <row r="750" spans="1:11" x14ac:dyDescent="0.3">
      <c r="A750" t="s">
        <v>325</v>
      </c>
      <c r="B750" t="s">
        <v>411</v>
      </c>
      <c r="C750">
        <v>2</v>
      </c>
      <c r="D750">
        <f>VLOOKUP(B750, Menu!$A:$F, 6, 0)</f>
        <v>22.2</v>
      </c>
      <c r="E750">
        <f>VLOOKUP(B750, Menu!$A:$F, 5, 0)</f>
        <v>9.3800000000000008</v>
      </c>
      <c r="F750" t="str">
        <f>VLOOKUP(B750, Menu!$A:$F, 3, 0)</f>
        <v>Beverage</v>
      </c>
      <c r="G750" s="5">
        <f>VLOOKUP(A750, Orders!$A:$B, 2, 0)</f>
        <v>45869.944039351853</v>
      </c>
      <c r="H750" t="str">
        <f>VLOOKUP(A750, Orders!$A:$C, 3, 0)</f>
        <v>Plant 1 Canteen</v>
      </c>
      <c r="I750">
        <f>C750*D750*(1-VLOOKUP(A750,Orders!$A:$G,7,0))</f>
        <v>40.404000000000003</v>
      </c>
      <c r="J750" t="str">
        <f>VLOOKUP(A750,Orders!$A:$G,6,0)</f>
        <v>Dinner</v>
      </c>
      <c r="K750" t="str">
        <f>VLOOKUP(A750,Orders!$A:$G,5,0)</f>
        <v>Cash</v>
      </c>
    </row>
    <row r="751" spans="1:11" x14ac:dyDescent="0.3">
      <c r="A751" t="s">
        <v>326</v>
      </c>
      <c r="B751" t="s">
        <v>408</v>
      </c>
      <c r="C751">
        <v>3</v>
      </c>
      <c r="D751">
        <f>VLOOKUP(B751, Menu!$A:$F, 6, 0)</f>
        <v>70.540000000000006</v>
      </c>
      <c r="E751">
        <f>VLOOKUP(B751, Menu!$A:$F, 5, 0)</f>
        <v>35.81</v>
      </c>
      <c r="F751" t="str">
        <f>VLOOKUP(B751, Menu!$A:$F, 3, 0)</f>
        <v>Snack</v>
      </c>
      <c r="G751" s="5">
        <f>VLOOKUP(A751, Orders!$A:$B, 2, 0)</f>
        <v>45882.18414351852</v>
      </c>
      <c r="H751" t="str">
        <f>VLOOKUP(A751, Orders!$A:$C, 3, 0)</f>
        <v>Head Office Café</v>
      </c>
      <c r="I751">
        <f>C751*D751*(1-VLOOKUP(A751,Orders!$A:$G,7,0))</f>
        <v>198.9228</v>
      </c>
      <c r="J751" t="str">
        <f>VLOOKUP(A751,Orders!$A:$G,6,0)</f>
        <v>Breakfast</v>
      </c>
      <c r="K751" t="str">
        <f>VLOOKUP(A751,Orders!$A:$G,5,0)</f>
        <v>Card</v>
      </c>
    </row>
    <row r="752" spans="1:11" x14ac:dyDescent="0.3">
      <c r="A752" t="s">
        <v>326</v>
      </c>
      <c r="B752" t="s">
        <v>410</v>
      </c>
      <c r="C752">
        <v>1</v>
      </c>
      <c r="D752">
        <f>VLOOKUP(B752, Menu!$A:$F, 6, 0)</f>
        <v>20.11</v>
      </c>
      <c r="E752">
        <f>VLOOKUP(B752, Menu!$A:$F, 5, 0)</f>
        <v>8</v>
      </c>
      <c r="F752" t="str">
        <f>VLOOKUP(B752, Menu!$A:$F, 3, 0)</f>
        <v>Beverage</v>
      </c>
      <c r="G752" s="5">
        <f>VLOOKUP(A752, Orders!$A:$B, 2, 0)</f>
        <v>45882.18414351852</v>
      </c>
      <c r="H752" t="str">
        <f>VLOOKUP(A752, Orders!$A:$C, 3, 0)</f>
        <v>Head Office Café</v>
      </c>
      <c r="I752">
        <f>C752*D752*(1-VLOOKUP(A752,Orders!$A:$G,7,0))</f>
        <v>18.903399999999998</v>
      </c>
      <c r="J752" t="str">
        <f>VLOOKUP(A752,Orders!$A:$G,6,0)</f>
        <v>Breakfast</v>
      </c>
      <c r="K752" t="str">
        <f>VLOOKUP(A752,Orders!$A:$G,5,0)</f>
        <v>Card</v>
      </c>
    </row>
    <row r="753" spans="1:11" x14ac:dyDescent="0.3">
      <c r="A753" t="s">
        <v>326</v>
      </c>
      <c r="B753" t="s">
        <v>403</v>
      </c>
      <c r="C753">
        <v>1</v>
      </c>
      <c r="D753">
        <f>VLOOKUP(B753, Menu!$A:$F, 6, 0)</f>
        <v>76.55</v>
      </c>
      <c r="E753">
        <f>VLOOKUP(B753, Menu!$A:$F, 5, 0)</f>
        <v>38.229999999999997</v>
      </c>
      <c r="F753" t="str">
        <f>VLOOKUP(B753, Menu!$A:$F, 3, 0)</f>
        <v>Dessert</v>
      </c>
      <c r="G753" s="5">
        <f>VLOOKUP(A753, Orders!$A:$B, 2, 0)</f>
        <v>45882.18414351852</v>
      </c>
      <c r="H753" t="str">
        <f>VLOOKUP(A753, Orders!$A:$C, 3, 0)</f>
        <v>Head Office Café</v>
      </c>
      <c r="I753">
        <f>C753*D753*(1-VLOOKUP(A753,Orders!$A:$G,7,0))</f>
        <v>71.956999999999994</v>
      </c>
      <c r="J753" t="str">
        <f>VLOOKUP(A753,Orders!$A:$G,6,0)</f>
        <v>Breakfast</v>
      </c>
      <c r="K753" t="str">
        <f>VLOOKUP(A753,Orders!$A:$G,5,0)</f>
        <v>Card</v>
      </c>
    </row>
    <row r="754" spans="1:11" x14ac:dyDescent="0.3">
      <c r="A754" t="s">
        <v>327</v>
      </c>
      <c r="B754" t="s">
        <v>404</v>
      </c>
      <c r="C754">
        <v>1</v>
      </c>
      <c r="D754">
        <f>VLOOKUP(B754, Menu!$A:$F, 6, 0)</f>
        <v>32.979999999999997</v>
      </c>
      <c r="E754">
        <f>VLOOKUP(B754, Menu!$A:$F, 5, 0)</f>
        <v>11.84</v>
      </c>
      <c r="F754" t="str">
        <f>VLOOKUP(B754, Menu!$A:$F, 3, 0)</f>
        <v>Beverage</v>
      </c>
      <c r="G754" s="5">
        <f>VLOOKUP(A754, Orders!$A:$B, 2, 0)</f>
        <v>45873.42019675926</v>
      </c>
      <c r="H754" t="str">
        <f>VLOOKUP(A754, Orders!$A:$C, 3, 0)</f>
        <v>Head Office Café</v>
      </c>
      <c r="I754">
        <f>C754*D754*(1-VLOOKUP(A754,Orders!$A:$G,7,0))</f>
        <v>32.320399999999999</v>
      </c>
      <c r="J754" t="str">
        <f>VLOOKUP(A754,Orders!$A:$G,6,0)</f>
        <v>Breakfast</v>
      </c>
      <c r="K754" t="str">
        <f>VLOOKUP(A754,Orders!$A:$G,5,0)</f>
        <v>Card</v>
      </c>
    </row>
    <row r="755" spans="1:11" x14ac:dyDescent="0.3">
      <c r="A755" t="s">
        <v>327</v>
      </c>
      <c r="B755" t="s">
        <v>410</v>
      </c>
      <c r="C755">
        <v>1</v>
      </c>
      <c r="D755">
        <f>VLOOKUP(B755, Menu!$A:$F, 6, 0)</f>
        <v>20.11</v>
      </c>
      <c r="E755">
        <f>VLOOKUP(B755, Menu!$A:$F, 5, 0)</f>
        <v>8</v>
      </c>
      <c r="F755" t="str">
        <f>VLOOKUP(B755, Menu!$A:$F, 3, 0)</f>
        <v>Beverage</v>
      </c>
      <c r="G755" s="5">
        <f>VLOOKUP(A755, Orders!$A:$B, 2, 0)</f>
        <v>45873.42019675926</v>
      </c>
      <c r="H755" t="str">
        <f>VLOOKUP(A755, Orders!$A:$C, 3, 0)</f>
        <v>Head Office Café</v>
      </c>
      <c r="I755">
        <f>C755*D755*(1-VLOOKUP(A755,Orders!$A:$G,7,0))</f>
        <v>19.707799999999999</v>
      </c>
      <c r="J755" t="str">
        <f>VLOOKUP(A755,Orders!$A:$G,6,0)</f>
        <v>Breakfast</v>
      </c>
      <c r="K755" t="str">
        <f>VLOOKUP(A755,Orders!$A:$G,5,0)</f>
        <v>Card</v>
      </c>
    </row>
    <row r="756" spans="1:11" x14ac:dyDescent="0.3">
      <c r="A756" t="s">
        <v>328</v>
      </c>
      <c r="B756" t="s">
        <v>415</v>
      </c>
      <c r="C756">
        <v>2</v>
      </c>
      <c r="D756">
        <f>VLOOKUP(B756, Menu!$A:$F, 6, 0)</f>
        <v>256.91000000000003</v>
      </c>
      <c r="E756">
        <f>VLOOKUP(B756, Menu!$A:$F, 5, 0)</f>
        <v>121.24</v>
      </c>
      <c r="F756" t="str">
        <f>VLOOKUP(B756, Menu!$A:$F, 3, 0)</f>
        <v>Hot Meal</v>
      </c>
      <c r="G756" s="5">
        <f>VLOOKUP(A756, Orders!$A:$B, 2, 0)</f>
        <v>45883.126481481479</v>
      </c>
      <c r="H756" t="str">
        <f>VLOOKUP(A756, Orders!$A:$C, 3, 0)</f>
        <v>Plant 1 Canteen</v>
      </c>
      <c r="I756">
        <f>C756*D756*(1-VLOOKUP(A756,Orders!$A:$G,7,0))</f>
        <v>482.99080000000004</v>
      </c>
      <c r="J756" t="str">
        <f>VLOOKUP(A756,Orders!$A:$G,6,0)</f>
        <v>Breakfast</v>
      </c>
      <c r="K756" t="str">
        <f>VLOOKUP(A756,Orders!$A:$G,5,0)</f>
        <v>Card</v>
      </c>
    </row>
    <row r="757" spans="1:11" x14ac:dyDescent="0.3">
      <c r="A757" t="s">
        <v>329</v>
      </c>
      <c r="B757" t="s">
        <v>410</v>
      </c>
      <c r="C757">
        <v>1</v>
      </c>
      <c r="D757">
        <f>VLOOKUP(B757, Menu!$A:$F, 6, 0)</f>
        <v>20.11</v>
      </c>
      <c r="E757">
        <f>VLOOKUP(B757, Menu!$A:$F, 5, 0)</f>
        <v>8</v>
      </c>
      <c r="F757" t="str">
        <f>VLOOKUP(B757, Menu!$A:$F, 3, 0)</f>
        <v>Beverage</v>
      </c>
      <c r="G757" s="5">
        <f>VLOOKUP(A757, Orders!$A:$B, 2, 0)</f>
        <v>45846.699837962973</v>
      </c>
      <c r="H757" t="str">
        <f>VLOOKUP(A757, Orders!$A:$C, 3, 0)</f>
        <v>Head Office Café</v>
      </c>
      <c r="I757">
        <f>C757*D757*(1-VLOOKUP(A757,Orders!$A:$G,7,0))</f>
        <v>19.506699999999999</v>
      </c>
      <c r="J757" t="str">
        <f>VLOOKUP(A757,Orders!$A:$G,6,0)</f>
        <v>Dinner</v>
      </c>
      <c r="K757" t="str">
        <f>VLOOKUP(A757,Orders!$A:$G,5,0)</f>
        <v>UPI</v>
      </c>
    </row>
    <row r="758" spans="1:11" x14ac:dyDescent="0.3">
      <c r="A758" t="s">
        <v>329</v>
      </c>
      <c r="B758" t="s">
        <v>402</v>
      </c>
      <c r="C758">
        <v>2</v>
      </c>
      <c r="D758">
        <f>VLOOKUP(B758, Menu!$A:$F, 6, 0)</f>
        <v>30.34</v>
      </c>
      <c r="E758">
        <f>VLOOKUP(B758, Menu!$A:$F, 5, 0)</f>
        <v>14.18</v>
      </c>
      <c r="F758" t="str">
        <f>VLOOKUP(B758, Menu!$A:$F, 3, 0)</f>
        <v>Beverage</v>
      </c>
      <c r="G758" s="5">
        <f>VLOOKUP(A758, Orders!$A:$B, 2, 0)</f>
        <v>45846.699837962973</v>
      </c>
      <c r="H758" t="str">
        <f>VLOOKUP(A758, Orders!$A:$C, 3, 0)</f>
        <v>Head Office Café</v>
      </c>
      <c r="I758">
        <f>C758*D758*(1-VLOOKUP(A758,Orders!$A:$G,7,0))</f>
        <v>58.8596</v>
      </c>
      <c r="J758" t="str">
        <f>VLOOKUP(A758,Orders!$A:$G,6,0)</f>
        <v>Dinner</v>
      </c>
      <c r="K758" t="str">
        <f>VLOOKUP(A758,Orders!$A:$G,5,0)</f>
        <v>UPI</v>
      </c>
    </row>
    <row r="759" spans="1:11" x14ac:dyDescent="0.3">
      <c r="A759" t="s">
        <v>330</v>
      </c>
      <c r="B759" t="s">
        <v>416</v>
      </c>
      <c r="C759">
        <v>2</v>
      </c>
      <c r="D759">
        <f>VLOOKUP(B759, Menu!$A:$F, 6, 0)</f>
        <v>227.61</v>
      </c>
      <c r="E759">
        <f>VLOOKUP(B759, Menu!$A:$F, 5, 0)</f>
        <v>96.22</v>
      </c>
      <c r="F759" t="str">
        <f>VLOOKUP(B759, Menu!$A:$F, 3, 0)</f>
        <v>Hot Meal</v>
      </c>
      <c r="G759" s="5">
        <f>VLOOKUP(A759, Orders!$A:$B, 2, 0)</f>
        <v>45876.57953703704</v>
      </c>
      <c r="H759" t="str">
        <f>VLOOKUP(A759, Orders!$A:$C, 3, 0)</f>
        <v>Plant 2 Canteen</v>
      </c>
      <c r="I759">
        <f>C759*D759*(1-VLOOKUP(A759,Orders!$A:$G,7,0))</f>
        <v>409.69800000000004</v>
      </c>
      <c r="J759" t="str">
        <f>VLOOKUP(A759,Orders!$A:$G,6,0)</f>
        <v>Lunch</v>
      </c>
      <c r="K759" t="str">
        <f>VLOOKUP(A759,Orders!$A:$G,5,0)</f>
        <v>UPI</v>
      </c>
    </row>
    <row r="760" spans="1:11" x14ac:dyDescent="0.3">
      <c r="A760" t="s">
        <v>330</v>
      </c>
      <c r="B760" t="s">
        <v>402</v>
      </c>
      <c r="C760">
        <v>2</v>
      </c>
      <c r="D760">
        <f>VLOOKUP(B760, Menu!$A:$F, 6, 0)</f>
        <v>30.34</v>
      </c>
      <c r="E760">
        <f>VLOOKUP(B760, Menu!$A:$F, 5, 0)</f>
        <v>14.18</v>
      </c>
      <c r="F760" t="str">
        <f>VLOOKUP(B760, Menu!$A:$F, 3, 0)</f>
        <v>Beverage</v>
      </c>
      <c r="G760" s="5">
        <f>VLOOKUP(A760, Orders!$A:$B, 2, 0)</f>
        <v>45876.57953703704</v>
      </c>
      <c r="H760" t="str">
        <f>VLOOKUP(A760, Orders!$A:$C, 3, 0)</f>
        <v>Plant 2 Canteen</v>
      </c>
      <c r="I760">
        <f>C760*D760*(1-VLOOKUP(A760,Orders!$A:$G,7,0))</f>
        <v>54.612000000000002</v>
      </c>
      <c r="J760" t="str">
        <f>VLOOKUP(A760,Orders!$A:$G,6,0)</f>
        <v>Lunch</v>
      </c>
      <c r="K760" t="str">
        <f>VLOOKUP(A760,Orders!$A:$G,5,0)</f>
        <v>UPI</v>
      </c>
    </row>
    <row r="761" spans="1:11" x14ac:dyDescent="0.3">
      <c r="A761" t="s">
        <v>331</v>
      </c>
      <c r="B761" t="s">
        <v>409</v>
      </c>
      <c r="C761">
        <v>2</v>
      </c>
      <c r="D761">
        <f>VLOOKUP(B761, Menu!$A:$F, 6, 0)</f>
        <v>28.43</v>
      </c>
      <c r="E761">
        <f>VLOOKUP(B761, Menu!$A:$F, 5, 0)</f>
        <v>13.89</v>
      </c>
      <c r="F761" t="str">
        <f>VLOOKUP(B761, Menu!$A:$F, 3, 0)</f>
        <v>Beverage</v>
      </c>
      <c r="G761" s="5">
        <f>VLOOKUP(A761, Orders!$A:$B, 2, 0)</f>
        <v>45882.914803240739</v>
      </c>
      <c r="H761" t="str">
        <f>VLOOKUP(A761, Orders!$A:$C, 3, 0)</f>
        <v>Head Office Café</v>
      </c>
      <c r="I761">
        <f>C761*D761*(1-VLOOKUP(A761,Orders!$A:$G,7,0))</f>
        <v>54.016999999999996</v>
      </c>
      <c r="J761" t="str">
        <f>VLOOKUP(A761,Orders!$A:$G,6,0)</f>
        <v>Dinner</v>
      </c>
      <c r="K761" t="str">
        <f>VLOOKUP(A761,Orders!$A:$G,5,0)</f>
        <v>Cash</v>
      </c>
    </row>
    <row r="762" spans="1:11" x14ac:dyDescent="0.3">
      <c r="A762" t="s">
        <v>332</v>
      </c>
      <c r="B762" t="s">
        <v>412</v>
      </c>
      <c r="C762">
        <v>1</v>
      </c>
      <c r="D762">
        <f>VLOOKUP(B762, Menu!$A:$F, 6, 0)</f>
        <v>57.07</v>
      </c>
      <c r="E762">
        <f>VLOOKUP(B762, Menu!$A:$F, 5, 0)</f>
        <v>29.14</v>
      </c>
      <c r="F762" t="str">
        <f>VLOOKUP(B762, Menu!$A:$F, 3, 0)</f>
        <v>Dessert</v>
      </c>
      <c r="G762" s="5">
        <f>VLOOKUP(A762, Orders!$A:$B, 2, 0)</f>
        <v>45897.990231481483</v>
      </c>
      <c r="H762" t="str">
        <f>VLOOKUP(A762, Orders!$A:$C, 3, 0)</f>
        <v>Plant 2 Canteen</v>
      </c>
      <c r="I762">
        <f>C762*D762*(1-VLOOKUP(A762,Orders!$A:$G,7,0))</f>
        <v>55.357900000000001</v>
      </c>
      <c r="J762" t="str">
        <f>VLOOKUP(A762,Orders!$A:$G,6,0)</f>
        <v>Dinner</v>
      </c>
      <c r="K762" t="str">
        <f>VLOOKUP(A762,Orders!$A:$G,5,0)</f>
        <v>Cash</v>
      </c>
    </row>
    <row r="763" spans="1:11" x14ac:dyDescent="0.3">
      <c r="A763" t="s">
        <v>332</v>
      </c>
      <c r="B763" t="s">
        <v>411</v>
      </c>
      <c r="C763">
        <v>1</v>
      </c>
      <c r="D763">
        <f>VLOOKUP(B763, Menu!$A:$F, 6, 0)</f>
        <v>22.2</v>
      </c>
      <c r="E763">
        <f>VLOOKUP(B763, Menu!$A:$F, 5, 0)</f>
        <v>9.3800000000000008</v>
      </c>
      <c r="F763" t="str">
        <f>VLOOKUP(B763, Menu!$A:$F, 3, 0)</f>
        <v>Beverage</v>
      </c>
      <c r="G763" s="5">
        <f>VLOOKUP(A763, Orders!$A:$B, 2, 0)</f>
        <v>45897.990231481483</v>
      </c>
      <c r="H763" t="str">
        <f>VLOOKUP(A763, Orders!$A:$C, 3, 0)</f>
        <v>Plant 2 Canteen</v>
      </c>
      <c r="I763">
        <f>C763*D763*(1-VLOOKUP(A763,Orders!$A:$G,7,0))</f>
        <v>21.533999999999999</v>
      </c>
      <c r="J763" t="str">
        <f>VLOOKUP(A763,Orders!$A:$G,6,0)</f>
        <v>Dinner</v>
      </c>
      <c r="K763" t="str">
        <f>VLOOKUP(A763,Orders!$A:$G,5,0)</f>
        <v>Cash</v>
      </c>
    </row>
    <row r="764" spans="1:11" x14ac:dyDescent="0.3">
      <c r="A764" t="s">
        <v>333</v>
      </c>
      <c r="B764" t="s">
        <v>419</v>
      </c>
      <c r="C764">
        <v>1</v>
      </c>
      <c r="D764">
        <f>VLOOKUP(B764, Menu!$A:$F, 6, 0)</f>
        <v>50.19</v>
      </c>
      <c r="E764">
        <f>VLOOKUP(B764, Menu!$A:$F, 5, 0)</f>
        <v>22.61</v>
      </c>
      <c r="F764" t="str">
        <f>VLOOKUP(B764, Menu!$A:$F, 3, 0)</f>
        <v>Snack</v>
      </c>
      <c r="G764" s="5">
        <f>VLOOKUP(A764, Orders!$A:$B, 2, 0)</f>
        <v>45882.991446759261</v>
      </c>
      <c r="H764" t="str">
        <f>VLOOKUP(A764, Orders!$A:$C, 3, 0)</f>
        <v>Plant 1 Canteen</v>
      </c>
      <c r="I764">
        <f>C764*D764*(1-VLOOKUP(A764,Orders!$A:$G,7,0))</f>
        <v>47.680499999999995</v>
      </c>
      <c r="J764" t="str">
        <f>VLOOKUP(A764,Orders!$A:$G,6,0)</f>
        <v>Dinner</v>
      </c>
      <c r="K764" t="str">
        <f>VLOOKUP(A764,Orders!$A:$G,5,0)</f>
        <v>UPI</v>
      </c>
    </row>
    <row r="765" spans="1:11" x14ac:dyDescent="0.3">
      <c r="A765" t="s">
        <v>333</v>
      </c>
      <c r="B765" t="s">
        <v>418</v>
      </c>
      <c r="C765">
        <v>3</v>
      </c>
      <c r="D765">
        <f>VLOOKUP(B765, Menu!$A:$F, 6, 0)</f>
        <v>39.950000000000003</v>
      </c>
      <c r="E765">
        <f>VLOOKUP(B765, Menu!$A:$F, 5, 0)</f>
        <v>15.51</v>
      </c>
      <c r="F765" t="str">
        <f>VLOOKUP(B765, Menu!$A:$F, 3, 0)</f>
        <v>Snack</v>
      </c>
      <c r="G765" s="5">
        <f>VLOOKUP(A765, Orders!$A:$B, 2, 0)</f>
        <v>45882.991446759261</v>
      </c>
      <c r="H765" t="str">
        <f>VLOOKUP(A765, Orders!$A:$C, 3, 0)</f>
        <v>Plant 1 Canteen</v>
      </c>
      <c r="I765">
        <f>C765*D765*(1-VLOOKUP(A765,Orders!$A:$G,7,0))</f>
        <v>113.8575</v>
      </c>
      <c r="J765" t="str">
        <f>VLOOKUP(A765,Orders!$A:$G,6,0)</f>
        <v>Dinner</v>
      </c>
      <c r="K765" t="str">
        <f>VLOOKUP(A765,Orders!$A:$G,5,0)</f>
        <v>UPI</v>
      </c>
    </row>
    <row r="766" spans="1:11" x14ac:dyDescent="0.3">
      <c r="A766" t="s">
        <v>334</v>
      </c>
      <c r="B766" t="s">
        <v>408</v>
      </c>
      <c r="C766">
        <v>3</v>
      </c>
      <c r="D766">
        <f>VLOOKUP(B766, Menu!$A:$F, 6, 0)</f>
        <v>70.540000000000006</v>
      </c>
      <c r="E766">
        <f>VLOOKUP(B766, Menu!$A:$F, 5, 0)</f>
        <v>35.81</v>
      </c>
      <c r="F766" t="str">
        <f>VLOOKUP(B766, Menu!$A:$F, 3, 0)</f>
        <v>Snack</v>
      </c>
      <c r="G766" s="5">
        <f>VLOOKUP(A766, Orders!$A:$B, 2, 0)</f>
        <v>45888.236840277779</v>
      </c>
      <c r="H766" t="str">
        <f>VLOOKUP(A766, Orders!$A:$C, 3, 0)</f>
        <v>Head Office Café</v>
      </c>
      <c r="I766">
        <f>C766*D766*(1-VLOOKUP(A766,Orders!$A:$G,7,0))</f>
        <v>194.69040000000001</v>
      </c>
      <c r="J766" t="str">
        <f>VLOOKUP(A766,Orders!$A:$G,6,0)</f>
        <v>Breakfast</v>
      </c>
      <c r="K766" t="str">
        <f>VLOOKUP(A766,Orders!$A:$G,5,0)</f>
        <v>Cash</v>
      </c>
    </row>
    <row r="767" spans="1:11" x14ac:dyDescent="0.3">
      <c r="A767" t="s">
        <v>335</v>
      </c>
      <c r="B767" t="s">
        <v>415</v>
      </c>
      <c r="C767">
        <v>1</v>
      </c>
      <c r="D767">
        <f>VLOOKUP(B767, Menu!$A:$F, 6, 0)</f>
        <v>256.91000000000003</v>
      </c>
      <c r="E767">
        <f>VLOOKUP(B767, Menu!$A:$F, 5, 0)</f>
        <v>121.24</v>
      </c>
      <c r="F767" t="str">
        <f>VLOOKUP(B767, Menu!$A:$F, 3, 0)</f>
        <v>Hot Meal</v>
      </c>
      <c r="G767" s="5">
        <f>VLOOKUP(A767, Orders!$A:$B, 2, 0)</f>
        <v>45881.752106481479</v>
      </c>
      <c r="H767" t="str">
        <f>VLOOKUP(A767, Orders!$A:$C, 3, 0)</f>
        <v>Plant 2 Canteen</v>
      </c>
      <c r="I767">
        <f>C767*D767*(1-VLOOKUP(A767,Orders!$A:$G,7,0))</f>
        <v>246.6336</v>
      </c>
      <c r="J767" t="str">
        <f>VLOOKUP(A767,Orders!$A:$G,6,0)</f>
        <v>Dinner</v>
      </c>
      <c r="K767" t="str">
        <f>VLOOKUP(A767,Orders!$A:$G,5,0)</f>
        <v>UPI</v>
      </c>
    </row>
    <row r="768" spans="1:11" x14ac:dyDescent="0.3">
      <c r="A768" t="s">
        <v>336</v>
      </c>
      <c r="B768" t="s">
        <v>406</v>
      </c>
      <c r="C768">
        <v>1</v>
      </c>
      <c r="D768">
        <f>VLOOKUP(B768, Menu!$A:$F, 6, 0)</f>
        <v>38.06</v>
      </c>
      <c r="E768">
        <f>VLOOKUP(B768, Menu!$A:$F, 5, 0)</f>
        <v>19.55</v>
      </c>
      <c r="F768" t="str">
        <f>VLOOKUP(B768, Menu!$A:$F, 3, 0)</f>
        <v>Snack</v>
      </c>
      <c r="G768" s="5">
        <f>VLOOKUP(A768, Orders!$A:$B, 2, 0)</f>
        <v>45874.580983796302</v>
      </c>
      <c r="H768" t="str">
        <f>VLOOKUP(A768, Orders!$A:$C, 3, 0)</f>
        <v>Plant 2 Canteen</v>
      </c>
      <c r="I768">
        <f>C768*D768*(1-VLOOKUP(A768,Orders!$A:$G,7,0))</f>
        <v>36.918199999999999</v>
      </c>
      <c r="J768" t="str">
        <f>VLOOKUP(A768,Orders!$A:$G,6,0)</f>
        <v>Lunch</v>
      </c>
      <c r="K768" t="str">
        <f>VLOOKUP(A768,Orders!$A:$G,5,0)</f>
        <v>Card</v>
      </c>
    </row>
    <row r="769" spans="1:11" x14ac:dyDescent="0.3">
      <c r="A769" t="s">
        <v>336</v>
      </c>
      <c r="B769" t="s">
        <v>414</v>
      </c>
      <c r="C769">
        <v>1</v>
      </c>
      <c r="D769">
        <f>VLOOKUP(B769, Menu!$A:$F, 6, 0)</f>
        <v>116.8</v>
      </c>
      <c r="E769">
        <f>VLOOKUP(B769, Menu!$A:$F, 5, 0)</f>
        <v>48.97</v>
      </c>
      <c r="F769" t="str">
        <f>VLOOKUP(B769, Menu!$A:$F, 3, 0)</f>
        <v>Dessert</v>
      </c>
      <c r="G769" s="5">
        <f>VLOOKUP(A769, Orders!$A:$B, 2, 0)</f>
        <v>45874.580983796302</v>
      </c>
      <c r="H769" t="str">
        <f>VLOOKUP(A769, Orders!$A:$C, 3, 0)</f>
        <v>Plant 2 Canteen</v>
      </c>
      <c r="I769">
        <f>C769*D769*(1-VLOOKUP(A769,Orders!$A:$G,7,0))</f>
        <v>113.29599999999999</v>
      </c>
      <c r="J769" t="str">
        <f>VLOOKUP(A769,Orders!$A:$G,6,0)</f>
        <v>Lunch</v>
      </c>
      <c r="K769" t="str">
        <f>VLOOKUP(A769,Orders!$A:$G,5,0)</f>
        <v>Card</v>
      </c>
    </row>
    <row r="770" spans="1:11" x14ac:dyDescent="0.3">
      <c r="A770" t="s">
        <v>336</v>
      </c>
      <c r="B770" t="s">
        <v>417</v>
      </c>
      <c r="C770">
        <v>2</v>
      </c>
      <c r="D770">
        <f>VLOOKUP(B770, Menu!$A:$F, 6, 0)</f>
        <v>146.4</v>
      </c>
      <c r="E770">
        <f>VLOOKUP(B770, Menu!$A:$F, 5, 0)</f>
        <v>80.92</v>
      </c>
      <c r="F770" t="str">
        <f>VLOOKUP(B770, Menu!$A:$F, 3, 0)</f>
        <v>Hot Meal</v>
      </c>
      <c r="G770" s="5">
        <f>VLOOKUP(A770, Orders!$A:$B, 2, 0)</f>
        <v>45874.580983796302</v>
      </c>
      <c r="H770" t="str">
        <f>VLOOKUP(A770, Orders!$A:$C, 3, 0)</f>
        <v>Plant 2 Canteen</v>
      </c>
      <c r="I770">
        <f>C770*D770*(1-VLOOKUP(A770,Orders!$A:$G,7,0))</f>
        <v>284.01600000000002</v>
      </c>
      <c r="J770" t="str">
        <f>VLOOKUP(A770,Orders!$A:$G,6,0)</f>
        <v>Lunch</v>
      </c>
      <c r="K770" t="str">
        <f>VLOOKUP(A770,Orders!$A:$G,5,0)</f>
        <v>Card</v>
      </c>
    </row>
    <row r="771" spans="1:11" x14ac:dyDescent="0.3">
      <c r="A771" t="s">
        <v>336</v>
      </c>
      <c r="B771" t="s">
        <v>410</v>
      </c>
      <c r="C771">
        <v>1</v>
      </c>
      <c r="D771">
        <f>VLOOKUP(B771, Menu!$A:$F, 6, 0)</f>
        <v>20.11</v>
      </c>
      <c r="E771">
        <f>VLOOKUP(B771, Menu!$A:$F, 5, 0)</f>
        <v>8</v>
      </c>
      <c r="F771" t="str">
        <f>VLOOKUP(B771, Menu!$A:$F, 3, 0)</f>
        <v>Beverage</v>
      </c>
      <c r="G771" s="5">
        <f>VLOOKUP(A771, Orders!$A:$B, 2, 0)</f>
        <v>45874.580983796302</v>
      </c>
      <c r="H771" t="str">
        <f>VLOOKUP(A771, Orders!$A:$C, 3, 0)</f>
        <v>Plant 2 Canteen</v>
      </c>
      <c r="I771">
        <f>C771*D771*(1-VLOOKUP(A771,Orders!$A:$G,7,0))</f>
        <v>19.506699999999999</v>
      </c>
      <c r="J771" t="str">
        <f>VLOOKUP(A771,Orders!$A:$G,6,0)</f>
        <v>Lunch</v>
      </c>
      <c r="K771" t="str">
        <f>VLOOKUP(A771,Orders!$A:$G,5,0)</f>
        <v>Card</v>
      </c>
    </row>
    <row r="772" spans="1:11" x14ac:dyDescent="0.3">
      <c r="A772" t="s">
        <v>337</v>
      </c>
      <c r="B772" t="s">
        <v>413</v>
      </c>
      <c r="C772">
        <v>1</v>
      </c>
      <c r="D772">
        <f>VLOOKUP(B772, Menu!$A:$F, 6, 0)</f>
        <v>54.2</v>
      </c>
      <c r="E772">
        <f>VLOOKUP(B772, Menu!$A:$F, 5, 0)</f>
        <v>21.95</v>
      </c>
      <c r="F772" t="str">
        <f>VLOOKUP(B772, Menu!$A:$F, 3, 0)</f>
        <v>Dessert</v>
      </c>
      <c r="G772" s="5">
        <f>VLOOKUP(A772, Orders!$A:$B, 2, 0)</f>
        <v>45872.102187500001</v>
      </c>
      <c r="H772" t="str">
        <f>VLOOKUP(A772, Orders!$A:$C, 3, 0)</f>
        <v>Head Office Café</v>
      </c>
      <c r="I772">
        <f>C772*D772*(1-VLOOKUP(A772,Orders!$A:$G,7,0))</f>
        <v>50.405999999999999</v>
      </c>
      <c r="J772" t="str">
        <f>VLOOKUP(A772,Orders!$A:$G,6,0)</f>
        <v>Breakfast</v>
      </c>
      <c r="K772" t="str">
        <f>VLOOKUP(A772,Orders!$A:$G,5,0)</f>
        <v>Cash</v>
      </c>
    </row>
    <row r="773" spans="1:11" x14ac:dyDescent="0.3">
      <c r="A773" t="s">
        <v>337</v>
      </c>
      <c r="B773" t="s">
        <v>407</v>
      </c>
      <c r="C773">
        <v>1</v>
      </c>
      <c r="D773">
        <f>VLOOKUP(B773, Menu!$A:$F, 6, 0)</f>
        <v>246.09</v>
      </c>
      <c r="E773">
        <f>VLOOKUP(B773, Menu!$A:$F, 5, 0)</f>
        <v>112.08</v>
      </c>
      <c r="F773" t="str">
        <f>VLOOKUP(B773, Menu!$A:$F, 3, 0)</f>
        <v>Hot Meal</v>
      </c>
      <c r="G773" s="5">
        <f>VLOOKUP(A773, Orders!$A:$B, 2, 0)</f>
        <v>45872.102187500001</v>
      </c>
      <c r="H773" t="str">
        <f>VLOOKUP(A773, Orders!$A:$C, 3, 0)</f>
        <v>Head Office Café</v>
      </c>
      <c r="I773">
        <f>C773*D773*(1-VLOOKUP(A773,Orders!$A:$G,7,0))</f>
        <v>228.86369999999999</v>
      </c>
      <c r="J773" t="str">
        <f>VLOOKUP(A773,Orders!$A:$G,6,0)</f>
        <v>Breakfast</v>
      </c>
      <c r="K773" t="str">
        <f>VLOOKUP(A773,Orders!$A:$G,5,0)</f>
        <v>Cash</v>
      </c>
    </row>
    <row r="774" spans="1:11" x14ac:dyDescent="0.3">
      <c r="A774" t="s">
        <v>337</v>
      </c>
      <c r="B774" t="s">
        <v>401</v>
      </c>
      <c r="C774">
        <v>2</v>
      </c>
      <c r="D774">
        <f>VLOOKUP(B774, Menu!$A:$F, 6, 0)</f>
        <v>52.45</v>
      </c>
      <c r="E774">
        <f>VLOOKUP(B774, Menu!$A:$F, 5, 0)</f>
        <v>25.8</v>
      </c>
      <c r="F774" t="str">
        <f>VLOOKUP(B774, Menu!$A:$F, 3, 0)</f>
        <v>Snack</v>
      </c>
      <c r="G774" s="5">
        <f>VLOOKUP(A774, Orders!$A:$B, 2, 0)</f>
        <v>45872.102187500001</v>
      </c>
      <c r="H774" t="str">
        <f>VLOOKUP(A774, Orders!$A:$C, 3, 0)</f>
        <v>Head Office Café</v>
      </c>
      <c r="I774">
        <f>C774*D774*(1-VLOOKUP(A774,Orders!$A:$G,7,0))</f>
        <v>97.557000000000002</v>
      </c>
      <c r="J774" t="str">
        <f>VLOOKUP(A774,Orders!$A:$G,6,0)</f>
        <v>Breakfast</v>
      </c>
      <c r="K774" t="str">
        <f>VLOOKUP(A774,Orders!$A:$G,5,0)</f>
        <v>Cash</v>
      </c>
    </row>
    <row r="775" spans="1:11" x14ac:dyDescent="0.3">
      <c r="A775" t="s">
        <v>338</v>
      </c>
      <c r="B775" t="s">
        <v>418</v>
      </c>
      <c r="C775">
        <v>3</v>
      </c>
      <c r="D775">
        <f>VLOOKUP(B775, Menu!$A:$F, 6, 0)</f>
        <v>39.950000000000003</v>
      </c>
      <c r="E775">
        <f>VLOOKUP(B775, Menu!$A:$F, 5, 0)</f>
        <v>15.51</v>
      </c>
      <c r="F775" t="str">
        <f>VLOOKUP(B775, Menu!$A:$F, 3, 0)</f>
        <v>Snack</v>
      </c>
      <c r="G775" s="5">
        <f>VLOOKUP(A775, Orders!$A:$B, 2, 0)</f>
        <v>45845.649398148147</v>
      </c>
      <c r="H775" t="str">
        <f>VLOOKUP(A775, Orders!$A:$C, 3, 0)</f>
        <v>Plant 2 Canteen</v>
      </c>
      <c r="I775">
        <f>C775*D775*(1-VLOOKUP(A775,Orders!$A:$G,7,0))</f>
        <v>111.4605</v>
      </c>
      <c r="J775" t="str">
        <f>VLOOKUP(A775,Orders!$A:$G,6,0)</f>
        <v>Lunch</v>
      </c>
      <c r="K775" t="str">
        <f>VLOOKUP(A775,Orders!$A:$G,5,0)</f>
        <v>UPI</v>
      </c>
    </row>
    <row r="776" spans="1:11" x14ac:dyDescent="0.3">
      <c r="A776" t="s">
        <v>338</v>
      </c>
      <c r="B776" t="s">
        <v>403</v>
      </c>
      <c r="C776">
        <v>1</v>
      </c>
      <c r="D776">
        <f>VLOOKUP(B776, Menu!$A:$F, 6, 0)</f>
        <v>76.55</v>
      </c>
      <c r="E776">
        <f>VLOOKUP(B776, Menu!$A:$F, 5, 0)</f>
        <v>38.229999999999997</v>
      </c>
      <c r="F776" t="str">
        <f>VLOOKUP(B776, Menu!$A:$F, 3, 0)</f>
        <v>Dessert</v>
      </c>
      <c r="G776" s="5">
        <f>VLOOKUP(A776, Orders!$A:$B, 2, 0)</f>
        <v>45845.649398148147</v>
      </c>
      <c r="H776" t="str">
        <f>VLOOKUP(A776, Orders!$A:$C, 3, 0)</f>
        <v>Plant 2 Canteen</v>
      </c>
      <c r="I776">
        <f>C776*D776*(1-VLOOKUP(A776,Orders!$A:$G,7,0))</f>
        <v>71.191499999999991</v>
      </c>
      <c r="J776" t="str">
        <f>VLOOKUP(A776,Orders!$A:$G,6,0)</f>
        <v>Lunch</v>
      </c>
      <c r="K776" t="str">
        <f>VLOOKUP(A776,Orders!$A:$G,5,0)</f>
        <v>UPI</v>
      </c>
    </row>
    <row r="777" spans="1:11" x14ac:dyDescent="0.3">
      <c r="A777" t="s">
        <v>338</v>
      </c>
      <c r="B777" t="s">
        <v>413</v>
      </c>
      <c r="C777">
        <v>2</v>
      </c>
      <c r="D777">
        <f>VLOOKUP(B777, Menu!$A:$F, 6, 0)</f>
        <v>54.2</v>
      </c>
      <c r="E777">
        <f>VLOOKUP(B777, Menu!$A:$F, 5, 0)</f>
        <v>21.95</v>
      </c>
      <c r="F777" t="str">
        <f>VLOOKUP(B777, Menu!$A:$F, 3, 0)</f>
        <v>Dessert</v>
      </c>
      <c r="G777" s="5">
        <f>VLOOKUP(A777, Orders!$A:$B, 2, 0)</f>
        <v>45845.649398148147</v>
      </c>
      <c r="H777" t="str">
        <f>VLOOKUP(A777, Orders!$A:$C, 3, 0)</f>
        <v>Plant 2 Canteen</v>
      </c>
      <c r="I777">
        <f>C777*D777*(1-VLOOKUP(A777,Orders!$A:$G,7,0))</f>
        <v>100.812</v>
      </c>
      <c r="J777" t="str">
        <f>VLOOKUP(A777,Orders!$A:$G,6,0)</f>
        <v>Lunch</v>
      </c>
      <c r="K777" t="str">
        <f>VLOOKUP(A777,Orders!$A:$G,5,0)</f>
        <v>UPI</v>
      </c>
    </row>
    <row r="778" spans="1:11" x14ac:dyDescent="0.3">
      <c r="A778" t="s">
        <v>338</v>
      </c>
      <c r="B778" t="s">
        <v>408</v>
      </c>
      <c r="C778">
        <v>1</v>
      </c>
      <c r="D778">
        <f>VLOOKUP(B778, Menu!$A:$F, 6, 0)</f>
        <v>70.540000000000006</v>
      </c>
      <c r="E778">
        <f>VLOOKUP(B778, Menu!$A:$F, 5, 0)</f>
        <v>35.81</v>
      </c>
      <c r="F778" t="str">
        <f>VLOOKUP(B778, Menu!$A:$F, 3, 0)</f>
        <v>Snack</v>
      </c>
      <c r="G778" s="5">
        <f>VLOOKUP(A778, Orders!$A:$B, 2, 0)</f>
        <v>45845.649398148147</v>
      </c>
      <c r="H778" t="str">
        <f>VLOOKUP(A778, Orders!$A:$C, 3, 0)</f>
        <v>Plant 2 Canteen</v>
      </c>
      <c r="I778">
        <f>C778*D778*(1-VLOOKUP(A778,Orders!$A:$G,7,0))</f>
        <v>65.602199999999996</v>
      </c>
      <c r="J778" t="str">
        <f>VLOOKUP(A778,Orders!$A:$G,6,0)</f>
        <v>Lunch</v>
      </c>
      <c r="K778" t="str">
        <f>VLOOKUP(A778,Orders!$A:$G,5,0)</f>
        <v>UPI</v>
      </c>
    </row>
    <row r="779" spans="1:11" x14ac:dyDescent="0.3">
      <c r="A779" t="s">
        <v>339</v>
      </c>
      <c r="B779" t="s">
        <v>411</v>
      </c>
      <c r="C779">
        <v>3</v>
      </c>
      <c r="D779">
        <f>VLOOKUP(B779, Menu!$A:$F, 6, 0)</f>
        <v>22.2</v>
      </c>
      <c r="E779">
        <f>VLOOKUP(B779, Menu!$A:$F, 5, 0)</f>
        <v>9.3800000000000008</v>
      </c>
      <c r="F779" t="str">
        <f>VLOOKUP(B779, Menu!$A:$F, 3, 0)</f>
        <v>Beverage</v>
      </c>
      <c r="G779" s="5">
        <f>VLOOKUP(A779, Orders!$A:$B, 2, 0)</f>
        <v>45866.83792824074</v>
      </c>
      <c r="H779" t="str">
        <f>VLOOKUP(A779, Orders!$A:$C, 3, 0)</f>
        <v>Plant 2 Canteen</v>
      </c>
      <c r="I779">
        <f>C779*D779*(1-VLOOKUP(A779,Orders!$A:$G,7,0))</f>
        <v>63.935999999999993</v>
      </c>
      <c r="J779" t="str">
        <f>VLOOKUP(A779,Orders!$A:$G,6,0)</f>
        <v>Dinner</v>
      </c>
      <c r="K779" t="str">
        <f>VLOOKUP(A779,Orders!$A:$G,5,0)</f>
        <v>UPI</v>
      </c>
    </row>
    <row r="780" spans="1:11" x14ac:dyDescent="0.3">
      <c r="A780" t="s">
        <v>340</v>
      </c>
      <c r="B780" t="s">
        <v>418</v>
      </c>
      <c r="C780">
        <v>2</v>
      </c>
      <c r="D780">
        <f>VLOOKUP(B780, Menu!$A:$F, 6, 0)</f>
        <v>39.950000000000003</v>
      </c>
      <c r="E780">
        <f>VLOOKUP(B780, Menu!$A:$F, 5, 0)</f>
        <v>15.51</v>
      </c>
      <c r="F780" t="str">
        <f>VLOOKUP(B780, Menu!$A:$F, 3, 0)</f>
        <v>Snack</v>
      </c>
      <c r="G780" s="5">
        <f>VLOOKUP(A780, Orders!$A:$B, 2, 0)</f>
        <v>45871.616238425922</v>
      </c>
      <c r="H780" t="str">
        <f>VLOOKUP(A780, Orders!$A:$C, 3, 0)</f>
        <v>Plant 1 Canteen</v>
      </c>
      <c r="I780">
        <f>C780*D780*(1-VLOOKUP(A780,Orders!$A:$G,7,0))</f>
        <v>76.704000000000008</v>
      </c>
      <c r="J780" t="str">
        <f>VLOOKUP(A780,Orders!$A:$G,6,0)</f>
        <v>Lunch</v>
      </c>
      <c r="K780" t="str">
        <f>VLOOKUP(A780,Orders!$A:$G,5,0)</f>
        <v>UPI</v>
      </c>
    </row>
    <row r="781" spans="1:11" x14ac:dyDescent="0.3">
      <c r="A781" t="s">
        <v>340</v>
      </c>
      <c r="B781" t="s">
        <v>406</v>
      </c>
      <c r="C781">
        <v>2</v>
      </c>
      <c r="D781">
        <f>VLOOKUP(B781, Menu!$A:$F, 6, 0)</f>
        <v>38.06</v>
      </c>
      <c r="E781">
        <f>VLOOKUP(B781, Menu!$A:$F, 5, 0)</f>
        <v>19.55</v>
      </c>
      <c r="F781" t="str">
        <f>VLOOKUP(B781, Menu!$A:$F, 3, 0)</f>
        <v>Snack</v>
      </c>
      <c r="G781" s="5">
        <f>VLOOKUP(A781, Orders!$A:$B, 2, 0)</f>
        <v>45871.616238425922</v>
      </c>
      <c r="H781" t="str">
        <f>VLOOKUP(A781, Orders!$A:$C, 3, 0)</f>
        <v>Plant 1 Canteen</v>
      </c>
      <c r="I781">
        <f>C781*D781*(1-VLOOKUP(A781,Orders!$A:$G,7,0))</f>
        <v>73.075199999999995</v>
      </c>
      <c r="J781" t="str">
        <f>VLOOKUP(A781,Orders!$A:$G,6,0)</f>
        <v>Lunch</v>
      </c>
      <c r="K781" t="str">
        <f>VLOOKUP(A781,Orders!$A:$G,5,0)</f>
        <v>UPI</v>
      </c>
    </row>
    <row r="782" spans="1:11" x14ac:dyDescent="0.3">
      <c r="A782" t="s">
        <v>341</v>
      </c>
      <c r="B782" t="s">
        <v>404</v>
      </c>
      <c r="C782">
        <v>1</v>
      </c>
      <c r="D782">
        <f>VLOOKUP(B782, Menu!$A:$F, 6, 0)</f>
        <v>32.979999999999997</v>
      </c>
      <c r="E782">
        <f>VLOOKUP(B782, Menu!$A:$F, 5, 0)</f>
        <v>11.84</v>
      </c>
      <c r="F782" t="str">
        <f>VLOOKUP(B782, Menu!$A:$F, 3, 0)</f>
        <v>Beverage</v>
      </c>
      <c r="G782" s="5">
        <f>VLOOKUP(A782, Orders!$A:$B, 2, 0)</f>
        <v>45873.214224537027</v>
      </c>
      <c r="H782" t="str">
        <f>VLOOKUP(A782, Orders!$A:$C, 3, 0)</f>
        <v>Plant 2 Canteen</v>
      </c>
      <c r="I782">
        <f>C782*D782*(1-VLOOKUP(A782,Orders!$A:$G,7,0))</f>
        <v>30.671399999999995</v>
      </c>
      <c r="J782" t="str">
        <f>VLOOKUP(A782,Orders!$A:$G,6,0)</f>
        <v>Breakfast</v>
      </c>
      <c r="K782" t="str">
        <f>VLOOKUP(A782,Orders!$A:$G,5,0)</f>
        <v>UPI</v>
      </c>
    </row>
    <row r="783" spans="1:11" x14ac:dyDescent="0.3">
      <c r="A783" t="s">
        <v>342</v>
      </c>
      <c r="B783" t="s">
        <v>418</v>
      </c>
      <c r="C783">
        <v>2</v>
      </c>
      <c r="D783">
        <f>VLOOKUP(B783, Menu!$A:$F, 6, 0)</f>
        <v>39.950000000000003</v>
      </c>
      <c r="E783">
        <f>VLOOKUP(B783, Menu!$A:$F, 5, 0)</f>
        <v>15.51</v>
      </c>
      <c r="F783" t="str">
        <f>VLOOKUP(B783, Menu!$A:$F, 3, 0)</f>
        <v>Snack</v>
      </c>
      <c r="G783" s="5">
        <f>VLOOKUP(A783, Orders!$A:$B, 2, 0)</f>
        <v>45851.769953703697</v>
      </c>
      <c r="H783" t="str">
        <f>VLOOKUP(A783, Orders!$A:$C, 3, 0)</f>
        <v>Head Office Café</v>
      </c>
      <c r="I783">
        <f>C783*D783*(1-VLOOKUP(A783,Orders!$A:$G,7,0))</f>
        <v>79.900000000000006</v>
      </c>
      <c r="J783" t="str">
        <f>VLOOKUP(A783,Orders!$A:$G,6,0)</f>
        <v>Dinner</v>
      </c>
      <c r="K783" t="str">
        <f>VLOOKUP(A783,Orders!$A:$G,5,0)</f>
        <v>Cash</v>
      </c>
    </row>
    <row r="784" spans="1:11" x14ac:dyDescent="0.3">
      <c r="A784" t="s">
        <v>342</v>
      </c>
      <c r="B784" t="s">
        <v>407</v>
      </c>
      <c r="C784">
        <v>2</v>
      </c>
      <c r="D784">
        <f>VLOOKUP(B784, Menu!$A:$F, 6, 0)</f>
        <v>246.09</v>
      </c>
      <c r="E784">
        <f>VLOOKUP(B784, Menu!$A:$F, 5, 0)</f>
        <v>112.08</v>
      </c>
      <c r="F784" t="str">
        <f>VLOOKUP(B784, Menu!$A:$F, 3, 0)</f>
        <v>Hot Meal</v>
      </c>
      <c r="G784" s="5">
        <f>VLOOKUP(A784, Orders!$A:$B, 2, 0)</f>
        <v>45851.769953703697</v>
      </c>
      <c r="H784" t="str">
        <f>VLOOKUP(A784, Orders!$A:$C, 3, 0)</f>
        <v>Head Office Café</v>
      </c>
      <c r="I784">
        <f>C784*D784*(1-VLOOKUP(A784,Orders!$A:$G,7,0))</f>
        <v>492.18</v>
      </c>
      <c r="J784" t="str">
        <f>VLOOKUP(A784,Orders!$A:$G,6,0)</f>
        <v>Dinner</v>
      </c>
      <c r="K784" t="str">
        <f>VLOOKUP(A784,Orders!$A:$G,5,0)</f>
        <v>Cash</v>
      </c>
    </row>
    <row r="785" spans="1:11" x14ac:dyDescent="0.3">
      <c r="A785" t="s">
        <v>343</v>
      </c>
      <c r="B785" t="s">
        <v>419</v>
      </c>
      <c r="C785">
        <v>1</v>
      </c>
      <c r="D785">
        <f>VLOOKUP(B785, Menu!$A:$F, 6, 0)</f>
        <v>50.19</v>
      </c>
      <c r="E785">
        <f>VLOOKUP(B785, Menu!$A:$F, 5, 0)</f>
        <v>22.61</v>
      </c>
      <c r="F785" t="str">
        <f>VLOOKUP(B785, Menu!$A:$F, 3, 0)</f>
        <v>Snack</v>
      </c>
      <c r="G785" s="5">
        <f>VLOOKUP(A785, Orders!$A:$B, 2, 0)</f>
        <v>45893.515949074077</v>
      </c>
      <c r="H785" t="str">
        <f>VLOOKUP(A785, Orders!$A:$C, 3, 0)</f>
        <v>Plant 2 Canteen</v>
      </c>
      <c r="I785">
        <f>C785*D785*(1-VLOOKUP(A785,Orders!$A:$G,7,0))</f>
        <v>50.19</v>
      </c>
      <c r="J785" t="str">
        <f>VLOOKUP(A785,Orders!$A:$G,6,0)</f>
        <v>Lunch</v>
      </c>
      <c r="K785" t="str">
        <f>VLOOKUP(A785,Orders!$A:$G,5,0)</f>
        <v>Card</v>
      </c>
    </row>
    <row r="786" spans="1:11" x14ac:dyDescent="0.3">
      <c r="A786" t="s">
        <v>343</v>
      </c>
      <c r="B786" t="s">
        <v>410</v>
      </c>
      <c r="C786">
        <v>1</v>
      </c>
      <c r="D786">
        <f>VLOOKUP(B786, Menu!$A:$F, 6, 0)</f>
        <v>20.11</v>
      </c>
      <c r="E786">
        <f>VLOOKUP(B786, Menu!$A:$F, 5, 0)</f>
        <v>8</v>
      </c>
      <c r="F786" t="str">
        <f>VLOOKUP(B786, Menu!$A:$F, 3, 0)</f>
        <v>Beverage</v>
      </c>
      <c r="G786" s="5">
        <f>VLOOKUP(A786, Orders!$A:$B, 2, 0)</f>
        <v>45893.515949074077</v>
      </c>
      <c r="H786" t="str">
        <f>VLOOKUP(A786, Orders!$A:$C, 3, 0)</f>
        <v>Plant 2 Canteen</v>
      </c>
      <c r="I786">
        <f>C786*D786*(1-VLOOKUP(A786,Orders!$A:$G,7,0))</f>
        <v>20.11</v>
      </c>
      <c r="J786" t="str">
        <f>VLOOKUP(A786,Orders!$A:$G,6,0)</f>
        <v>Lunch</v>
      </c>
      <c r="K786" t="str">
        <f>VLOOKUP(A786,Orders!$A:$G,5,0)</f>
        <v>Card</v>
      </c>
    </row>
    <row r="787" spans="1:11" x14ac:dyDescent="0.3">
      <c r="A787" t="s">
        <v>343</v>
      </c>
      <c r="B787" t="s">
        <v>405</v>
      </c>
      <c r="C787">
        <v>1</v>
      </c>
      <c r="D787">
        <f>VLOOKUP(B787, Menu!$A:$F, 6, 0)</f>
        <v>170.83</v>
      </c>
      <c r="E787">
        <f>VLOOKUP(B787, Menu!$A:$F, 5, 0)</f>
        <v>74.069999999999993</v>
      </c>
      <c r="F787" t="str">
        <f>VLOOKUP(B787, Menu!$A:$F, 3, 0)</f>
        <v>Hot Meal</v>
      </c>
      <c r="G787" s="5">
        <f>VLOOKUP(A787, Orders!$A:$B, 2, 0)</f>
        <v>45893.515949074077</v>
      </c>
      <c r="H787" t="str">
        <f>VLOOKUP(A787, Orders!$A:$C, 3, 0)</f>
        <v>Plant 2 Canteen</v>
      </c>
      <c r="I787">
        <f>C787*D787*(1-VLOOKUP(A787,Orders!$A:$G,7,0))</f>
        <v>170.83</v>
      </c>
      <c r="J787" t="str">
        <f>VLOOKUP(A787,Orders!$A:$G,6,0)</f>
        <v>Lunch</v>
      </c>
      <c r="K787" t="str">
        <f>VLOOKUP(A787,Orders!$A:$G,5,0)</f>
        <v>Card</v>
      </c>
    </row>
    <row r="788" spans="1:11" x14ac:dyDescent="0.3">
      <c r="A788" t="s">
        <v>343</v>
      </c>
      <c r="B788" t="s">
        <v>417</v>
      </c>
      <c r="C788">
        <v>3</v>
      </c>
      <c r="D788">
        <f>VLOOKUP(B788, Menu!$A:$F, 6, 0)</f>
        <v>146.4</v>
      </c>
      <c r="E788">
        <f>VLOOKUP(B788, Menu!$A:$F, 5, 0)</f>
        <v>80.92</v>
      </c>
      <c r="F788" t="str">
        <f>VLOOKUP(B788, Menu!$A:$F, 3, 0)</f>
        <v>Hot Meal</v>
      </c>
      <c r="G788" s="5">
        <f>VLOOKUP(A788, Orders!$A:$B, 2, 0)</f>
        <v>45893.515949074077</v>
      </c>
      <c r="H788" t="str">
        <f>VLOOKUP(A788, Orders!$A:$C, 3, 0)</f>
        <v>Plant 2 Canteen</v>
      </c>
      <c r="I788">
        <f>C788*D788*(1-VLOOKUP(A788,Orders!$A:$G,7,0))</f>
        <v>439.20000000000005</v>
      </c>
      <c r="J788" t="str">
        <f>VLOOKUP(A788,Orders!$A:$G,6,0)</f>
        <v>Lunch</v>
      </c>
      <c r="K788" t="str">
        <f>VLOOKUP(A788,Orders!$A:$G,5,0)</f>
        <v>Card</v>
      </c>
    </row>
    <row r="789" spans="1:11" x14ac:dyDescent="0.3">
      <c r="A789" t="s">
        <v>344</v>
      </c>
      <c r="B789" t="s">
        <v>403</v>
      </c>
      <c r="C789">
        <v>1</v>
      </c>
      <c r="D789">
        <f>VLOOKUP(B789, Menu!$A:$F, 6, 0)</f>
        <v>76.55</v>
      </c>
      <c r="E789">
        <f>VLOOKUP(B789, Menu!$A:$F, 5, 0)</f>
        <v>38.229999999999997</v>
      </c>
      <c r="F789" t="str">
        <f>VLOOKUP(B789, Menu!$A:$F, 3, 0)</f>
        <v>Dessert</v>
      </c>
      <c r="G789" s="5">
        <f>VLOOKUP(A789, Orders!$A:$B, 2, 0)</f>
        <v>45890.357719907413</v>
      </c>
      <c r="H789" t="str">
        <f>VLOOKUP(A789, Orders!$A:$C, 3, 0)</f>
        <v>Plant 1 Canteen</v>
      </c>
      <c r="I789">
        <f>C789*D789*(1-VLOOKUP(A789,Orders!$A:$G,7,0))</f>
        <v>74.253499999999988</v>
      </c>
      <c r="J789" t="str">
        <f>VLOOKUP(A789,Orders!$A:$G,6,0)</f>
        <v>Breakfast</v>
      </c>
      <c r="K789" t="str">
        <f>VLOOKUP(A789,Orders!$A:$G,5,0)</f>
        <v>UPI</v>
      </c>
    </row>
    <row r="790" spans="1:11" x14ac:dyDescent="0.3">
      <c r="A790" t="s">
        <v>344</v>
      </c>
      <c r="B790" t="s">
        <v>407</v>
      </c>
      <c r="C790">
        <v>1</v>
      </c>
      <c r="D790">
        <f>VLOOKUP(B790, Menu!$A:$F, 6, 0)</f>
        <v>246.09</v>
      </c>
      <c r="E790">
        <f>VLOOKUP(B790, Menu!$A:$F, 5, 0)</f>
        <v>112.08</v>
      </c>
      <c r="F790" t="str">
        <f>VLOOKUP(B790, Menu!$A:$F, 3, 0)</f>
        <v>Hot Meal</v>
      </c>
      <c r="G790" s="5">
        <f>VLOOKUP(A790, Orders!$A:$B, 2, 0)</f>
        <v>45890.357719907413</v>
      </c>
      <c r="H790" t="str">
        <f>VLOOKUP(A790, Orders!$A:$C, 3, 0)</f>
        <v>Plant 1 Canteen</v>
      </c>
      <c r="I790">
        <f>C790*D790*(1-VLOOKUP(A790,Orders!$A:$G,7,0))</f>
        <v>238.7073</v>
      </c>
      <c r="J790" t="str">
        <f>VLOOKUP(A790,Orders!$A:$G,6,0)</f>
        <v>Breakfast</v>
      </c>
      <c r="K790" t="str">
        <f>VLOOKUP(A790,Orders!$A:$G,5,0)</f>
        <v>UPI</v>
      </c>
    </row>
    <row r="791" spans="1:11" x14ac:dyDescent="0.3">
      <c r="A791" t="s">
        <v>344</v>
      </c>
      <c r="B791" t="s">
        <v>411</v>
      </c>
      <c r="C791">
        <v>2</v>
      </c>
      <c r="D791">
        <f>VLOOKUP(B791, Menu!$A:$F, 6, 0)</f>
        <v>22.2</v>
      </c>
      <c r="E791">
        <f>VLOOKUP(B791, Menu!$A:$F, 5, 0)</f>
        <v>9.3800000000000008</v>
      </c>
      <c r="F791" t="str">
        <f>VLOOKUP(B791, Menu!$A:$F, 3, 0)</f>
        <v>Beverage</v>
      </c>
      <c r="G791" s="5">
        <f>VLOOKUP(A791, Orders!$A:$B, 2, 0)</f>
        <v>45890.357719907413</v>
      </c>
      <c r="H791" t="str">
        <f>VLOOKUP(A791, Orders!$A:$C, 3, 0)</f>
        <v>Plant 1 Canteen</v>
      </c>
      <c r="I791">
        <f>C791*D791*(1-VLOOKUP(A791,Orders!$A:$G,7,0))</f>
        <v>43.067999999999998</v>
      </c>
      <c r="J791" t="str">
        <f>VLOOKUP(A791,Orders!$A:$G,6,0)</f>
        <v>Breakfast</v>
      </c>
      <c r="K791" t="str">
        <f>VLOOKUP(A791,Orders!$A:$G,5,0)</f>
        <v>UPI</v>
      </c>
    </row>
    <row r="792" spans="1:11" x14ac:dyDescent="0.3">
      <c r="A792" t="s">
        <v>344</v>
      </c>
      <c r="B792" t="s">
        <v>402</v>
      </c>
      <c r="C792">
        <v>2</v>
      </c>
      <c r="D792">
        <f>VLOOKUP(B792, Menu!$A:$F, 6, 0)</f>
        <v>30.34</v>
      </c>
      <c r="E792">
        <f>VLOOKUP(B792, Menu!$A:$F, 5, 0)</f>
        <v>14.18</v>
      </c>
      <c r="F792" t="str">
        <f>VLOOKUP(B792, Menu!$A:$F, 3, 0)</f>
        <v>Beverage</v>
      </c>
      <c r="G792" s="5">
        <f>VLOOKUP(A792, Orders!$A:$B, 2, 0)</f>
        <v>45890.357719907413</v>
      </c>
      <c r="H792" t="str">
        <f>VLOOKUP(A792, Orders!$A:$C, 3, 0)</f>
        <v>Plant 1 Canteen</v>
      </c>
      <c r="I792">
        <f>C792*D792*(1-VLOOKUP(A792,Orders!$A:$G,7,0))</f>
        <v>58.8596</v>
      </c>
      <c r="J792" t="str">
        <f>VLOOKUP(A792,Orders!$A:$G,6,0)</f>
        <v>Breakfast</v>
      </c>
      <c r="K792" t="str">
        <f>VLOOKUP(A792,Orders!$A:$G,5,0)</f>
        <v>UPI</v>
      </c>
    </row>
    <row r="793" spans="1:11" x14ac:dyDescent="0.3">
      <c r="A793" t="s">
        <v>345</v>
      </c>
      <c r="B793" t="s">
        <v>415</v>
      </c>
      <c r="C793">
        <v>1</v>
      </c>
      <c r="D793">
        <f>VLOOKUP(B793, Menu!$A:$F, 6, 0)</f>
        <v>256.91000000000003</v>
      </c>
      <c r="E793">
        <f>VLOOKUP(B793, Menu!$A:$F, 5, 0)</f>
        <v>121.24</v>
      </c>
      <c r="F793" t="str">
        <f>VLOOKUP(B793, Menu!$A:$F, 3, 0)</f>
        <v>Hot Meal</v>
      </c>
      <c r="G793" s="5">
        <f>VLOOKUP(A793, Orders!$A:$B, 2, 0)</f>
        <v>45888.619328703702</v>
      </c>
      <c r="H793" t="str">
        <f>VLOOKUP(A793, Orders!$A:$C, 3, 0)</f>
        <v>Plant 2 Canteen</v>
      </c>
      <c r="I793">
        <f>C793*D793*(1-VLOOKUP(A793,Orders!$A:$G,7,0))</f>
        <v>244.06450000000001</v>
      </c>
      <c r="J793" t="str">
        <f>VLOOKUP(A793,Orders!$A:$G,6,0)</f>
        <v>Lunch</v>
      </c>
      <c r="K793" t="str">
        <f>VLOOKUP(A793,Orders!$A:$G,5,0)</f>
        <v>Card</v>
      </c>
    </row>
    <row r="794" spans="1:11" x14ac:dyDescent="0.3">
      <c r="A794" t="s">
        <v>345</v>
      </c>
      <c r="B794" t="s">
        <v>413</v>
      </c>
      <c r="C794">
        <v>3</v>
      </c>
      <c r="D794">
        <f>VLOOKUP(B794, Menu!$A:$F, 6, 0)</f>
        <v>54.2</v>
      </c>
      <c r="E794">
        <f>VLOOKUP(B794, Menu!$A:$F, 5, 0)</f>
        <v>21.95</v>
      </c>
      <c r="F794" t="str">
        <f>VLOOKUP(B794, Menu!$A:$F, 3, 0)</f>
        <v>Dessert</v>
      </c>
      <c r="G794" s="5">
        <f>VLOOKUP(A794, Orders!$A:$B, 2, 0)</f>
        <v>45888.619328703702</v>
      </c>
      <c r="H794" t="str">
        <f>VLOOKUP(A794, Orders!$A:$C, 3, 0)</f>
        <v>Plant 2 Canteen</v>
      </c>
      <c r="I794">
        <f>C794*D794*(1-VLOOKUP(A794,Orders!$A:$G,7,0))</f>
        <v>154.47000000000003</v>
      </c>
      <c r="J794" t="str">
        <f>VLOOKUP(A794,Orders!$A:$G,6,0)</f>
        <v>Lunch</v>
      </c>
      <c r="K794" t="str">
        <f>VLOOKUP(A794,Orders!$A:$G,5,0)</f>
        <v>Card</v>
      </c>
    </row>
    <row r="795" spans="1:11" x14ac:dyDescent="0.3">
      <c r="A795" t="s">
        <v>345</v>
      </c>
      <c r="B795" t="s">
        <v>414</v>
      </c>
      <c r="C795">
        <v>1</v>
      </c>
      <c r="D795">
        <f>VLOOKUP(B795, Menu!$A:$F, 6, 0)</f>
        <v>116.8</v>
      </c>
      <c r="E795">
        <f>VLOOKUP(B795, Menu!$A:$F, 5, 0)</f>
        <v>48.97</v>
      </c>
      <c r="F795" t="str">
        <f>VLOOKUP(B795, Menu!$A:$F, 3, 0)</f>
        <v>Dessert</v>
      </c>
      <c r="G795" s="5">
        <f>VLOOKUP(A795, Orders!$A:$B, 2, 0)</f>
        <v>45888.619328703702</v>
      </c>
      <c r="H795" t="str">
        <f>VLOOKUP(A795, Orders!$A:$C, 3, 0)</f>
        <v>Plant 2 Canteen</v>
      </c>
      <c r="I795">
        <f>C795*D795*(1-VLOOKUP(A795,Orders!$A:$G,7,0))</f>
        <v>110.96</v>
      </c>
      <c r="J795" t="str">
        <f>VLOOKUP(A795,Orders!$A:$G,6,0)</f>
        <v>Lunch</v>
      </c>
      <c r="K795" t="str">
        <f>VLOOKUP(A795,Orders!$A:$G,5,0)</f>
        <v>Card</v>
      </c>
    </row>
    <row r="796" spans="1:11" x14ac:dyDescent="0.3">
      <c r="A796" t="s">
        <v>345</v>
      </c>
      <c r="B796" t="s">
        <v>407</v>
      </c>
      <c r="C796">
        <v>2</v>
      </c>
      <c r="D796">
        <f>VLOOKUP(B796, Menu!$A:$F, 6, 0)</f>
        <v>246.09</v>
      </c>
      <c r="E796">
        <f>VLOOKUP(B796, Menu!$A:$F, 5, 0)</f>
        <v>112.08</v>
      </c>
      <c r="F796" t="str">
        <f>VLOOKUP(B796, Menu!$A:$F, 3, 0)</f>
        <v>Hot Meal</v>
      </c>
      <c r="G796" s="5">
        <f>VLOOKUP(A796, Orders!$A:$B, 2, 0)</f>
        <v>45888.619328703702</v>
      </c>
      <c r="H796" t="str">
        <f>VLOOKUP(A796, Orders!$A:$C, 3, 0)</f>
        <v>Plant 2 Canteen</v>
      </c>
      <c r="I796">
        <f>C796*D796*(1-VLOOKUP(A796,Orders!$A:$G,7,0))</f>
        <v>467.57099999999997</v>
      </c>
      <c r="J796" t="str">
        <f>VLOOKUP(A796,Orders!$A:$G,6,0)</f>
        <v>Lunch</v>
      </c>
      <c r="K796" t="str">
        <f>VLOOKUP(A796,Orders!$A:$G,5,0)</f>
        <v>Card</v>
      </c>
    </row>
    <row r="797" spans="1:11" x14ac:dyDescent="0.3">
      <c r="A797" t="s">
        <v>346</v>
      </c>
      <c r="B797" t="s">
        <v>404</v>
      </c>
      <c r="C797">
        <v>1</v>
      </c>
      <c r="D797">
        <f>VLOOKUP(B797, Menu!$A:$F, 6, 0)</f>
        <v>32.979999999999997</v>
      </c>
      <c r="E797">
        <f>VLOOKUP(B797, Menu!$A:$F, 5, 0)</f>
        <v>11.84</v>
      </c>
      <c r="F797" t="str">
        <f>VLOOKUP(B797, Menu!$A:$F, 3, 0)</f>
        <v>Beverage</v>
      </c>
      <c r="G797" s="5">
        <f>VLOOKUP(A797, Orders!$A:$B, 2, 0)</f>
        <v>45856.751782407409</v>
      </c>
      <c r="H797" t="str">
        <f>VLOOKUP(A797, Orders!$A:$C, 3, 0)</f>
        <v>Plant 1 Canteen</v>
      </c>
      <c r="I797">
        <f>C797*D797*(1-VLOOKUP(A797,Orders!$A:$G,7,0))</f>
        <v>30.671399999999995</v>
      </c>
      <c r="J797" t="str">
        <f>VLOOKUP(A797,Orders!$A:$G,6,0)</f>
        <v>Dinner</v>
      </c>
      <c r="K797" t="str">
        <f>VLOOKUP(A797,Orders!$A:$G,5,0)</f>
        <v>Card</v>
      </c>
    </row>
    <row r="798" spans="1:11" x14ac:dyDescent="0.3">
      <c r="A798" t="s">
        <v>346</v>
      </c>
      <c r="B798" t="s">
        <v>406</v>
      </c>
      <c r="C798">
        <v>2</v>
      </c>
      <c r="D798">
        <f>VLOOKUP(B798, Menu!$A:$F, 6, 0)</f>
        <v>38.06</v>
      </c>
      <c r="E798">
        <f>VLOOKUP(B798, Menu!$A:$F, 5, 0)</f>
        <v>19.55</v>
      </c>
      <c r="F798" t="str">
        <f>VLOOKUP(B798, Menu!$A:$F, 3, 0)</f>
        <v>Snack</v>
      </c>
      <c r="G798" s="5">
        <f>VLOOKUP(A798, Orders!$A:$B, 2, 0)</f>
        <v>45856.751782407409</v>
      </c>
      <c r="H798" t="str">
        <f>VLOOKUP(A798, Orders!$A:$C, 3, 0)</f>
        <v>Plant 1 Canteen</v>
      </c>
      <c r="I798">
        <f>C798*D798*(1-VLOOKUP(A798,Orders!$A:$G,7,0))</f>
        <v>70.791600000000003</v>
      </c>
      <c r="J798" t="str">
        <f>VLOOKUP(A798,Orders!$A:$G,6,0)</f>
        <v>Dinner</v>
      </c>
      <c r="K798" t="str">
        <f>VLOOKUP(A798,Orders!$A:$G,5,0)</f>
        <v>Card</v>
      </c>
    </row>
    <row r="799" spans="1:11" x14ac:dyDescent="0.3">
      <c r="A799" t="s">
        <v>347</v>
      </c>
      <c r="B799" t="s">
        <v>410</v>
      </c>
      <c r="C799">
        <v>1</v>
      </c>
      <c r="D799">
        <f>VLOOKUP(B799, Menu!$A:$F, 6, 0)</f>
        <v>20.11</v>
      </c>
      <c r="E799">
        <f>VLOOKUP(B799, Menu!$A:$F, 5, 0)</f>
        <v>8</v>
      </c>
      <c r="F799" t="str">
        <f>VLOOKUP(B799, Menu!$A:$F, 3, 0)</f>
        <v>Beverage</v>
      </c>
      <c r="G799" s="5">
        <f>VLOOKUP(A799, Orders!$A:$B, 2, 0)</f>
        <v>45861.245138888888</v>
      </c>
      <c r="H799" t="str">
        <f>VLOOKUP(A799, Orders!$A:$C, 3, 0)</f>
        <v>Plant 1 Canteen</v>
      </c>
      <c r="I799">
        <f>C799*D799*(1-VLOOKUP(A799,Orders!$A:$G,7,0))</f>
        <v>17.6968</v>
      </c>
      <c r="J799" t="str">
        <f>VLOOKUP(A799,Orders!$A:$G,6,0)</f>
        <v>Breakfast</v>
      </c>
      <c r="K799" t="str">
        <f>VLOOKUP(A799,Orders!$A:$G,5,0)</f>
        <v>Cash</v>
      </c>
    </row>
    <row r="800" spans="1:11" x14ac:dyDescent="0.3">
      <c r="A800" t="s">
        <v>347</v>
      </c>
      <c r="B800" t="s">
        <v>412</v>
      </c>
      <c r="C800">
        <v>2</v>
      </c>
      <c r="D800">
        <f>VLOOKUP(B800, Menu!$A:$F, 6, 0)</f>
        <v>57.07</v>
      </c>
      <c r="E800">
        <f>VLOOKUP(B800, Menu!$A:$F, 5, 0)</f>
        <v>29.14</v>
      </c>
      <c r="F800" t="str">
        <f>VLOOKUP(B800, Menu!$A:$F, 3, 0)</f>
        <v>Dessert</v>
      </c>
      <c r="G800" s="5">
        <f>VLOOKUP(A800, Orders!$A:$B, 2, 0)</f>
        <v>45861.245138888888</v>
      </c>
      <c r="H800" t="str">
        <f>VLOOKUP(A800, Orders!$A:$C, 3, 0)</f>
        <v>Plant 1 Canteen</v>
      </c>
      <c r="I800">
        <f>C800*D800*(1-VLOOKUP(A800,Orders!$A:$G,7,0))</f>
        <v>100.4432</v>
      </c>
      <c r="J800" t="str">
        <f>VLOOKUP(A800,Orders!$A:$G,6,0)</f>
        <v>Breakfast</v>
      </c>
      <c r="K800" t="str">
        <f>VLOOKUP(A800,Orders!$A:$G,5,0)</f>
        <v>Cash</v>
      </c>
    </row>
    <row r="801" spans="1:11" x14ac:dyDescent="0.3">
      <c r="A801" t="s">
        <v>347</v>
      </c>
      <c r="B801" t="s">
        <v>419</v>
      </c>
      <c r="C801">
        <v>1</v>
      </c>
      <c r="D801">
        <f>VLOOKUP(B801, Menu!$A:$F, 6, 0)</f>
        <v>50.19</v>
      </c>
      <c r="E801">
        <f>VLOOKUP(B801, Menu!$A:$F, 5, 0)</f>
        <v>22.61</v>
      </c>
      <c r="F801" t="str">
        <f>VLOOKUP(B801, Menu!$A:$F, 3, 0)</f>
        <v>Snack</v>
      </c>
      <c r="G801" s="5">
        <f>VLOOKUP(A801, Orders!$A:$B, 2, 0)</f>
        <v>45861.245138888888</v>
      </c>
      <c r="H801" t="str">
        <f>VLOOKUP(A801, Orders!$A:$C, 3, 0)</f>
        <v>Plant 1 Canteen</v>
      </c>
      <c r="I801">
        <f>C801*D801*(1-VLOOKUP(A801,Orders!$A:$G,7,0))</f>
        <v>44.167200000000001</v>
      </c>
      <c r="J801" t="str">
        <f>VLOOKUP(A801,Orders!$A:$G,6,0)</f>
        <v>Breakfast</v>
      </c>
      <c r="K801" t="str">
        <f>VLOOKUP(A801,Orders!$A:$G,5,0)</f>
        <v>Cash</v>
      </c>
    </row>
    <row r="802" spans="1:11" x14ac:dyDescent="0.3">
      <c r="A802" t="s">
        <v>348</v>
      </c>
      <c r="B802" t="s">
        <v>403</v>
      </c>
      <c r="C802">
        <v>2</v>
      </c>
      <c r="D802">
        <f>VLOOKUP(B802, Menu!$A:$F, 6, 0)</f>
        <v>76.55</v>
      </c>
      <c r="E802">
        <f>VLOOKUP(B802, Menu!$A:$F, 5, 0)</f>
        <v>38.229999999999997</v>
      </c>
      <c r="F802" t="str">
        <f>VLOOKUP(B802, Menu!$A:$F, 3, 0)</f>
        <v>Dessert</v>
      </c>
      <c r="G802" s="5">
        <f>VLOOKUP(A802, Orders!$A:$B, 2, 0)</f>
        <v>45849.069791666669</v>
      </c>
      <c r="H802" t="str">
        <f>VLOOKUP(A802, Orders!$A:$C, 3, 0)</f>
        <v>Head Office Café</v>
      </c>
      <c r="I802">
        <f>C802*D802*(1-VLOOKUP(A802,Orders!$A:$G,7,0))</f>
        <v>139.321</v>
      </c>
      <c r="J802" t="str">
        <f>VLOOKUP(A802,Orders!$A:$G,6,0)</f>
        <v>Breakfast</v>
      </c>
      <c r="K802" t="str">
        <f>VLOOKUP(A802,Orders!$A:$G,5,0)</f>
        <v>UPI</v>
      </c>
    </row>
    <row r="803" spans="1:11" x14ac:dyDescent="0.3">
      <c r="A803" t="s">
        <v>348</v>
      </c>
      <c r="B803" t="s">
        <v>414</v>
      </c>
      <c r="C803">
        <v>1</v>
      </c>
      <c r="D803">
        <f>VLOOKUP(B803, Menu!$A:$F, 6, 0)</f>
        <v>116.8</v>
      </c>
      <c r="E803">
        <f>VLOOKUP(B803, Menu!$A:$F, 5, 0)</f>
        <v>48.97</v>
      </c>
      <c r="F803" t="str">
        <f>VLOOKUP(B803, Menu!$A:$F, 3, 0)</f>
        <v>Dessert</v>
      </c>
      <c r="G803" s="5">
        <f>VLOOKUP(A803, Orders!$A:$B, 2, 0)</f>
        <v>45849.069791666669</v>
      </c>
      <c r="H803" t="str">
        <f>VLOOKUP(A803, Orders!$A:$C, 3, 0)</f>
        <v>Head Office Café</v>
      </c>
      <c r="I803">
        <f>C803*D803*(1-VLOOKUP(A803,Orders!$A:$G,7,0))</f>
        <v>106.288</v>
      </c>
      <c r="J803" t="str">
        <f>VLOOKUP(A803,Orders!$A:$G,6,0)</f>
        <v>Breakfast</v>
      </c>
      <c r="K803" t="str">
        <f>VLOOKUP(A803,Orders!$A:$G,5,0)</f>
        <v>UPI</v>
      </c>
    </row>
    <row r="804" spans="1:11" x14ac:dyDescent="0.3">
      <c r="A804" t="s">
        <v>348</v>
      </c>
      <c r="B804" t="s">
        <v>406</v>
      </c>
      <c r="C804">
        <v>2</v>
      </c>
      <c r="D804">
        <f>VLOOKUP(B804, Menu!$A:$F, 6, 0)</f>
        <v>38.06</v>
      </c>
      <c r="E804">
        <f>VLOOKUP(B804, Menu!$A:$F, 5, 0)</f>
        <v>19.55</v>
      </c>
      <c r="F804" t="str">
        <f>VLOOKUP(B804, Menu!$A:$F, 3, 0)</f>
        <v>Snack</v>
      </c>
      <c r="G804" s="5">
        <f>VLOOKUP(A804, Orders!$A:$B, 2, 0)</f>
        <v>45849.069791666669</v>
      </c>
      <c r="H804" t="str">
        <f>VLOOKUP(A804, Orders!$A:$C, 3, 0)</f>
        <v>Head Office Café</v>
      </c>
      <c r="I804">
        <f>C804*D804*(1-VLOOKUP(A804,Orders!$A:$G,7,0))</f>
        <v>69.269200000000012</v>
      </c>
      <c r="J804" t="str">
        <f>VLOOKUP(A804,Orders!$A:$G,6,0)</f>
        <v>Breakfast</v>
      </c>
      <c r="K804" t="str">
        <f>VLOOKUP(A804,Orders!$A:$G,5,0)</f>
        <v>UPI</v>
      </c>
    </row>
    <row r="805" spans="1:11" x14ac:dyDescent="0.3">
      <c r="A805" t="s">
        <v>349</v>
      </c>
      <c r="B805" t="s">
        <v>408</v>
      </c>
      <c r="C805">
        <v>2</v>
      </c>
      <c r="D805">
        <f>VLOOKUP(B805, Menu!$A:$F, 6, 0)</f>
        <v>70.540000000000006</v>
      </c>
      <c r="E805">
        <f>VLOOKUP(B805, Menu!$A:$F, 5, 0)</f>
        <v>35.81</v>
      </c>
      <c r="F805" t="str">
        <f>VLOOKUP(B805, Menu!$A:$F, 3, 0)</f>
        <v>Snack</v>
      </c>
      <c r="G805" s="5">
        <f>VLOOKUP(A805, Orders!$A:$B, 2, 0)</f>
        <v>45842.914907407408</v>
      </c>
      <c r="H805" t="str">
        <f>VLOOKUP(A805, Orders!$A:$C, 3, 0)</f>
        <v>Head Office Café</v>
      </c>
      <c r="I805">
        <f>C805*D805*(1-VLOOKUP(A805,Orders!$A:$G,7,0))</f>
        <v>134.02600000000001</v>
      </c>
      <c r="J805" t="str">
        <f>VLOOKUP(A805,Orders!$A:$G,6,0)</f>
        <v>Dinner</v>
      </c>
      <c r="K805" t="str">
        <f>VLOOKUP(A805,Orders!$A:$G,5,0)</f>
        <v>UPI</v>
      </c>
    </row>
    <row r="806" spans="1:11" x14ac:dyDescent="0.3">
      <c r="A806" t="s">
        <v>349</v>
      </c>
      <c r="B806" t="s">
        <v>403</v>
      </c>
      <c r="C806">
        <v>1</v>
      </c>
      <c r="D806">
        <f>VLOOKUP(B806, Menu!$A:$F, 6, 0)</f>
        <v>76.55</v>
      </c>
      <c r="E806">
        <f>VLOOKUP(B806, Menu!$A:$F, 5, 0)</f>
        <v>38.229999999999997</v>
      </c>
      <c r="F806" t="str">
        <f>VLOOKUP(B806, Menu!$A:$F, 3, 0)</f>
        <v>Dessert</v>
      </c>
      <c r="G806" s="5">
        <f>VLOOKUP(A806, Orders!$A:$B, 2, 0)</f>
        <v>45842.914907407408</v>
      </c>
      <c r="H806" t="str">
        <f>VLOOKUP(A806, Orders!$A:$C, 3, 0)</f>
        <v>Head Office Café</v>
      </c>
      <c r="I806">
        <f>C806*D806*(1-VLOOKUP(A806,Orders!$A:$G,7,0))</f>
        <v>72.722499999999997</v>
      </c>
      <c r="J806" t="str">
        <f>VLOOKUP(A806,Orders!$A:$G,6,0)</f>
        <v>Dinner</v>
      </c>
      <c r="K806" t="str">
        <f>VLOOKUP(A806,Orders!$A:$G,5,0)</f>
        <v>UPI</v>
      </c>
    </row>
    <row r="807" spans="1:11" x14ac:dyDescent="0.3">
      <c r="A807" t="s">
        <v>349</v>
      </c>
      <c r="B807" t="s">
        <v>412</v>
      </c>
      <c r="C807">
        <v>1</v>
      </c>
      <c r="D807">
        <f>VLOOKUP(B807, Menu!$A:$F, 6, 0)</f>
        <v>57.07</v>
      </c>
      <c r="E807">
        <f>VLOOKUP(B807, Menu!$A:$F, 5, 0)</f>
        <v>29.14</v>
      </c>
      <c r="F807" t="str">
        <f>VLOOKUP(B807, Menu!$A:$F, 3, 0)</f>
        <v>Dessert</v>
      </c>
      <c r="G807" s="5">
        <f>VLOOKUP(A807, Orders!$A:$B, 2, 0)</f>
        <v>45842.914907407408</v>
      </c>
      <c r="H807" t="str">
        <f>VLOOKUP(A807, Orders!$A:$C, 3, 0)</f>
        <v>Head Office Café</v>
      </c>
      <c r="I807">
        <f>C807*D807*(1-VLOOKUP(A807,Orders!$A:$G,7,0))</f>
        <v>54.216499999999996</v>
      </c>
      <c r="J807" t="str">
        <f>VLOOKUP(A807,Orders!$A:$G,6,0)</f>
        <v>Dinner</v>
      </c>
      <c r="K807" t="str">
        <f>VLOOKUP(A807,Orders!$A:$G,5,0)</f>
        <v>UPI</v>
      </c>
    </row>
    <row r="808" spans="1:11" x14ac:dyDescent="0.3">
      <c r="A808" t="s">
        <v>350</v>
      </c>
      <c r="B808" t="s">
        <v>413</v>
      </c>
      <c r="C808">
        <v>1</v>
      </c>
      <c r="D808">
        <f>VLOOKUP(B808, Menu!$A:$F, 6, 0)</f>
        <v>54.2</v>
      </c>
      <c r="E808">
        <f>VLOOKUP(B808, Menu!$A:$F, 5, 0)</f>
        <v>21.95</v>
      </c>
      <c r="F808" t="str">
        <f>VLOOKUP(B808, Menu!$A:$F, 3, 0)</f>
        <v>Dessert</v>
      </c>
      <c r="G808" s="5">
        <f>VLOOKUP(A808, Orders!$A:$B, 2, 0)</f>
        <v>45897.236875000002</v>
      </c>
      <c r="H808" t="str">
        <f>VLOOKUP(A808, Orders!$A:$C, 3, 0)</f>
        <v>Plant 2 Canteen</v>
      </c>
      <c r="I808">
        <f>C808*D808*(1-VLOOKUP(A808,Orders!$A:$G,7,0))</f>
        <v>50.948</v>
      </c>
      <c r="J808" t="str">
        <f>VLOOKUP(A808,Orders!$A:$G,6,0)</f>
        <v>Breakfast</v>
      </c>
      <c r="K808" t="str">
        <f>VLOOKUP(A808,Orders!$A:$G,5,0)</f>
        <v>Cash</v>
      </c>
    </row>
    <row r="809" spans="1:11" x14ac:dyDescent="0.3">
      <c r="A809" t="s">
        <v>351</v>
      </c>
      <c r="B809" t="s">
        <v>404</v>
      </c>
      <c r="C809">
        <v>1</v>
      </c>
      <c r="D809">
        <f>VLOOKUP(B809, Menu!$A:$F, 6, 0)</f>
        <v>32.979999999999997</v>
      </c>
      <c r="E809">
        <f>VLOOKUP(B809, Menu!$A:$F, 5, 0)</f>
        <v>11.84</v>
      </c>
      <c r="F809" t="str">
        <f>VLOOKUP(B809, Menu!$A:$F, 3, 0)</f>
        <v>Beverage</v>
      </c>
      <c r="G809" s="5">
        <f>VLOOKUP(A809, Orders!$A:$B, 2, 0)</f>
        <v>45855.322256944448</v>
      </c>
      <c r="H809" t="str">
        <f>VLOOKUP(A809, Orders!$A:$C, 3, 0)</f>
        <v>Head Office Café</v>
      </c>
      <c r="I809">
        <f>C809*D809*(1-VLOOKUP(A809,Orders!$A:$G,7,0))</f>
        <v>32.320399999999999</v>
      </c>
      <c r="J809" t="str">
        <f>VLOOKUP(A809,Orders!$A:$G,6,0)</f>
        <v>Breakfast</v>
      </c>
      <c r="K809" t="str">
        <f>VLOOKUP(A809,Orders!$A:$G,5,0)</f>
        <v>Cash</v>
      </c>
    </row>
    <row r="810" spans="1:11" x14ac:dyDescent="0.3">
      <c r="A810" t="s">
        <v>352</v>
      </c>
      <c r="B810" t="s">
        <v>403</v>
      </c>
      <c r="C810">
        <v>3</v>
      </c>
      <c r="D810">
        <f>VLOOKUP(B810, Menu!$A:$F, 6, 0)</f>
        <v>76.55</v>
      </c>
      <c r="E810">
        <f>VLOOKUP(B810, Menu!$A:$F, 5, 0)</f>
        <v>38.229999999999997</v>
      </c>
      <c r="F810" t="str">
        <f>VLOOKUP(B810, Menu!$A:$F, 3, 0)</f>
        <v>Dessert</v>
      </c>
      <c r="G810" s="5">
        <f>VLOOKUP(A810, Orders!$A:$B, 2, 0)</f>
        <v>45874.619953703703</v>
      </c>
      <c r="H810" t="str">
        <f>VLOOKUP(A810, Orders!$A:$C, 3, 0)</f>
        <v>Head Office Café</v>
      </c>
      <c r="I810">
        <f>C810*D810*(1-VLOOKUP(A810,Orders!$A:$G,7,0))</f>
        <v>215.87099999999995</v>
      </c>
      <c r="J810" t="str">
        <f>VLOOKUP(A810,Orders!$A:$G,6,0)</f>
        <v>Lunch</v>
      </c>
      <c r="K810" t="str">
        <f>VLOOKUP(A810,Orders!$A:$G,5,0)</f>
        <v>Cash</v>
      </c>
    </row>
    <row r="811" spans="1:11" x14ac:dyDescent="0.3">
      <c r="A811" t="s">
        <v>352</v>
      </c>
      <c r="B811" t="s">
        <v>414</v>
      </c>
      <c r="C811">
        <v>1</v>
      </c>
      <c r="D811">
        <f>VLOOKUP(B811, Menu!$A:$F, 6, 0)</f>
        <v>116.8</v>
      </c>
      <c r="E811">
        <f>VLOOKUP(B811, Menu!$A:$F, 5, 0)</f>
        <v>48.97</v>
      </c>
      <c r="F811" t="str">
        <f>VLOOKUP(B811, Menu!$A:$F, 3, 0)</f>
        <v>Dessert</v>
      </c>
      <c r="G811" s="5">
        <f>VLOOKUP(A811, Orders!$A:$B, 2, 0)</f>
        <v>45874.619953703703</v>
      </c>
      <c r="H811" t="str">
        <f>VLOOKUP(A811, Orders!$A:$C, 3, 0)</f>
        <v>Head Office Café</v>
      </c>
      <c r="I811">
        <f>C811*D811*(1-VLOOKUP(A811,Orders!$A:$G,7,0))</f>
        <v>109.79199999999999</v>
      </c>
      <c r="J811" t="str">
        <f>VLOOKUP(A811,Orders!$A:$G,6,0)</f>
        <v>Lunch</v>
      </c>
      <c r="K811" t="str">
        <f>VLOOKUP(A811,Orders!$A:$G,5,0)</f>
        <v>Cash</v>
      </c>
    </row>
    <row r="812" spans="1:11" x14ac:dyDescent="0.3">
      <c r="A812" t="s">
        <v>353</v>
      </c>
      <c r="B812" t="s">
        <v>411</v>
      </c>
      <c r="C812">
        <v>3</v>
      </c>
      <c r="D812">
        <f>VLOOKUP(B812, Menu!$A:$F, 6, 0)</f>
        <v>22.2</v>
      </c>
      <c r="E812">
        <f>VLOOKUP(B812, Menu!$A:$F, 5, 0)</f>
        <v>9.3800000000000008</v>
      </c>
      <c r="F812" t="str">
        <f>VLOOKUP(B812, Menu!$A:$F, 3, 0)</f>
        <v>Beverage</v>
      </c>
      <c r="G812" s="5">
        <f>VLOOKUP(A812, Orders!$A:$B, 2, 0)</f>
        <v>45898.53292824074</v>
      </c>
      <c r="H812" t="str">
        <f>VLOOKUP(A812, Orders!$A:$C, 3, 0)</f>
        <v>Plant 2 Canteen</v>
      </c>
      <c r="I812">
        <f>C812*D812*(1-VLOOKUP(A812,Orders!$A:$G,7,0))</f>
        <v>63.269999999999989</v>
      </c>
      <c r="J812" t="str">
        <f>VLOOKUP(A812,Orders!$A:$G,6,0)</f>
        <v>Lunch</v>
      </c>
      <c r="K812" t="str">
        <f>VLOOKUP(A812,Orders!$A:$G,5,0)</f>
        <v>Card</v>
      </c>
    </row>
    <row r="813" spans="1:11" x14ac:dyDescent="0.3">
      <c r="A813" t="s">
        <v>354</v>
      </c>
      <c r="B813" t="s">
        <v>401</v>
      </c>
      <c r="C813">
        <v>2</v>
      </c>
      <c r="D813">
        <f>VLOOKUP(B813, Menu!$A:$F, 6, 0)</f>
        <v>52.45</v>
      </c>
      <c r="E813">
        <f>VLOOKUP(B813, Menu!$A:$F, 5, 0)</f>
        <v>25.8</v>
      </c>
      <c r="F813" t="str">
        <f>VLOOKUP(B813, Menu!$A:$F, 3, 0)</f>
        <v>Snack</v>
      </c>
      <c r="G813" s="5">
        <f>VLOOKUP(A813, Orders!$A:$B, 2, 0)</f>
        <v>45891.097337962958</v>
      </c>
      <c r="H813" t="str">
        <f>VLOOKUP(A813, Orders!$A:$C, 3, 0)</f>
        <v>Plant 1 Canteen</v>
      </c>
      <c r="I813">
        <f>C813*D813*(1-VLOOKUP(A813,Orders!$A:$G,7,0))</f>
        <v>97.557000000000002</v>
      </c>
      <c r="J813" t="str">
        <f>VLOOKUP(A813,Orders!$A:$G,6,0)</f>
        <v>Breakfast</v>
      </c>
      <c r="K813" t="str">
        <f>VLOOKUP(A813,Orders!$A:$G,5,0)</f>
        <v>Card</v>
      </c>
    </row>
    <row r="814" spans="1:11" x14ac:dyDescent="0.3">
      <c r="A814" t="s">
        <v>354</v>
      </c>
      <c r="B814" t="s">
        <v>417</v>
      </c>
      <c r="C814">
        <v>1</v>
      </c>
      <c r="D814">
        <f>VLOOKUP(B814, Menu!$A:$F, 6, 0)</f>
        <v>146.4</v>
      </c>
      <c r="E814">
        <f>VLOOKUP(B814, Menu!$A:$F, 5, 0)</f>
        <v>80.92</v>
      </c>
      <c r="F814" t="str">
        <f>VLOOKUP(B814, Menu!$A:$F, 3, 0)</f>
        <v>Hot Meal</v>
      </c>
      <c r="G814" s="5">
        <f>VLOOKUP(A814, Orders!$A:$B, 2, 0)</f>
        <v>45891.097337962958</v>
      </c>
      <c r="H814" t="str">
        <f>VLOOKUP(A814, Orders!$A:$C, 3, 0)</f>
        <v>Plant 1 Canteen</v>
      </c>
      <c r="I814">
        <f>C814*D814*(1-VLOOKUP(A814,Orders!$A:$G,7,0))</f>
        <v>136.15199999999999</v>
      </c>
      <c r="J814" t="str">
        <f>VLOOKUP(A814,Orders!$A:$G,6,0)</f>
        <v>Breakfast</v>
      </c>
      <c r="K814" t="str">
        <f>VLOOKUP(A814,Orders!$A:$G,5,0)</f>
        <v>Card</v>
      </c>
    </row>
    <row r="815" spans="1:11" x14ac:dyDescent="0.3">
      <c r="A815" t="s">
        <v>355</v>
      </c>
      <c r="B815" t="s">
        <v>404</v>
      </c>
      <c r="C815">
        <v>3</v>
      </c>
      <c r="D815">
        <f>VLOOKUP(B815, Menu!$A:$F, 6, 0)</f>
        <v>32.979999999999997</v>
      </c>
      <c r="E815">
        <f>VLOOKUP(B815, Menu!$A:$F, 5, 0)</f>
        <v>11.84</v>
      </c>
      <c r="F815" t="str">
        <f>VLOOKUP(B815, Menu!$A:$F, 3, 0)</f>
        <v>Beverage</v>
      </c>
      <c r="G815" s="5">
        <f>VLOOKUP(A815, Orders!$A:$B, 2, 0)</f>
        <v>45874.963807870372</v>
      </c>
      <c r="H815" t="str">
        <f>VLOOKUP(A815, Orders!$A:$C, 3, 0)</f>
        <v>Head Office Café</v>
      </c>
      <c r="I815">
        <f>C815*D815*(1-VLOOKUP(A815,Orders!$A:$G,7,0))</f>
        <v>95.971800000000002</v>
      </c>
      <c r="J815" t="str">
        <f>VLOOKUP(A815,Orders!$A:$G,6,0)</f>
        <v>Dinner</v>
      </c>
      <c r="K815" t="str">
        <f>VLOOKUP(A815,Orders!$A:$G,5,0)</f>
        <v>Card</v>
      </c>
    </row>
    <row r="816" spans="1:11" x14ac:dyDescent="0.3">
      <c r="A816" t="s">
        <v>355</v>
      </c>
      <c r="B816" t="s">
        <v>417</v>
      </c>
      <c r="C816">
        <v>1</v>
      </c>
      <c r="D816">
        <f>VLOOKUP(B816, Menu!$A:$F, 6, 0)</f>
        <v>146.4</v>
      </c>
      <c r="E816">
        <f>VLOOKUP(B816, Menu!$A:$F, 5, 0)</f>
        <v>80.92</v>
      </c>
      <c r="F816" t="str">
        <f>VLOOKUP(B816, Menu!$A:$F, 3, 0)</f>
        <v>Hot Meal</v>
      </c>
      <c r="G816" s="5">
        <f>VLOOKUP(A816, Orders!$A:$B, 2, 0)</f>
        <v>45874.963807870372</v>
      </c>
      <c r="H816" t="str">
        <f>VLOOKUP(A816, Orders!$A:$C, 3, 0)</f>
        <v>Head Office Café</v>
      </c>
      <c r="I816">
        <f>C816*D816*(1-VLOOKUP(A816,Orders!$A:$G,7,0))</f>
        <v>142.00800000000001</v>
      </c>
      <c r="J816" t="str">
        <f>VLOOKUP(A816,Orders!$A:$G,6,0)</f>
        <v>Dinner</v>
      </c>
      <c r="K816" t="str">
        <f>VLOOKUP(A816,Orders!$A:$G,5,0)</f>
        <v>Card</v>
      </c>
    </row>
    <row r="817" spans="1:11" x14ac:dyDescent="0.3">
      <c r="A817" t="s">
        <v>355</v>
      </c>
      <c r="B817" t="s">
        <v>413</v>
      </c>
      <c r="C817">
        <v>2</v>
      </c>
      <c r="D817">
        <f>VLOOKUP(B817, Menu!$A:$F, 6, 0)</f>
        <v>54.2</v>
      </c>
      <c r="E817">
        <f>VLOOKUP(B817, Menu!$A:$F, 5, 0)</f>
        <v>21.95</v>
      </c>
      <c r="F817" t="str">
        <f>VLOOKUP(B817, Menu!$A:$F, 3, 0)</f>
        <v>Dessert</v>
      </c>
      <c r="G817" s="5">
        <f>VLOOKUP(A817, Orders!$A:$B, 2, 0)</f>
        <v>45874.963807870372</v>
      </c>
      <c r="H817" t="str">
        <f>VLOOKUP(A817, Orders!$A:$C, 3, 0)</f>
        <v>Head Office Café</v>
      </c>
      <c r="I817">
        <f>C817*D817*(1-VLOOKUP(A817,Orders!$A:$G,7,0))</f>
        <v>105.148</v>
      </c>
      <c r="J817" t="str">
        <f>VLOOKUP(A817,Orders!$A:$G,6,0)</f>
        <v>Dinner</v>
      </c>
      <c r="K817" t="str">
        <f>VLOOKUP(A817,Orders!$A:$G,5,0)</f>
        <v>Card</v>
      </c>
    </row>
    <row r="818" spans="1:11" x14ac:dyDescent="0.3">
      <c r="A818" t="s">
        <v>355</v>
      </c>
      <c r="B818" t="s">
        <v>411</v>
      </c>
      <c r="C818">
        <v>2</v>
      </c>
      <c r="D818">
        <f>VLOOKUP(B818, Menu!$A:$F, 6, 0)</f>
        <v>22.2</v>
      </c>
      <c r="E818">
        <f>VLOOKUP(B818, Menu!$A:$F, 5, 0)</f>
        <v>9.3800000000000008</v>
      </c>
      <c r="F818" t="str">
        <f>VLOOKUP(B818, Menu!$A:$F, 3, 0)</f>
        <v>Beverage</v>
      </c>
      <c r="G818" s="5">
        <f>VLOOKUP(A818, Orders!$A:$B, 2, 0)</f>
        <v>45874.963807870372</v>
      </c>
      <c r="H818" t="str">
        <f>VLOOKUP(A818, Orders!$A:$C, 3, 0)</f>
        <v>Head Office Café</v>
      </c>
      <c r="I818">
        <f>C818*D818*(1-VLOOKUP(A818,Orders!$A:$G,7,0))</f>
        <v>43.067999999999998</v>
      </c>
      <c r="J818" t="str">
        <f>VLOOKUP(A818,Orders!$A:$G,6,0)</f>
        <v>Dinner</v>
      </c>
      <c r="K818" t="str">
        <f>VLOOKUP(A818,Orders!$A:$G,5,0)</f>
        <v>Card</v>
      </c>
    </row>
    <row r="819" spans="1:11" x14ac:dyDescent="0.3">
      <c r="A819" t="s">
        <v>356</v>
      </c>
      <c r="B819" t="s">
        <v>410</v>
      </c>
      <c r="C819">
        <v>2</v>
      </c>
      <c r="D819">
        <f>VLOOKUP(B819, Menu!$A:$F, 6, 0)</f>
        <v>20.11</v>
      </c>
      <c r="E819">
        <f>VLOOKUP(B819, Menu!$A:$F, 5, 0)</f>
        <v>8</v>
      </c>
      <c r="F819" t="str">
        <f>VLOOKUP(B819, Menu!$A:$F, 3, 0)</f>
        <v>Beverage</v>
      </c>
      <c r="G819" s="5">
        <f>VLOOKUP(A819, Orders!$A:$B, 2, 0)</f>
        <v>45866.607314814813</v>
      </c>
      <c r="H819" t="str">
        <f>VLOOKUP(A819, Orders!$A:$C, 3, 0)</f>
        <v>Plant 2 Canteen</v>
      </c>
      <c r="I819">
        <f>C819*D819*(1-VLOOKUP(A819,Orders!$A:$G,7,0))</f>
        <v>37.002400000000002</v>
      </c>
      <c r="J819" t="str">
        <f>VLOOKUP(A819,Orders!$A:$G,6,0)</f>
        <v>Lunch</v>
      </c>
      <c r="K819" t="str">
        <f>VLOOKUP(A819,Orders!$A:$G,5,0)</f>
        <v>UPI</v>
      </c>
    </row>
    <row r="820" spans="1:11" x14ac:dyDescent="0.3">
      <c r="A820" t="s">
        <v>356</v>
      </c>
      <c r="B820" t="s">
        <v>412</v>
      </c>
      <c r="C820">
        <v>1</v>
      </c>
      <c r="D820">
        <f>VLOOKUP(B820, Menu!$A:$F, 6, 0)</f>
        <v>57.07</v>
      </c>
      <c r="E820">
        <f>VLOOKUP(B820, Menu!$A:$F, 5, 0)</f>
        <v>29.14</v>
      </c>
      <c r="F820" t="str">
        <f>VLOOKUP(B820, Menu!$A:$F, 3, 0)</f>
        <v>Dessert</v>
      </c>
      <c r="G820" s="5">
        <f>VLOOKUP(A820, Orders!$A:$B, 2, 0)</f>
        <v>45866.607314814813</v>
      </c>
      <c r="H820" t="str">
        <f>VLOOKUP(A820, Orders!$A:$C, 3, 0)</f>
        <v>Plant 2 Canteen</v>
      </c>
      <c r="I820">
        <f>C820*D820*(1-VLOOKUP(A820,Orders!$A:$G,7,0))</f>
        <v>52.504400000000004</v>
      </c>
      <c r="J820" t="str">
        <f>VLOOKUP(A820,Orders!$A:$G,6,0)</f>
        <v>Lunch</v>
      </c>
      <c r="K820" t="str">
        <f>VLOOKUP(A820,Orders!$A:$G,5,0)</f>
        <v>UPI</v>
      </c>
    </row>
    <row r="821" spans="1:11" x14ac:dyDescent="0.3">
      <c r="A821" t="s">
        <v>357</v>
      </c>
      <c r="B821" t="s">
        <v>405</v>
      </c>
      <c r="C821">
        <v>2</v>
      </c>
      <c r="D821">
        <f>VLOOKUP(B821, Menu!$A:$F, 6, 0)</f>
        <v>170.83</v>
      </c>
      <c r="E821">
        <f>VLOOKUP(B821, Menu!$A:$F, 5, 0)</f>
        <v>74.069999999999993</v>
      </c>
      <c r="F821" t="str">
        <f>VLOOKUP(B821, Menu!$A:$F, 3, 0)</f>
        <v>Hot Meal</v>
      </c>
      <c r="G821" s="5">
        <f>VLOOKUP(A821, Orders!$A:$B, 2, 0)</f>
        <v>45854.984282407408</v>
      </c>
      <c r="H821" t="str">
        <f>VLOOKUP(A821, Orders!$A:$C, 3, 0)</f>
        <v>Plant 1 Canteen</v>
      </c>
      <c r="I821">
        <f>C821*D821*(1-VLOOKUP(A821,Orders!$A:$G,7,0))</f>
        <v>300.66080000000005</v>
      </c>
      <c r="J821" t="str">
        <f>VLOOKUP(A821,Orders!$A:$G,6,0)</f>
        <v>Dinner</v>
      </c>
      <c r="K821" t="str">
        <f>VLOOKUP(A821,Orders!$A:$G,5,0)</f>
        <v>Cash</v>
      </c>
    </row>
    <row r="822" spans="1:11" x14ac:dyDescent="0.3">
      <c r="A822" t="s">
        <v>358</v>
      </c>
      <c r="B822" t="s">
        <v>401</v>
      </c>
      <c r="C822">
        <v>2</v>
      </c>
      <c r="D822">
        <f>VLOOKUP(B822, Menu!$A:$F, 6, 0)</f>
        <v>52.45</v>
      </c>
      <c r="E822">
        <f>VLOOKUP(B822, Menu!$A:$F, 5, 0)</f>
        <v>25.8</v>
      </c>
      <c r="F822" t="str">
        <f>VLOOKUP(B822, Menu!$A:$F, 3, 0)</f>
        <v>Snack</v>
      </c>
      <c r="G822" s="5">
        <f>VLOOKUP(A822, Orders!$A:$B, 2, 0)</f>
        <v>45844.316145833327</v>
      </c>
      <c r="H822" t="str">
        <f>VLOOKUP(A822, Orders!$A:$C, 3, 0)</f>
        <v>Head Office Café</v>
      </c>
      <c r="I822">
        <f>C822*D822*(1-VLOOKUP(A822,Orders!$A:$G,7,0))</f>
        <v>98.605999999999995</v>
      </c>
      <c r="J822" t="str">
        <f>VLOOKUP(A822,Orders!$A:$G,6,0)</f>
        <v>Breakfast</v>
      </c>
      <c r="K822" t="str">
        <f>VLOOKUP(A822,Orders!$A:$G,5,0)</f>
        <v>Card</v>
      </c>
    </row>
    <row r="823" spans="1:11" x14ac:dyDescent="0.3">
      <c r="A823" t="s">
        <v>358</v>
      </c>
      <c r="B823" t="s">
        <v>409</v>
      </c>
      <c r="C823">
        <v>1</v>
      </c>
      <c r="D823">
        <f>VLOOKUP(B823, Menu!$A:$F, 6, 0)</f>
        <v>28.43</v>
      </c>
      <c r="E823">
        <f>VLOOKUP(B823, Menu!$A:$F, 5, 0)</f>
        <v>13.89</v>
      </c>
      <c r="F823" t="str">
        <f>VLOOKUP(B823, Menu!$A:$F, 3, 0)</f>
        <v>Beverage</v>
      </c>
      <c r="G823" s="5">
        <f>VLOOKUP(A823, Orders!$A:$B, 2, 0)</f>
        <v>45844.316145833327</v>
      </c>
      <c r="H823" t="str">
        <f>VLOOKUP(A823, Orders!$A:$C, 3, 0)</f>
        <v>Head Office Café</v>
      </c>
      <c r="I823">
        <f>C823*D823*(1-VLOOKUP(A823,Orders!$A:$G,7,0))</f>
        <v>26.7242</v>
      </c>
      <c r="J823" t="str">
        <f>VLOOKUP(A823,Orders!$A:$G,6,0)</f>
        <v>Breakfast</v>
      </c>
      <c r="K823" t="str">
        <f>VLOOKUP(A823,Orders!$A:$G,5,0)</f>
        <v>Card</v>
      </c>
    </row>
    <row r="824" spans="1:11" x14ac:dyDescent="0.3">
      <c r="A824" t="s">
        <v>358</v>
      </c>
      <c r="B824" t="s">
        <v>414</v>
      </c>
      <c r="C824">
        <v>3</v>
      </c>
      <c r="D824">
        <f>VLOOKUP(B824, Menu!$A:$F, 6, 0)</f>
        <v>116.8</v>
      </c>
      <c r="E824">
        <f>VLOOKUP(B824, Menu!$A:$F, 5, 0)</f>
        <v>48.97</v>
      </c>
      <c r="F824" t="str">
        <f>VLOOKUP(B824, Menu!$A:$F, 3, 0)</f>
        <v>Dessert</v>
      </c>
      <c r="G824" s="5">
        <f>VLOOKUP(A824, Orders!$A:$B, 2, 0)</f>
        <v>45844.316145833327</v>
      </c>
      <c r="H824" t="str">
        <f>VLOOKUP(A824, Orders!$A:$C, 3, 0)</f>
        <v>Head Office Café</v>
      </c>
      <c r="I824">
        <f>C824*D824*(1-VLOOKUP(A824,Orders!$A:$G,7,0))</f>
        <v>329.37599999999998</v>
      </c>
      <c r="J824" t="str">
        <f>VLOOKUP(A824,Orders!$A:$G,6,0)</f>
        <v>Breakfast</v>
      </c>
      <c r="K824" t="str">
        <f>VLOOKUP(A824,Orders!$A:$G,5,0)</f>
        <v>Card</v>
      </c>
    </row>
    <row r="825" spans="1:11" x14ac:dyDescent="0.3">
      <c r="A825" t="s">
        <v>358</v>
      </c>
      <c r="B825" t="s">
        <v>417</v>
      </c>
      <c r="C825">
        <v>1</v>
      </c>
      <c r="D825">
        <f>VLOOKUP(B825, Menu!$A:$F, 6, 0)</f>
        <v>146.4</v>
      </c>
      <c r="E825">
        <f>VLOOKUP(B825, Menu!$A:$F, 5, 0)</f>
        <v>80.92</v>
      </c>
      <c r="F825" t="str">
        <f>VLOOKUP(B825, Menu!$A:$F, 3, 0)</f>
        <v>Hot Meal</v>
      </c>
      <c r="G825" s="5">
        <f>VLOOKUP(A825, Orders!$A:$B, 2, 0)</f>
        <v>45844.316145833327</v>
      </c>
      <c r="H825" t="str">
        <f>VLOOKUP(A825, Orders!$A:$C, 3, 0)</f>
        <v>Head Office Café</v>
      </c>
      <c r="I825">
        <f>C825*D825*(1-VLOOKUP(A825,Orders!$A:$G,7,0))</f>
        <v>137.61599999999999</v>
      </c>
      <c r="J825" t="str">
        <f>VLOOKUP(A825,Orders!$A:$G,6,0)</f>
        <v>Breakfast</v>
      </c>
      <c r="K825" t="str">
        <f>VLOOKUP(A825,Orders!$A:$G,5,0)</f>
        <v>Card</v>
      </c>
    </row>
    <row r="826" spans="1:11" x14ac:dyDescent="0.3">
      <c r="A826" t="s">
        <v>359</v>
      </c>
      <c r="B826" t="s">
        <v>407</v>
      </c>
      <c r="C826">
        <v>1</v>
      </c>
      <c r="D826">
        <f>VLOOKUP(B826, Menu!$A:$F, 6, 0)</f>
        <v>246.09</v>
      </c>
      <c r="E826">
        <f>VLOOKUP(B826, Menu!$A:$F, 5, 0)</f>
        <v>112.08</v>
      </c>
      <c r="F826" t="str">
        <f>VLOOKUP(B826, Menu!$A:$F, 3, 0)</f>
        <v>Hot Meal</v>
      </c>
      <c r="G826" s="5">
        <f>VLOOKUP(A826, Orders!$A:$B, 2, 0)</f>
        <v>45849.210474537038</v>
      </c>
      <c r="H826" t="str">
        <f>VLOOKUP(A826, Orders!$A:$C, 3, 0)</f>
        <v>Head Office Café</v>
      </c>
      <c r="I826">
        <f>C826*D826*(1-VLOOKUP(A826,Orders!$A:$G,7,0))</f>
        <v>226.40280000000001</v>
      </c>
      <c r="J826" t="str">
        <f>VLOOKUP(A826,Orders!$A:$G,6,0)</f>
        <v>Breakfast</v>
      </c>
      <c r="K826" t="str">
        <f>VLOOKUP(A826,Orders!$A:$G,5,0)</f>
        <v>Cash</v>
      </c>
    </row>
    <row r="827" spans="1:11" x14ac:dyDescent="0.3">
      <c r="A827" t="s">
        <v>359</v>
      </c>
      <c r="B827" t="s">
        <v>411</v>
      </c>
      <c r="C827">
        <v>2</v>
      </c>
      <c r="D827">
        <f>VLOOKUP(B827, Menu!$A:$F, 6, 0)</f>
        <v>22.2</v>
      </c>
      <c r="E827">
        <f>VLOOKUP(B827, Menu!$A:$F, 5, 0)</f>
        <v>9.3800000000000008</v>
      </c>
      <c r="F827" t="str">
        <f>VLOOKUP(B827, Menu!$A:$F, 3, 0)</f>
        <v>Beverage</v>
      </c>
      <c r="G827" s="5">
        <f>VLOOKUP(A827, Orders!$A:$B, 2, 0)</f>
        <v>45849.210474537038</v>
      </c>
      <c r="H827" t="str">
        <f>VLOOKUP(A827, Orders!$A:$C, 3, 0)</f>
        <v>Head Office Café</v>
      </c>
      <c r="I827">
        <f>C827*D827*(1-VLOOKUP(A827,Orders!$A:$G,7,0))</f>
        <v>40.847999999999999</v>
      </c>
      <c r="J827" t="str">
        <f>VLOOKUP(A827,Orders!$A:$G,6,0)</f>
        <v>Breakfast</v>
      </c>
      <c r="K827" t="str">
        <f>VLOOKUP(A827,Orders!$A:$G,5,0)</f>
        <v>Cash</v>
      </c>
    </row>
    <row r="828" spans="1:11" x14ac:dyDescent="0.3">
      <c r="A828" t="s">
        <v>359</v>
      </c>
      <c r="B828" t="s">
        <v>409</v>
      </c>
      <c r="C828">
        <v>3</v>
      </c>
      <c r="D828">
        <f>VLOOKUP(B828, Menu!$A:$F, 6, 0)</f>
        <v>28.43</v>
      </c>
      <c r="E828">
        <f>VLOOKUP(B828, Menu!$A:$F, 5, 0)</f>
        <v>13.89</v>
      </c>
      <c r="F828" t="str">
        <f>VLOOKUP(B828, Menu!$A:$F, 3, 0)</f>
        <v>Beverage</v>
      </c>
      <c r="G828" s="5">
        <f>VLOOKUP(A828, Orders!$A:$B, 2, 0)</f>
        <v>45849.210474537038</v>
      </c>
      <c r="H828" t="str">
        <f>VLOOKUP(A828, Orders!$A:$C, 3, 0)</f>
        <v>Head Office Café</v>
      </c>
      <c r="I828">
        <f>C828*D828*(1-VLOOKUP(A828,Orders!$A:$G,7,0))</f>
        <v>78.466799999999992</v>
      </c>
      <c r="J828" t="str">
        <f>VLOOKUP(A828,Orders!$A:$G,6,0)</f>
        <v>Breakfast</v>
      </c>
      <c r="K828" t="str">
        <f>VLOOKUP(A828,Orders!$A:$G,5,0)</f>
        <v>Cash</v>
      </c>
    </row>
    <row r="829" spans="1:11" x14ac:dyDescent="0.3">
      <c r="A829" t="s">
        <v>359</v>
      </c>
      <c r="B829" t="s">
        <v>414</v>
      </c>
      <c r="C829">
        <v>3</v>
      </c>
      <c r="D829">
        <f>VLOOKUP(B829, Menu!$A:$F, 6, 0)</f>
        <v>116.8</v>
      </c>
      <c r="E829">
        <f>VLOOKUP(B829, Menu!$A:$F, 5, 0)</f>
        <v>48.97</v>
      </c>
      <c r="F829" t="str">
        <f>VLOOKUP(B829, Menu!$A:$F, 3, 0)</f>
        <v>Dessert</v>
      </c>
      <c r="G829" s="5">
        <f>VLOOKUP(A829, Orders!$A:$B, 2, 0)</f>
        <v>45849.210474537038</v>
      </c>
      <c r="H829" t="str">
        <f>VLOOKUP(A829, Orders!$A:$C, 3, 0)</f>
        <v>Head Office Café</v>
      </c>
      <c r="I829">
        <f>C829*D829*(1-VLOOKUP(A829,Orders!$A:$G,7,0))</f>
        <v>322.36799999999999</v>
      </c>
      <c r="J829" t="str">
        <f>VLOOKUP(A829,Orders!$A:$G,6,0)</f>
        <v>Breakfast</v>
      </c>
      <c r="K829" t="str">
        <f>VLOOKUP(A829,Orders!$A:$G,5,0)</f>
        <v>Cash</v>
      </c>
    </row>
    <row r="830" spans="1:11" x14ac:dyDescent="0.3">
      <c r="A830" t="s">
        <v>360</v>
      </c>
      <c r="B830" t="s">
        <v>414</v>
      </c>
      <c r="C830">
        <v>1</v>
      </c>
      <c r="D830">
        <f>VLOOKUP(B830, Menu!$A:$F, 6, 0)</f>
        <v>116.8</v>
      </c>
      <c r="E830">
        <f>VLOOKUP(B830, Menu!$A:$F, 5, 0)</f>
        <v>48.97</v>
      </c>
      <c r="F830" t="str">
        <f>VLOOKUP(B830, Menu!$A:$F, 3, 0)</f>
        <v>Dessert</v>
      </c>
      <c r="G830" s="5">
        <f>VLOOKUP(A830, Orders!$A:$B, 2, 0)</f>
        <v>45847.393460648149</v>
      </c>
      <c r="H830" t="str">
        <f>VLOOKUP(A830, Orders!$A:$C, 3, 0)</f>
        <v>Plant 1 Canteen</v>
      </c>
      <c r="I830">
        <f>C830*D830*(1-VLOOKUP(A830,Orders!$A:$G,7,0))</f>
        <v>106.288</v>
      </c>
      <c r="J830" t="str">
        <f>VLOOKUP(A830,Orders!$A:$G,6,0)</f>
        <v>Breakfast</v>
      </c>
      <c r="K830" t="str">
        <f>VLOOKUP(A830,Orders!$A:$G,5,0)</f>
        <v>Card</v>
      </c>
    </row>
    <row r="831" spans="1:11" x14ac:dyDescent="0.3">
      <c r="A831" t="s">
        <v>360</v>
      </c>
      <c r="B831" t="s">
        <v>409</v>
      </c>
      <c r="C831">
        <v>2</v>
      </c>
      <c r="D831">
        <f>VLOOKUP(B831, Menu!$A:$F, 6, 0)</f>
        <v>28.43</v>
      </c>
      <c r="E831">
        <f>VLOOKUP(B831, Menu!$A:$F, 5, 0)</f>
        <v>13.89</v>
      </c>
      <c r="F831" t="str">
        <f>VLOOKUP(B831, Menu!$A:$F, 3, 0)</f>
        <v>Beverage</v>
      </c>
      <c r="G831" s="5">
        <f>VLOOKUP(A831, Orders!$A:$B, 2, 0)</f>
        <v>45847.393460648149</v>
      </c>
      <c r="H831" t="str">
        <f>VLOOKUP(A831, Orders!$A:$C, 3, 0)</f>
        <v>Plant 1 Canteen</v>
      </c>
      <c r="I831">
        <f>C831*D831*(1-VLOOKUP(A831,Orders!$A:$G,7,0))</f>
        <v>51.742600000000003</v>
      </c>
      <c r="J831" t="str">
        <f>VLOOKUP(A831,Orders!$A:$G,6,0)</f>
        <v>Breakfast</v>
      </c>
      <c r="K831" t="str">
        <f>VLOOKUP(A831,Orders!$A:$G,5,0)</f>
        <v>Card</v>
      </c>
    </row>
    <row r="832" spans="1:11" x14ac:dyDescent="0.3">
      <c r="A832" t="s">
        <v>361</v>
      </c>
      <c r="B832" t="s">
        <v>416</v>
      </c>
      <c r="C832">
        <v>1</v>
      </c>
      <c r="D832">
        <f>VLOOKUP(B832, Menu!$A:$F, 6, 0)</f>
        <v>227.61</v>
      </c>
      <c r="E832">
        <f>VLOOKUP(B832, Menu!$A:$F, 5, 0)</f>
        <v>96.22</v>
      </c>
      <c r="F832" t="str">
        <f>VLOOKUP(B832, Menu!$A:$F, 3, 0)</f>
        <v>Hot Meal</v>
      </c>
      <c r="G832" s="5">
        <f>VLOOKUP(A832, Orders!$A:$B, 2, 0)</f>
        <v>45853.556134259263</v>
      </c>
      <c r="H832" t="str">
        <f>VLOOKUP(A832, Orders!$A:$C, 3, 0)</f>
        <v>Plant 2 Canteen</v>
      </c>
      <c r="I832">
        <f>C832*D832*(1-VLOOKUP(A832,Orders!$A:$G,7,0))</f>
        <v>218.50560000000002</v>
      </c>
      <c r="J832" t="str">
        <f>VLOOKUP(A832,Orders!$A:$G,6,0)</f>
        <v>Lunch</v>
      </c>
      <c r="K832" t="str">
        <f>VLOOKUP(A832,Orders!$A:$G,5,0)</f>
        <v>Cash</v>
      </c>
    </row>
    <row r="833" spans="1:11" x14ac:dyDescent="0.3">
      <c r="A833" t="s">
        <v>361</v>
      </c>
      <c r="B833" t="s">
        <v>419</v>
      </c>
      <c r="C833">
        <v>3</v>
      </c>
      <c r="D833">
        <f>VLOOKUP(B833, Menu!$A:$F, 6, 0)</f>
        <v>50.19</v>
      </c>
      <c r="E833">
        <f>VLOOKUP(B833, Menu!$A:$F, 5, 0)</f>
        <v>22.61</v>
      </c>
      <c r="F833" t="str">
        <f>VLOOKUP(B833, Menu!$A:$F, 3, 0)</f>
        <v>Snack</v>
      </c>
      <c r="G833" s="5">
        <f>VLOOKUP(A833, Orders!$A:$B, 2, 0)</f>
        <v>45853.556134259263</v>
      </c>
      <c r="H833" t="str">
        <f>VLOOKUP(A833, Orders!$A:$C, 3, 0)</f>
        <v>Plant 2 Canteen</v>
      </c>
      <c r="I833">
        <f>C833*D833*(1-VLOOKUP(A833,Orders!$A:$G,7,0))</f>
        <v>144.54719999999998</v>
      </c>
      <c r="J833" t="str">
        <f>VLOOKUP(A833,Orders!$A:$G,6,0)</f>
        <v>Lunch</v>
      </c>
      <c r="K833" t="str">
        <f>VLOOKUP(A833,Orders!$A:$G,5,0)</f>
        <v>Cash</v>
      </c>
    </row>
    <row r="834" spans="1:11" x14ac:dyDescent="0.3">
      <c r="A834" t="s">
        <v>361</v>
      </c>
      <c r="B834" t="s">
        <v>408</v>
      </c>
      <c r="C834">
        <v>2</v>
      </c>
      <c r="D834">
        <f>VLOOKUP(B834, Menu!$A:$F, 6, 0)</f>
        <v>70.540000000000006</v>
      </c>
      <c r="E834">
        <f>VLOOKUP(B834, Menu!$A:$F, 5, 0)</f>
        <v>35.81</v>
      </c>
      <c r="F834" t="str">
        <f>VLOOKUP(B834, Menu!$A:$F, 3, 0)</f>
        <v>Snack</v>
      </c>
      <c r="G834" s="5">
        <f>VLOOKUP(A834, Orders!$A:$B, 2, 0)</f>
        <v>45853.556134259263</v>
      </c>
      <c r="H834" t="str">
        <f>VLOOKUP(A834, Orders!$A:$C, 3, 0)</f>
        <v>Plant 2 Canteen</v>
      </c>
      <c r="I834">
        <f>C834*D834*(1-VLOOKUP(A834,Orders!$A:$G,7,0))</f>
        <v>135.43680000000001</v>
      </c>
      <c r="J834" t="str">
        <f>VLOOKUP(A834,Orders!$A:$G,6,0)</f>
        <v>Lunch</v>
      </c>
      <c r="K834" t="str">
        <f>VLOOKUP(A834,Orders!$A:$G,5,0)</f>
        <v>Cash</v>
      </c>
    </row>
    <row r="835" spans="1:11" x14ac:dyDescent="0.3">
      <c r="A835" t="s">
        <v>362</v>
      </c>
      <c r="B835" t="s">
        <v>419</v>
      </c>
      <c r="C835">
        <v>1</v>
      </c>
      <c r="D835">
        <f>VLOOKUP(B835, Menu!$A:$F, 6, 0)</f>
        <v>50.19</v>
      </c>
      <c r="E835">
        <f>VLOOKUP(B835, Menu!$A:$F, 5, 0)</f>
        <v>22.61</v>
      </c>
      <c r="F835" t="str">
        <f>VLOOKUP(B835, Menu!$A:$F, 3, 0)</f>
        <v>Snack</v>
      </c>
      <c r="G835" s="5">
        <f>VLOOKUP(A835, Orders!$A:$B, 2, 0)</f>
        <v>45873.191342592603</v>
      </c>
      <c r="H835" t="str">
        <f>VLOOKUP(A835, Orders!$A:$C, 3, 0)</f>
        <v>Plant 1 Canteen</v>
      </c>
      <c r="I835">
        <f>C835*D835*(1-VLOOKUP(A835,Orders!$A:$G,7,0))</f>
        <v>46.676699999999997</v>
      </c>
      <c r="J835" t="str">
        <f>VLOOKUP(A835,Orders!$A:$G,6,0)</f>
        <v>Breakfast</v>
      </c>
      <c r="K835" t="str">
        <f>VLOOKUP(A835,Orders!$A:$G,5,0)</f>
        <v>Cash</v>
      </c>
    </row>
    <row r="836" spans="1:11" x14ac:dyDescent="0.3">
      <c r="A836" t="s">
        <v>363</v>
      </c>
      <c r="B836" t="s">
        <v>410</v>
      </c>
      <c r="C836">
        <v>1</v>
      </c>
      <c r="D836">
        <f>VLOOKUP(B836, Menu!$A:$F, 6, 0)</f>
        <v>20.11</v>
      </c>
      <c r="E836">
        <f>VLOOKUP(B836, Menu!$A:$F, 5, 0)</f>
        <v>8</v>
      </c>
      <c r="F836" t="str">
        <f>VLOOKUP(B836, Menu!$A:$F, 3, 0)</f>
        <v>Beverage</v>
      </c>
      <c r="G836" s="5">
        <f>VLOOKUP(A836, Orders!$A:$B, 2, 0)</f>
        <v>45887.990046296298</v>
      </c>
      <c r="H836" t="str">
        <f>VLOOKUP(A836, Orders!$A:$C, 3, 0)</f>
        <v>Plant 2 Canteen</v>
      </c>
      <c r="I836">
        <f>C836*D836*(1-VLOOKUP(A836,Orders!$A:$G,7,0))</f>
        <v>18.903399999999998</v>
      </c>
      <c r="J836" t="str">
        <f>VLOOKUP(A836,Orders!$A:$G,6,0)</f>
        <v>Dinner</v>
      </c>
      <c r="K836" t="str">
        <f>VLOOKUP(A836,Orders!$A:$G,5,0)</f>
        <v>Card</v>
      </c>
    </row>
    <row r="837" spans="1:11" x14ac:dyDescent="0.3">
      <c r="A837" t="s">
        <v>364</v>
      </c>
      <c r="B837" t="s">
        <v>406</v>
      </c>
      <c r="C837">
        <v>1</v>
      </c>
      <c r="D837">
        <f>VLOOKUP(B837, Menu!$A:$F, 6, 0)</f>
        <v>38.06</v>
      </c>
      <c r="E837">
        <f>VLOOKUP(B837, Menu!$A:$F, 5, 0)</f>
        <v>19.55</v>
      </c>
      <c r="F837" t="str">
        <f>VLOOKUP(B837, Menu!$A:$F, 3, 0)</f>
        <v>Snack</v>
      </c>
      <c r="G837" s="5">
        <f>VLOOKUP(A837, Orders!$A:$B, 2, 0)</f>
        <v>45875.650405092587</v>
      </c>
      <c r="H837" t="str">
        <f>VLOOKUP(A837, Orders!$A:$C, 3, 0)</f>
        <v>Plant 1 Canteen</v>
      </c>
      <c r="I837">
        <f>C837*D837*(1-VLOOKUP(A837,Orders!$A:$G,7,0))</f>
        <v>35.776400000000002</v>
      </c>
      <c r="J837" t="str">
        <f>VLOOKUP(A837,Orders!$A:$G,6,0)</f>
        <v>Lunch</v>
      </c>
      <c r="K837" t="str">
        <f>VLOOKUP(A837,Orders!$A:$G,5,0)</f>
        <v>Card</v>
      </c>
    </row>
    <row r="838" spans="1:11" x14ac:dyDescent="0.3">
      <c r="A838" t="s">
        <v>364</v>
      </c>
      <c r="B838" t="s">
        <v>409</v>
      </c>
      <c r="C838">
        <v>1</v>
      </c>
      <c r="D838">
        <f>VLOOKUP(B838, Menu!$A:$F, 6, 0)</f>
        <v>28.43</v>
      </c>
      <c r="E838">
        <f>VLOOKUP(B838, Menu!$A:$F, 5, 0)</f>
        <v>13.89</v>
      </c>
      <c r="F838" t="str">
        <f>VLOOKUP(B838, Menu!$A:$F, 3, 0)</f>
        <v>Beverage</v>
      </c>
      <c r="G838" s="5">
        <f>VLOOKUP(A838, Orders!$A:$B, 2, 0)</f>
        <v>45875.650405092587</v>
      </c>
      <c r="H838" t="str">
        <f>VLOOKUP(A838, Orders!$A:$C, 3, 0)</f>
        <v>Plant 1 Canteen</v>
      </c>
      <c r="I838">
        <f>C838*D838*(1-VLOOKUP(A838,Orders!$A:$G,7,0))</f>
        <v>26.7242</v>
      </c>
      <c r="J838" t="str">
        <f>VLOOKUP(A838,Orders!$A:$G,6,0)</f>
        <v>Lunch</v>
      </c>
      <c r="K838" t="str">
        <f>VLOOKUP(A838,Orders!$A:$G,5,0)</f>
        <v>Card</v>
      </c>
    </row>
    <row r="839" spans="1:11" x14ac:dyDescent="0.3">
      <c r="A839" t="s">
        <v>364</v>
      </c>
      <c r="B839" t="s">
        <v>419</v>
      </c>
      <c r="C839">
        <v>1</v>
      </c>
      <c r="D839">
        <f>VLOOKUP(B839, Menu!$A:$F, 6, 0)</f>
        <v>50.19</v>
      </c>
      <c r="E839">
        <f>VLOOKUP(B839, Menu!$A:$F, 5, 0)</f>
        <v>22.61</v>
      </c>
      <c r="F839" t="str">
        <f>VLOOKUP(B839, Menu!$A:$F, 3, 0)</f>
        <v>Snack</v>
      </c>
      <c r="G839" s="5">
        <f>VLOOKUP(A839, Orders!$A:$B, 2, 0)</f>
        <v>45875.650405092587</v>
      </c>
      <c r="H839" t="str">
        <f>VLOOKUP(A839, Orders!$A:$C, 3, 0)</f>
        <v>Plant 1 Canteen</v>
      </c>
      <c r="I839">
        <f>C839*D839*(1-VLOOKUP(A839,Orders!$A:$G,7,0))</f>
        <v>47.178599999999996</v>
      </c>
      <c r="J839" t="str">
        <f>VLOOKUP(A839,Orders!$A:$G,6,0)</f>
        <v>Lunch</v>
      </c>
      <c r="K839" t="str">
        <f>VLOOKUP(A839,Orders!$A:$G,5,0)</f>
        <v>Card</v>
      </c>
    </row>
    <row r="840" spans="1:11" x14ac:dyDescent="0.3">
      <c r="A840" t="s">
        <v>365</v>
      </c>
      <c r="B840" t="s">
        <v>417</v>
      </c>
      <c r="C840">
        <v>2</v>
      </c>
      <c r="D840">
        <f>VLOOKUP(B840, Menu!$A:$F, 6, 0)</f>
        <v>146.4</v>
      </c>
      <c r="E840">
        <f>VLOOKUP(B840, Menu!$A:$F, 5, 0)</f>
        <v>80.92</v>
      </c>
      <c r="F840" t="str">
        <f>VLOOKUP(B840, Menu!$A:$F, 3, 0)</f>
        <v>Hot Meal</v>
      </c>
      <c r="G840" s="5">
        <f>VLOOKUP(A840, Orders!$A:$B, 2, 0)</f>
        <v>45871.803460648152</v>
      </c>
      <c r="H840" t="str">
        <f>VLOOKUP(A840, Orders!$A:$C, 3, 0)</f>
        <v>Plant 1 Canteen</v>
      </c>
      <c r="I840">
        <f>C840*D840*(1-VLOOKUP(A840,Orders!$A:$G,7,0))</f>
        <v>284.01600000000002</v>
      </c>
      <c r="J840" t="str">
        <f>VLOOKUP(A840,Orders!$A:$G,6,0)</f>
        <v>Dinner</v>
      </c>
      <c r="K840" t="str">
        <f>VLOOKUP(A840,Orders!$A:$G,5,0)</f>
        <v>Cash</v>
      </c>
    </row>
    <row r="841" spans="1:11" x14ac:dyDescent="0.3">
      <c r="A841" t="s">
        <v>366</v>
      </c>
      <c r="B841" t="s">
        <v>413</v>
      </c>
      <c r="C841">
        <v>1</v>
      </c>
      <c r="D841">
        <f>VLOOKUP(B841, Menu!$A:$F, 6, 0)</f>
        <v>54.2</v>
      </c>
      <c r="E841">
        <f>VLOOKUP(B841, Menu!$A:$F, 5, 0)</f>
        <v>21.95</v>
      </c>
      <c r="F841" t="str">
        <f>VLOOKUP(B841, Menu!$A:$F, 3, 0)</f>
        <v>Dessert</v>
      </c>
      <c r="G841" s="5">
        <f>VLOOKUP(A841, Orders!$A:$B, 2, 0)</f>
        <v>45885.120821759258</v>
      </c>
      <c r="H841" t="str">
        <f>VLOOKUP(A841, Orders!$A:$C, 3, 0)</f>
        <v>Head Office Café</v>
      </c>
      <c r="I841">
        <f>C841*D841*(1-VLOOKUP(A841,Orders!$A:$G,7,0))</f>
        <v>50.948</v>
      </c>
      <c r="J841" t="str">
        <f>VLOOKUP(A841,Orders!$A:$G,6,0)</f>
        <v>Breakfast</v>
      </c>
      <c r="K841" t="str">
        <f>VLOOKUP(A841,Orders!$A:$G,5,0)</f>
        <v>UPI</v>
      </c>
    </row>
    <row r="842" spans="1:11" x14ac:dyDescent="0.3">
      <c r="A842" t="s">
        <v>366</v>
      </c>
      <c r="B842" t="s">
        <v>417</v>
      </c>
      <c r="C842">
        <v>3</v>
      </c>
      <c r="D842">
        <f>VLOOKUP(B842, Menu!$A:$F, 6, 0)</f>
        <v>146.4</v>
      </c>
      <c r="E842">
        <f>VLOOKUP(B842, Menu!$A:$F, 5, 0)</f>
        <v>80.92</v>
      </c>
      <c r="F842" t="str">
        <f>VLOOKUP(B842, Menu!$A:$F, 3, 0)</f>
        <v>Hot Meal</v>
      </c>
      <c r="G842" s="5">
        <f>VLOOKUP(A842, Orders!$A:$B, 2, 0)</f>
        <v>45885.120821759258</v>
      </c>
      <c r="H842" t="str">
        <f>VLOOKUP(A842, Orders!$A:$C, 3, 0)</f>
        <v>Head Office Café</v>
      </c>
      <c r="I842">
        <f>C842*D842*(1-VLOOKUP(A842,Orders!$A:$G,7,0))</f>
        <v>412.84800000000001</v>
      </c>
      <c r="J842" t="str">
        <f>VLOOKUP(A842,Orders!$A:$G,6,0)</f>
        <v>Breakfast</v>
      </c>
      <c r="K842" t="str">
        <f>VLOOKUP(A842,Orders!$A:$G,5,0)</f>
        <v>UPI</v>
      </c>
    </row>
    <row r="843" spans="1:11" x14ac:dyDescent="0.3">
      <c r="A843" t="s">
        <v>366</v>
      </c>
      <c r="B843" t="s">
        <v>401</v>
      </c>
      <c r="C843">
        <v>1</v>
      </c>
      <c r="D843">
        <f>VLOOKUP(B843, Menu!$A:$F, 6, 0)</f>
        <v>52.45</v>
      </c>
      <c r="E843">
        <f>VLOOKUP(B843, Menu!$A:$F, 5, 0)</f>
        <v>25.8</v>
      </c>
      <c r="F843" t="str">
        <f>VLOOKUP(B843, Menu!$A:$F, 3, 0)</f>
        <v>Snack</v>
      </c>
      <c r="G843" s="5">
        <f>VLOOKUP(A843, Orders!$A:$B, 2, 0)</f>
        <v>45885.120821759258</v>
      </c>
      <c r="H843" t="str">
        <f>VLOOKUP(A843, Orders!$A:$C, 3, 0)</f>
        <v>Head Office Café</v>
      </c>
      <c r="I843">
        <f>C843*D843*(1-VLOOKUP(A843,Orders!$A:$G,7,0))</f>
        <v>49.302999999999997</v>
      </c>
      <c r="J843" t="str">
        <f>VLOOKUP(A843,Orders!$A:$G,6,0)</f>
        <v>Breakfast</v>
      </c>
      <c r="K843" t="str">
        <f>VLOOKUP(A843,Orders!$A:$G,5,0)</f>
        <v>UPI</v>
      </c>
    </row>
    <row r="844" spans="1:11" x14ac:dyDescent="0.3">
      <c r="A844" t="s">
        <v>367</v>
      </c>
      <c r="B844" t="s">
        <v>410</v>
      </c>
      <c r="C844">
        <v>2</v>
      </c>
      <c r="D844">
        <f>VLOOKUP(B844, Menu!$A:$F, 6, 0)</f>
        <v>20.11</v>
      </c>
      <c r="E844">
        <f>VLOOKUP(B844, Menu!$A:$F, 5, 0)</f>
        <v>8</v>
      </c>
      <c r="F844" t="str">
        <f>VLOOKUP(B844, Menu!$A:$F, 3, 0)</f>
        <v>Beverage</v>
      </c>
      <c r="G844" s="5">
        <f>VLOOKUP(A844, Orders!$A:$B, 2, 0)</f>
        <v>45882.804872685178</v>
      </c>
      <c r="H844" t="str">
        <f>VLOOKUP(A844, Orders!$A:$C, 3, 0)</f>
        <v>Head Office Café</v>
      </c>
      <c r="I844">
        <f>C844*D844*(1-VLOOKUP(A844,Orders!$A:$G,7,0))</f>
        <v>37.002400000000002</v>
      </c>
      <c r="J844" t="str">
        <f>VLOOKUP(A844,Orders!$A:$G,6,0)</f>
        <v>Dinner</v>
      </c>
      <c r="K844" t="str">
        <f>VLOOKUP(A844,Orders!$A:$G,5,0)</f>
        <v>Cash</v>
      </c>
    </row>
    <row r="845" spans="1:11" x14ac:dyDescent="0.3">
      <c r="A845" t="s">
        <v>367</v>
      </c>
      <c r="B845" t="s">
        <v>405</v>
      </c>
      <c r="C845">
        <v>1</v>
      </c>
      <c r="D845">
        <f>VLOOKUP(B845, Menu!$A:$F, 6, 0)</f>
        <v>170.83</v>
      </c>
      <c r="E845">
        <f>VLOOKUP(B845, Menu!$A:$F, 5, 0)</f>
        <v>74.069999999999993</v>
      </c>
      <c r="F845" t="str">
        <f>VLOOKUP(B845, Menu!$A:$F, 3, 0)</f>
        <v>Hot Meal</v>
      </c>
      <c r="G845" s="5">
        <f>VLOOKUP(A845, Orders!$A:$B, 2, 0)</f>
        <v>45882.804872685178</v>
      </c>
      <c r="H845" t="str">
        <f>VLOOKUP(A845, Orders!$A:$C, 3, 0)</f>
        <v>Head Office Café</v>
      </c>
      <c r="I845">
        <f>C845*D845*(1-VLOOKUP(A845,Orders!$A:$G,7,0))</f>
        <v>157.16360000000003</v>
      </c>
      <c r="J845" t="str">
        <f>VLOOKUP(A845,Orders!$A:$G,6,0)</f>
        <v>Dinner</v>
      </c>
      <c r="K845" t="str">
        <f>VLOOKUP(A845,Orders!$A:$G,5,0)</f>
        <v>Cash</v>
      </c>
    </row>
    <row r="846" spans="1:11" x14ac:dyDescent="0.3">
      <c r="A846" t="s">
        <v>367</v>
      </c>
      <c r="B846" t="s">
        <v>415</v>
      </c>
      <c r="C846">
        <v>2</v>
      </c>
      <c r="D846">
        <f>VLOOKUP(B846, Menu!$A:$F, 6, 0)</f>
        <v>256.91000000000003</v>
      </c>
      <c r="E846">
        <f>VLOOKUP(B846, Menu!$A:$F, 5, 0)</f>
        <v>121.24</v>
      </c>
      <c r="F846" t="str">
        <f>VLOOKUP(B846, Menu!$A:$F, 3, 0)</f>
        <v>Hot Meal</v>
      </c>
      <c r="G846" s="5">
        <f>VLOOKUP(A846, Orders!$A:$B, 2, 0)</f>
        <v>45882.804872685178</v>
      </c>
      <c r="H846" t="str">
        <f>VLOOKUP(A846, Orders!$A:$C, 3, 0)</f>
        <v>Head Office Café</v>
      </c>
      <c r="I846">
        <f>C846*D846*(1-VLOOKUP(A846,Orders!$A:$G,7,0))</f>
        <v>472.71440000000007</v>
      </c>
      <c r="J846" t="str">
        <f>VLOOKUP(A846,Orders!$A:$G,6,0)</f>
        <v>Dinner</v>
      </c>
      <c r="K846" t="str">
        <f>VLOOKUP(A846,Orders!$A:$G,5,0)</f>
        <v>Cash</v>
      </c>
    </row>
    <row r="847" spans="1:11" x14ac:dyDescent="0.3">
      <c r="A847" t="s">
        <v>368</v>
      </c>
      <c r="B847" t="s">
        <v>406</v>
      </c>
      <c r="C847">
        <v>2</v>
      </c>
      <c r="D847">
        <f>VLOOKUP(B847, Menu!$A:$F, 6, 0)</f>
        <v>38.06</v>
      </c>
      <c r="E847">
        <f>VLOOKUP(B847, Menu!$A:$F, 5, 0)</f>
        <v>19.55</v>
      </c>
      <c r="F847" t="str">
        <f>VLOOKUP(B847, Menu!$A:$F, 3, 0)</f>
        <v>Snack</v>
      </c>
      <c r="G847" s="5">
        <f>VLOOKUP(A847, Orders!$A:$B, 2, 0)</f>
        <v>45864.097743055558</v>
      </c>
      <c r="H847" t="str">
        <f>VLOOKUP(A847, Orders!$A:$C, 3, 0)</f>
        <v>Plant 1 Canteen</v>
      </c>
      <c r="I847">
        <f>C847*D847*(1-VLOOKUP(A847,Orders!$A:$G,7,0))</f>
        <v>66.985600000000005</v>
      </c>
      <c r="J847" t="str">
        <f>VLOOKUP(A847,Orders!$A:$G,6,0)</f>
        <v>Breakfast</v>
      </c>
      <c r="K847" t="str">
        <f>VLOOKUP(A847,Orders!$A:$G,5,0)</f>
        <v>UPI</v>
      </c>
    </row>
    <row r="848" spans="1:11" x14ac:dyDescent="0.3">
      <c r="A848" t="s">
        <v>368</v>
      </c>
      <c r="B848" t="s">
        <v>407</v>
      </c>
      <c r="C848">
        <v>1</v>
      </c>
      <c r="D848">
        <f>VLOOKUP(B848, Menu!$A:$F, 6, 0)</f>
        <v>246.09</v>
      </c>
      <c r="E848">
        <f>VLOOKUP(B848, Menu!$A:$F, 5, 0)</f>
        <v>112.08</v>
      </c>
      <c r="F848" t="str">
        <f>VLOOKUP(B848, Menu!$A:$F, 3, 0)</f>
        <v>Hot Meal</v>
      </c>
      <c r="G848" s="5">
        <f>VLOOKUP(A848, Orders!$A:$B, 2, 0)</f>
        <v>45864.097743055558</v>
      </c>
      <c r="H848" t="str">
        <f>VLOOKUP(A848, Orders!$A:$C, 3, 0)</f>
        <v>Plant 1 Canteen</v>
      </c>
      <c r="I848">
        <f>C848*D848*(1-VLOOKUP(A848,Orders!$A:$G,7,0))</f>
        <v>216.5592</v>
      </c>
      <c r="J848" t="str">
        <f>VLOOKUP(A848,Orders!$A:$G,6,0)</f>
        <v>Breakfast</v>
      </c>
      <c r="K848" t="str">
        <f>VLOOKUP(A848,Orders!$A:$G,5,0)</f>
        <v>UPI</v>
      </c>
    </row>
    <row r="849" spans="1:11" x14ac:dyDescent="0.3">
      <c r="A849" t="s">
        <v>368</v>
      </c>
      <c r="B849" t="s">
        <v>418</v>
      </c>
      <c r="C849">
        <v>2</v>
      </c>
      <c r="D849">
        <f>VLOOKUP(B849, Menu!$A:$F, 6, 0)</f>
        <v>39.950000000000003</v>
      </c>
      <c r="E849">
        <f>VLOOKUP(B849, Menu!$A:$F, 5, 0)</f>
        <v>15.51</v>
      </c>
      <c r="F849" t="str">
        <f>VLOOKUP(B849, Menu!$A:$F, 3, 0)</f>
        <v>Snack</v>
      </c>
      <c r="G849" s="5">
        <f>VLOOKUP(A849, Orders!$A:$B, 2, 0)</f>
        <v>45864.097743055558</v>
      </c>
      <c r="H849" t="str">
        <f>VLOOKUP(A849, Orders!$A:$C, 3, 0)</f>
        <v>Plant 1 Canteen</v>
      </c>
      <c r="I849">
        <f>C849*D849*(1-VLOOKUP(A849,Orders!$A:$G,7,0))</f>
        <v>70.312000000000012</v>
      </c>
      <c r="J849" t="str">
        <f>VLOOKUP(A849,Orders!$A:$G,6,0)</f>
        <v>Breakfast</v>
      </c>
      <c r="K849" t="str">
        <f>VLOOKUP(A849,Orders!$A:$G,5,0)</f>
        <v>UPI</v>
      </c>
    </row>
    <row r="850" spans="1:11" x14ac:dyDescent="0.3">
      <c r="A850" t="s">
        <v>368</v>
      </c>
      <c r="B850" t="s">
        <v>412</v>
      </c>
      <c r="C850">
        <v>1</v>
      </c>
      <c r="D850">
        <f>VLOOKUP(B850, Menu!$A:$F, 6, 0)</f>
        <v>57.07</v>
      </c>
      <c r="E850">
        <f>VLOOKUP(B850, Menu!$A:$F, 5, 0)</f>
        <v>29.14</v>
      </c>
      <c r="F850" t="str">
        <f>VLOOKUP(B850, Menu!$A:$F, 3, 0)</f>
        <v>Dessert</v>
      </c>
      <c r="G850" s="5">
        <f>VLOOKUP(A850, Orders!$A:$B, 2, 0)</f>
        <v>45864.097743055558</v>
      </c>
      <c r="H850" t="str">
        <f>VLOOKUP(A850, Orders!$A:$C, 3, 0)</f>
        <v>Plant 1 Canteen</v>
      </c>
      <c r="I850">
        <f>C850*D850*(1-VLOOKUP(A850,Orders!$A:$G,7,0))</f>
        <v>50.221600000000002</v>
      </c>
      <c r="J850" t="str">
        <f>VLOOKUP(A850,Orders!$A:$G,6,0)</f>
        <v>Breakfast</v>
      </c>
      <c r="K850" t="str">
        <f>VLOOKUP(A850,Orders!$A:$G,5,0)</f>
        <v>UPI</v>
      </c>
    </row>
    <row r="851" spans="1:11" x14ac:dyDescent="0.3">
      <c r="A851" t="s">
        <v>369</v>
      </c>
      <c r="B851" t="s">
        <v>411</v>
      </c>
      <c r="C851">
        <v>2</v>
      </c>
      <c r="D851">
        <f>VLOOKUP(B851, Menu!$A:$F, 6, 0)</f>
        <v>22.2</v>
      </c>
      <c r="E851">
        <f>VLOOKUP(B851, Menu!$A:$F, 5, 0)</f>
        <v>9.3800000000000008</v>
      </c>
      <c r="F851" t="str">
        <f>VLOOKUP(B851, Menu!$A:$F, 3, 0)</f>
        <v>Beverage</v>
      </c>
      <c r="G851" s="5">
        <f>VLOOKUP(A851, Orders!$A:$B, 2, 0)</f>
        <v>45880.343958333331</v>
      </c>
      <c r="H851" t="str">
        <f>VLOOKUP(A851, Orders!$A:$C, 3, 0)</f>
        <v>Plant 1 Canteen</v>
      </c>
      <c r="I851">
        <f>C851*D851*(1-VLOOKUP(A851,Orders!$A:$G,7,0))</f>
        <v>39.96</v>
      </c>
      <c r="J851" t="str">
        <f>VLOOKUP(A851,Orders!$A:$G,6,0)</f>
        <v>Breakfast</v>
      </c>
      <c r="K851" t="str">
        <f>VLOOKUP(A851,Orders!$A:$G,5,0)</f>
        <v>Cash</v>
      </c>
    </row>
    <row r="852" spans="1:11" x14ac:dyDescent="0.3">
      <c r="A852" t="s">
        <v>369</v>
      </c>
      <c r="B852" t="s">
        <v>408</v>
      </c>
      <c r="C852">
        <v>1</v>
      </c>
      <c r="D852">
        <f>VLOOKUP(B852, Menu!$A:$F, 6, 0)</f>
        <v>70.540000000000006</v>
      </c>
      <c r="E852">
        <f>VLOOKUP(B852, Menu!$A:$F, 5, 0)</f>
        <v>35.81</v>
      </c>
      <c r="F852" t="str">
        <f>VLOOKUP(B852, Menu!$A:$F, 3, 0)</f>
        <v>Snack</v>
      </c>
      <c r="G852" s="5">
        <f>VLOOKUP(A852, Orders!$A:$B, 2, 0)</f>
        <v>45880.343958333331</v>
      </c>
      <c r="H852" t="str">
        <f>VLOOKUP(A852, Orders!$A:$C, 3, 0)</f>
        <v>Plant 1 Canteen</v>
      </c>
      <c r="I852">
        <f>C852*D852*(1-VLOOKUP(A852,Orders!$A:$G,7,0))</f>
        <v>63.486000000000004</v>
      </c>
      <c r="J852" t="str">
        <f>VLOOKUP(A852,Orders!$A:$G,6,0)</f>
        <v>Breakfast</v>
      </c>
      <c r="K852" t="str">
        <f>VLOOKUP(A852,Orders!$A:$G,5,0)</f>
        <v>Cash</v>
      </c>
    </row>
    <row r="853" spans="1:11" x14ac:dyDescent="0.3">
      <c r="A853" t="s">
        <v>369</v>
      </c>
      <c r="B853" t="s">
        <v>419</v>
      </c>
      <c r="C853">
        <v>1</v>
      </c>
      <c r="D853">
        <f>VLOOKUP(B853, Menu!$A:$F, 6, 0)</f>
        <v>50.19</v>
      </c>
      <c r="E853">
        <f>VLOOKUP(B853, Menu!$A:$F, 5, 0)</f>
        <v>22.61</v>
      </c>
      <c r="F853" t="str">
        <f>VLOOKUP(B853, Menu!$A:$F, 3, 0)</f>
        <v>Snack</v>
      </c>
      <c r="G853" s="5">
        <f>VLOOKUP(A853, Orders!$A:$B, 2, 0)</f>
        <v>45880.343958333331</v>
      </c>
      <c r="H853" t="str">
        <f>VLOOKUP(A853, Orders!$A:$C, 3, 0)</f>
        <v>Plant 1 Canteen</v>
      </c>
      <c r="I853">
        <f>C853*D853*(1-VLOOKUP(A853,Orders!$A:$G,7,0))</f>
        <v>45.170999999999999</v>
      </c>
      <c r="J853" t="str">
        <f>VLOOKUP(A853,Orders!$A:$G,6,0)</f>
        <v>Breakfast</v>
      </c>
      <c r="K853" t="str">
        <f>VLOOKUP(A853,Orders!$A:$G,5,0)</f>
        <v>Cash</v>
      </c>
    </row>
    <row r="854" spans="1:11" x14ac:dyDescent="0.3">
      <c r="A854" t="s">
        <v>369</v>
      </c>
      <c r="B854" t="s">
        <v>413</v>
      </c>
      <c r="C854">
        <v>1</v>
      </c>
      <c r="D854">
        <f>VLOOKUP(B854, Menu!$A:$F, 6, 0)</f>
        <v>54.2</v>
      </c>
      <c r="E854">
        <f>VLOOKUP(B854, Menu!$A:$F, 5, 0)</f>
        <v>21.95</v>
      </c>
      <c r="F854" t="str">
        <f>VLOOKUP(B854, Menu!$A:$F, 3, 0)</f>
        <v>Dessert</v>
      </c>
      <c r="G854" s="5">
        <f>VLOOKUP(A854, Orders!$A:$B, 2, 0)</f>
        <v>45880.343958333331</v>
      </c>
      <c r="H854" t="str">
        <f>VLOOKUP(A854, Orders!$A:$C, 3, 0)</f>
        <v>Plant 1 Canteen</v>
      </c>
      <c r="I854">
        <f>C854*D854*(1-VLOOKUP(A854,Orders!$A:$G,7,0))</f>
        <v>48.78</v>
      </c>
      <c r="J854" t="str">
        <f>VLOOKUP(A854,Orders!$A:$G,6,0)</f>
        <v>Breakfast</v>
      </c>
      <c r="K854" t="str">
        <f>VLOOKUP(A854,Orders!$A:$G,5,0)</f>
        <v>Cash</v>
      </c>
    </row>
    <row r="855" spans="1:11" x14ac:dyDescent="0.3">
      <c r="A855" t="s">
        <v>370</v>
      </c>
      <c r="B855" t="s">
        <v>410</v>
      </c>
      <c r="C855">
        <v>1</v>
      </c>
      <c r="D855">
        <f>VLOOKUP(B855, Menu!$A:$F, 6, 0)</f>
        <v>20.11</v>
      </c>
      <c r="E855">
        <f>VLOOKUP(B855, Menu!$A:$F, 5, 0)</f>
        <v>8</v>
      </c>
      <c r="F855" t="str">
        <f>VLOOKUP(B855, Menu!$A:$F, 3, 0)</f>
        <v>Beverage</v>
      </c>
      <c r="G855" s="5">
        <f>VLOOKUP(A855, Orders!$A:$B, 2, 0)</f>
        <v>45851.080300925933</v>
      </c>
      <c r="H855" t="str">
        <f>VLOOKUP(A855, Orders!$A:$C, 3, 0)</f>
        <v>Plant 1 Canteen</v>
      </c>
      <c r="I855">
        <f>C855*D855*(1-VLOOKUP(A855,Orders!$A:$G,7,0))</f>
        <v>17.093499999999999</v>
      </c>
      <c r="J855" t="str">
        <f>VLOOKUP(A855,Orders!$A:$G,6,0)</f>
        <v>Breakfast</v>
      </c>
      <c r="K855" t="str">
        <f>VLOOKUP(A855,Orders!$A:$G,5,0)</f>
        <v>Card</v>
      </c>
    </row>
    <row r="856" spans="1:11" x14ac:dyDescent="0.3">
      <c r="A856" t="s">
        <v>370</v>
      </c>
      <c r="B856" t="s">
        <v>403</v>
      </c>
      <c r="C856">
        <v>2</v>
      </c>
      <c r="D856">
        <f>VLOOKUP(B856, Menu!$A:$F, 6, 0)</f>
        <v>76.55</v>
      </c>
      <c r="E856">
        <f>VLOOKUP(B856, Menu!$A:$F, 5, 0)</f>
        <v>38.229999999999997</v>
      </c>
      <c r="F856" t="str">
        <f>VLOOKUP(B856, Menu!$A:$F, 3, 0)</f>
        <v>Dessert</v>
      </c>
      <c r="G856" s="5">
        <f>VLOOKUP(A856, Orders!$A:$B, 2, 0)</f>
        <v>45851.080300925933</v>
      </c>
      <c r="H856" t="str">
        <f>VLOOKUP(A856, Orders!$A:$C, 3, 0)</f>
        <v>Plant 1 Canteen</v>
      </c>
      <c r="I856">
        <f>C856*D856*(1-VLOOKUP(A856,Orders!$A:$G,7,0))</f>
        <v>130.13499999999999</v>
      </c>
      <c r="J856" t="str">
        <f>VLOOKUP(A856,Orders!$A:$G,6,0)</f>
        <v>Breakfast</v>
      </c>
      <c r="K856" t="str">
        <f>VLOOKUP(A856,Orders!$A:$G,5,0)</f>
        <v>Card</v>
      </c>
    </row>
    <row r="857" spans="1:11" x14ac:dyDescent="0.3">
      <c r="A857" t="s">
        <v>371</v>
      </c>
      <c r="B857" t="s">
        <v>416</v>
      </c>
      <c r="C857">
        <v>2</v>
      </c>
      <c r="D857">
        <f>VLOOKUP(B857, Menu!$A:$F, 6, 0)</f>
        <v>227.61</v>
      </c>
      <c r="E857">
        <f>VLOOKUP(B857, Menu!$A:$F, 5, 0)</f>
        <v>96.22</v>
      </c>
      <c r="F857" t="str">
        <f>VLOOKUP(B857, Menu!$A:$F, 3, 0)</f>
        <v>Hot Meal</v>
      </c>
      <c r="G857" s="5">
        <f>VLOOKUP(A857, Orders!$A:$B, 2, 0)</f>
        <v>45845.347962962973</v>
      </c>
      <c r="H857" t="str">
        <f>VLOOKUP(A857, Orders!$A:$C, 3, 0)</f>
        <v>Plant 1 Canteen</v>
      </c>
      <c r="I857">
        <f>C857*D857*(1-VLOOKUP(A857,Orders!$A:$G,7,0))</f>
        <v>441.5634</v>
      </c>
      <c r="J857" t="str">
        <f>VLOOKUP(A857,Orders!$A:$G,6,0)</f>
        <v>Breakfast</v>
      </c>
      <c r="K857" t="str">
        <f>VLOOKUP(A857,Orders!$A:$G,5,0)</f>
        <v>UPI</v>
      </c>
    </row>
    <row r="858" spans="1:11" x14ac:dyDescent="0.3">
      <c r="A858" t="s">
        <v>371</v>
      </c>
      <c r="B858" t="s">
        <v>413</v>
      </c>
      <c r="C858">
        <v>1</v>
      </c>
      <c r="D858">
        <f>VLOOKUP(B858, Menu!$A:$F, 6, 0)</f>
        <v>54.2</v>
      </c>
      <c r="E858">
        <f>VLOOKUP(B858, Menu!$A:$F, 5, 0)</f>
        <v>21.95</v>
      </c>
      <c r="F858" t="str">
        <f>VLOOKUP(B858, Menu!$A:$F, 3, 0)</f>
        <v>Dessert</v>
      </c>
      <c r="G858" s="5">
        <f>VLOOKUP(A858, Orders!$A:$B, 2, 0)</f>
        <v>45845.347962962973</v>
      </c>
      <c r="H858" t="str">
        <f>VLOOKUP(A858, Orders!$A:$C, 3, 0)</f>
        <v>Plant 1 Canteen</v>
      </c>
      <c r="I858">
        <f>C858*D858*(1-VLOOKUP(A858,Orders!$A:$G,7,0))</f>
        <v>52.573999999999998</v>
      </c>
      <c r="J858" t="str">
        <f>VLOOKUP(A858,Orders!$A:$G,6,0)</f>
        <v>Breakfast</v>
      </c>
      <c r="K858" t="str">
        <f>VLOOKUP(A858,Orders!$A:$G,5,0)</f>
        <v>UPI</v>
      </c>
    </row>
    <row r="859" spans="1:11" x14ac:dyDescent="0.3">
      <c r="A859" t="s">
        <v>371</v>
      </c>
      <c r="B859" t="s">
        <v>419</v>
      </c>
      <c r="C859">
        <v>2</v>
      </c>
      <c r="D859">
        <f>VLOOKUP(B859, Menu!$A:$F, 6, 0)</f>
        <v>50.19</v>
      </c>
      <c r="E859">
        <f>VLOOKUP(B859, Menu!$A:$F, 5, 0)</f>
        <v>22.61</v>
      </c>
      <c r="F859" t="str">
        <f>VLOOKUP(B859, Menu!$A:$F, 3, 0)</f>
        <v>Snack</v>
      </c>
      <c r="G859" s="5">
        <f>VLOOKUP(A859, Orders!$A:$B, 2, 0)</f>
        <v>45845.347962962973</v>
      </c>
      <c r="H859" t="str">
        <f>VLOOKUP(A859, Orders!$A:$C, 3, 0)</f>
        <v>Plant 1 Canteen</v>
      </c>
      <c r="I859">
        <f>C859*D859*(1-VLOOKUP(A859,Orders!$A:$G,7,0))</f>
        <v>97.368599999999986</v>
      </c>
      <c r="J859" t="str">
        <f>VLOOKUP(A859,Orders!$A:$G,6,0)</f>
        <v>Breakfast</v>
      </c>
      <c r="K859" t="str">
        <f>VLOOKUP(A859,Orders!$A:$G,5,0)</f>
        <v>UPI</v>
      </c>
    </row>
    <row r="860" spans="1:11" x14ac:dyDescent="0.3">
      <c r="A860" t="s">
        <v>371</v>
      </c>
      <c r="B860" t="s">
        <v>404</v>
      </c>
      <c r="C860">
        <v>2</v>
      </c>
      <c r="D860">
        <f>VLOOKUP(B860, Menu!$A:$F, 6, 0)</f>
        <v>32.979999999999997</v>
      </c>
      <c r="E860">
        <f>VLOOKUP(B860, Menu!$A:$F, 5, 0)</f>
        <v>11.84</v>
      </c>
      <c r="F860" t="str">
        <f>VLOOKUP(B860, Menu!$A:$F, 3, 0)</f>
        <v>Beverage</v>
      </c>
      <c r="G860" s="5">
        <f>VLOOKUP(A860, Orders!$A:$B, 2, 0)</f>
        <v>45845.347962962973</v>
      </c>
      <c r="H860" t="str">
        <f>VLOOKUP(A860, Orders!$A:$C, 3, 0)</f>
        <v>Plant 1 Canteen</v>
      </c>
      <c r="I860">
        <f>C860*D860*(1-VLOOKUP(A860,Orders!$A:$G,7,0))</f>
        <v>63.981199999999994</v>
      </c>
      <c r="J860" t="str">
        <f>VLOOKUP(A860,Orders!$A:$G,6,0)</f>
        <v>Breakfast</v>
      </c>
      <c r="K860" t="str">
        <f>VLOOKUP(A860,Orders!$A:$G,5,0)</f>
        <v>UPI</v>
      </c>
    </row>
    <row r="861" spans="1:11" x14ac:dyDescent="0.3">
      <c r="A861" t="s">
        <v>372</v>
      </c>
      <c r="B861" t="s">
        <v>405</v>
      </c>
      <c r="C861">
        <v>2</v>
      </c>
      <c r="D861">
        <f>VLOOKUP(B861, Menu!$A:$F, 6, 0)</f>
        <v>170.83</v>
      </c>
      <c r="E861">
        <f>VLOOKUP(B861, Menu!$A:$F, 5, 0)</f>
        <v>74.069999999999993</v>
      </c>
      <c r="F861" t="str">
        <f>VLOOKUP(B861, Menu!$A:$F, 3, 0)</f>
        <v>Hot Meal</v>
      </c>
      <c r="G861" s="5">
        <f>VLOOKUP(A861, Orders!$A:$B, 2, 0)</f>
        <v>45840.845706018517</v>
      </c>
      <c r="H861" t="str">
        <f>VLOOKUP(A861, Orders!$A:$C, 3, 0)</f>
        <v>Head Office Café</v>
      </c>
      <c r="I861">
        <f>C861*D861*(1-VLOOKUP(A861,Orders!$A:$G,7,0))</f>
        <v>310.91060000000004</v>
      </c>
      <c r="J861" t="str">
        <f>VLOOKUP(A861,Orders!$A:$G,6,0)</f>
        <v>Dinner</v>
      </c>
      <c r="K861" t="str">
        <f>VLOOKUP(A861,Orders!$A:$G,5,0)</f>
        <v>UPI</v>
      </c>
    </row>
    <row r="862" spans="1:11" x14ac:dyDescent="0.3">
      <c r="A862" t="s">
        <v>372</v>
      </c>
      <c r="B862" t="s">
        <v>414</v>
      </c>
      <c r="C862">
        <v>2</v>
      </c>
      <c r="D862">
        <f>VLOOKUP(B862, Menu!$A:$F, 6, 0)</f>
        <v>116.8</v>
      </c>
      <c r="E862">
        <f>VLOOKUP(B862, Menu!$A:$F, 5, 0)</f>
        <v>48.97</v>
      </c>
      <c r="F862" t="str">
        <f>VLOOKUP(B862, Menu!$A:$F, 3, 0)</f>
        <v>Dessert</v>
      </c>
      <c r="G862" s="5">
        <f>VLOOKUP(A862, Orders!$A:$B, 2, 0)</f>
        <v>45840.845706018517</v>
      </c>
      <c r="H862" t="str">
        <f>VLOOKUP(A862, Orders!$A:$C, 3, 0)</f>
        <v>Head Office Café</v>
      </c>
      <c r="I862">
        <f>C862*D862*(1-VLOOKUP(A862,Orders!$A:$G,7,0))</f>
        <v>212.57599999999999</v>
      </c>
      <c r="J862" t="str">
        <f>VLOOKUP(A862,Orders!$A:$G,6,0)</f>
        <v>Dinner</v>
      </c>
      <c r="K862" t="str">
        <f>VLOOKUP(A862,Orders!$A:$G,5,0)</f>
        <v>UPI</v>
      </c>
    </row>
    <row r="863" spans="1:11" x14ac:dyDescent="0.3">
      <c r="A863" t="s">
        <v>372</v>
      </c>
      <c r="B863" t="s">
        <v>417</v>
      </c>
      <c r="C863">
        <v>1</v>
      </c>
      <c r="D863">
        <f>VLOOKUP(B863, Menu!$A:$F, 6, 0)</f>
        <v>146.4</v>
      </c>
      <c r="E863">
        <f>VLOOKUP(B863, Menu!$A:$F, 5, 0)</f>
        <v>80.92</v>
      </c>
      <c r="F863" t="str">
        <f>VLOOKUP(B863, Menu!$A:$F, 3, 0)</f>
        <v>Hot Meal</v>
      </c>
      <c r="G863" s="5">
        <f>VLOOKUP(A863, Orders!$A:$B, 2, 0)</f>
        <v>45840.845706018517</v>
      </c>
      <c r="H863" t="str">
        <f>VLOOKUP(A863, Orders!$A:$C, 3, 0)</f>
        <v>Head Office Café</v>
      </c>
      <c r="I863">
        <f>C863*D863*(1-VLOOKUP(A863,Orders!$A:$G,7,0))</f>
        <v>133.22400000000002</v>
      </c>
      <c r="J863" t="str">
        <f>VLOOKUP(A863,Orders!$A:$G,6,0)</f>
        <v>Dinner</v>
      </c>
      <c r="K863" t="str">
        <f>VLOOKUP(A863,Orders!$A:$G,5,0)</f>
        <v>UPI</v>
      </c>
    </row>
    <row r="864" spans="1:11" x14ac:dyDescent="0.3">
      <c r="A864" t="s">
        <v>373</v>
      </c>
      <c r="B864" t="s">
        <v>419</v>
      </c>
      <c r="C864">
        <v>2</v>
      </c>
      <c r="D864">
        <f>VLOOKUP(B864, Menu!$A:$F, 6, 0)</f>
        <v>50.19</v>
      </c>
      <c r="E864">
        <f>VLOOKUP(B864, Menu!$A:$F, 5, 0)</f>
        <v>22.61</v>
      </c>
      <c r="F864" t="str">
        <f>VLOOKUP(B864, Menu!$A:$F, 3, 0)</f>
        <v>Snack</v>
      </c>
      <c r="G864" s="5">
        <f>VLOOKUP(A864, Orders!$A:$B, 2, 0)</f>
        <v>45853.189918981479</v>
      </c>
      <c r="H864" t="str">
        <f>VLOOKUP(A864, Orders!$A:$C, 3, 0)</f>
        <v>Plant 2 Canteen</v>
      </c>
      <c r="I864">
        <f>C864*D864*(1-VLOOKUP(A864,Orders!$A:$G,7,0))</f>
        <v>93.353399999999993</v>
      </c>
      <c r="J864" t="str">
        <f>VLOOKUP(A864,Orders!$A:$G,6,0)</f>
        <v>Breakfast</v>
      </c>
      <c r="K864" t="str">
        <f>VLOOKUP(A864,Orders!$A:$G,5,0)</f>
        <v>Cash</v>
      </c>
    </row>
    <row r="865" spans="1:11" x14ac:dyDescent="0.3">
      <c r="A865" t="s">
        <v>373</v>
      </c>
      <c r="B865" t="s">
        <v>412</v>
      </c>
      <c r="C865">
        <v>2</v>
      </c>
      <c r="D865">
        <f>VLOOKUP(B865, Menu!$A:$F, 6, 0)</f>
        <v>57.07</v>
      </c>
      <c r="E865">
        <f>VLOOKUP(B865, Menu!$A:$F, 5, 0)</f>
        <v>29.14</v>
      </c>
      <c r="F865" t="str">
        <f>VLOOKUP(B865, Menu!$A:$F, 3, 0)</f>
        <v>Dessert</v>
      </c>
      <c r="G865" s="5">
        <f>VLOOKUP(A865, Orders!$A:$B, 2, 0)</f>
        <v>45853.189918981479</v>
      </c>
      <c r="H865" t="str">
        <f>VLOOKUP(A865, Orders!$A:$C, 3, 0)</f>
        <v>Plant 2 Canteen</v>
      </c>
      <c r="I865">
        <f>C865*D865*(1-VLOOKUP(A865,Orders!$A:$G,7,0))</f>
        <v>106.1502</v>
      </c>
      <c r="J865" t="str">
        <f>VLOOKUP(A865,Orders!$A:$G,6,0)</f>
        <v>Breakfast</v>
      </c>
      <c r="K865" t="str">
        <f>VLOOKUP(A865,Orders!$A:$G,5,0)</f>
        <v>Cash</v>
      </c>
    </row>
    <row r="866" spans="1:11" x14ac:dyDescent="0.3">
      <c r="A866" t="s">
        <v>374</v>
      </c>
      <c r="B866" t="s">
        <v>417</v>
      </c>
      <c r="C866">
        <v>1</v>
      </c>
      <c r="D866">
        <f>VLOOKUP(B866, Menu!$A:$F, 6, 0)</f>
        <v>146.4</v>
      </c>
      <c r="E866">
        <f>VLOOKUP(B866, Menu!$A:$F, 5, 0)</f>
        <v>80.92</v>
      </c>
      <c r="F866" t="str">
        <f>VLOOKUP(B866, Menu!$A:$F, 3, 0)</f>
        <v>Hot Meal</v>
      </c>
      <c r="G866" s="5">
        <f>VLOOKUP(A866, Orders!$A:$B, 2, 0)</f>
        <v>45862.606469907398</v>
      </c>
      <c r="H866" t="str">
        <f>VLOOKUP(A866, Orders!$A:$C, 3, 0)</f>
        <v>Head Office Café</v>
      </c>
      <c r="I866">
        <f>C866*D866*(1-VLOOKUP(A866,Orders!$A:$G,7,0))</f>
        <v>124.44</v>
      </c>
      <c r="J866" t="str">
        <f>VLOOKUP(A866,Orders!$A:$G,6,0)</f>
        <v>Lunch</v>
      </c>
      <c r="K866" t="str">
        <f>VLOOKUP(A866,Orders!$A:$G,5,0)</f>
        <v>Cash</v>
      </c>
    </row>
    <row r="867" spans="1:11" x14ac:dyDescent="0.3">
      <c r="A867" t="s">
        <v>375</v>
      </c>
      <c r="B867" t="s">
        <v>409</v>
      </c>
      <c r="C867">
        <v>1</v>
      </c>
      <c r="D867">
        <f>VLOOKUP(B867, Menu!$A:$F, 6, 0)</f>
        <v>28.43</v>
      </c>
      <c r="E867">
        <f>VLOOKUP(B867, Menu!$A:$F, 5, 0)</f>
        <v>13.89</v>
      </c>
      <c r="F867" t="str">
        <f>VLOOKUP(B867, Menu!$A:$F, 3, 0)</f>
        <v>Beverage</v>
      </c>
      <c r="G867" s="5">
        <f>VLOOKUP(A867, Orders!$A:$B, 2, 0)</f>
        <v>45890.075300925928</v>
      </c>
      <c r="H867" t="str">
        <f>VLOOKUP(A867, Orders!$A:$C, 3, 0)</f>
        <v>Plant 2 Canteen</v>
      </c>
      <c r="I867">
        <f>C867*D867*(1-VLOOKUP(A867,Orders!$A:$G,7,0))</f>
        <v>27.577099999999998</v>
      </c>
      <c r="J867" t="str">
        <f>VLOOKUP(A867,Orders!$A:$G,6,0)</f>
        <v>Breakfast</v>
      </c>
      <c r="K867" t="str">
        <f>VLOOKUP(A867,Orders!$A:$G,5,0)</f>
        <v>UPI</v>
      </c>
    </row>
    <row r="868" spans="1:11" x14ac:dyDescent="0.3">
      <c r="A868" t="s">
        <v>375</v>
      </c>
      <c r="B868" t="s">
        <v>402</v>
      </c>
      <c r="C868">
        <v>1</v>
      </c>
      <c r="D868">
        <f>VLOOKUP(B868, Menu!$A:$F, 6, 0)</f>
        <v>30.34</v>
      </c>
      <c r="E868">
        <f>VLOOKUP(B868, Menu!$A:$F, 5, 0)</f>
        <v>14.18</v>
      </c>
      <c r="F868" t="str">
        <f>VLOOKUP(B868, Menu!$A:$F, 3, 0)</f>
        <v>Beverage</v>
      </c>
      <c r="G868" s="5">
        <f>VLOOKUP(A868, Orders!$A:$B, 2, 0)</f>
        <v>45890.075300925928</v>
      </c>
      <c r="H868" t="str">
        <f>VLOOKUP(A868, Orders!$A:$C, 3, 0)</f>
        <v>Plant 2 Canteen</v>
      </c>
      <c r="I868">
        <f>C868*D868*(1-VLOOKUP(A868,Orders!$A:$G,7,0))</f>
        <v>29.4298</v>
      </c>
      <c r="J868" t="str">
        <f>VLOOKUP(A868,Orders!$A:$G,6,0)</f>
        <v>Breakfast</v>
      </c>
      <c r="K868" t="str">
        <f>VLOOKUP(A868,Orders!$A:$G,5,0)</f>
        <v>UPI</v>
      </c>
    </row>
    <row r="869" spans="1:11" x14ac:dyDescent="0.3">
      <c r="A869" t="s">
        <v>375</v>
      </c>
      <c r="B869" t="s">
        <v>404</v>
      </c>
      <c r="C869">
        <v>3</v>
      </c>
      <c r="D869">
        <f>VLOOKUP(B869, Menu!$A:$F, 6, 0)</f>
        <v>32.979999999999997</v>
      </c>
      <c r="E869">
        <f>VLOOKUP(B869, Menu!$A:$F, 5, 0)</f>
        <v>11.84</v>
      </c>
      <c r="F869" t="str">
        <f>VLOOKUP(B869, Menu!$A:$F, 3, 0)</f>
        <v>Beverage</v>
      </c>
      <c r="G869" s="5">
        <f>VLOOKUP(A869, Orders!$A:$B, 2, 0)</f>
        <v>45890.075300925928</v>
      </c>
      <c r="H869" t="str">
        <f>VLOOKUP(A869, Orders!$A:$C, 3, 0)</f>
        <v>Plant 2 Canteen</v>
      </c>
      <c r="I869">
        <f>C869*D869*(1-VLOOKUP(A869,Orders!$A:$G,7,0))</f>
        <v>95.971800000000002</v>
      </c>
      <c r="J869" t="str">
        <f>VLOOKUP(A869,Orders!$A:$G,6,0)</f>
        <v>Breakfast</v>
      </c>
      <c r="K869" t="str">
        <f>VLOOKUP(A869,Orders!$A:$G,5,0)</f>
        <v>UPI</v>
      </c>
    </row>
    <row r="870" spans="1:11" x14ac:dyDescent="0.3">
      <c r="A870" t="s">
        <v>376</v>
      </c>
      <c r="B870" t="s">
        <v>414</v>
      </c>
      <c r="C870">
        <v>2</v>
      </c>
      <c r="D870">
        <f>VLOOKUP(B870, Menu!$A:$F, 6, 0)</f>
        <v>116.8</v>
      </c>
      <c r="E870">
        <f>VLOOKUP(B870, Menu!$A:$F, 5, 0)</f>
        <v>48.97</v>
      </c>
      <c r="F870" t="str">
        <f>VLOOKUP(B870, Menu!$A:$F, 3, 0)</f>
        <v>Dessert</v>
      </c>
      <c r="G870" s="5">
        <f>VLOOKUP(A870, Orders!$A:$B, 2, 0)</f>
        <v>45888.506631944438</v>
      </c>
      <c r="H870" t="str">
        <f>VLOOKUP(A870, Orders!$A:$C, 3, 0)</f>
        <v>Head Office Café</v>
      </c>
      <c r="I870">
        <f>C870*D870*(1-VLOOKUP(A870,Orders!$A:$G,7,0))</f>
        <v>226.59199999999998</v>
      </c>
      <c r="J870" t="str">
        <f>VLOOKUP(A870,Orders!$A:$G,6,0)</f>
        <v>Lunch</v>
      </c>
      <c r="K870" t="str">
        <f>VLOOKUP(A870,Orders!$A:$G,5,0)</f>
        <v>Cash</v>
      </c>
    </row>
    <row r="871" spans="1:11" x14ac:dyDescent="0.3">
      <c r="A871" t="s">
        <v>376</v>
      </c>
      <c r="B871" t="s">
        <v>412</v>
      </c>
      <c r="C871">
        <v>3</v>
      </c>
      <c r="D871">
        <f>VLOOKUP(B871, Menu!$A:$F, 6, 0)</f>
        <v>57.07</v>
      </c>
      <c r="E871">
        <f>VLOOKUP(B871, Menu!$A:$F, 5, 0)</f>
        <v>29.14</v>
      </c>
      <c r="F871" t="str">
        <f>VLOOKUP(B871, Menu!$A:$F, 3, 0)</f>
        <v>Dessert</v>
      </c>
      <c r="G871" s="5">
        <f>VLOOKUP(A871, Orders!$A:$B, 2, 0)</f>
        <v>45888.506631944438</v>
      </c>
      <c r="H871" t="str">
        <f>VLOOKUP(A871, Orders!$A:$C, 3, 0)</f>
        <v>Head Office Café</v>
      </c>
      <c r="I871">
        <f>C871*D871*(1-VLOOKUP(A871,Orders!$A:$G,7,0))</f>
        <v>166.0737</v>
      </c>
      <c r="J871" t="str">
        <f>VLOOKUP(A871,Orders!$A:$G,6,0)</f>
        <v>Lunch</v>
      </c>
      <c r="K871" t="str">
        <f>VLOOKUP(A871,Orders!$A:$G,5,0)</f>
        <v>Cash</v>
      </c>
    </row>
    <row r="872" spans="1:11" x14ac:dyDescent="0.3">
      <c r="A872" t="s">
        <v>377</v>
      </c>
      <c r="B872" t="s">
        <v>401</v>
      </c>
      <c r="C872">
        <v>3</v>
      </c>
      <c r="D872">
        <f>VLOOKUP(B872, Menu!$A:$F, 6, 0)</f>
        <v>52.45</v>
      </c>
      <c r="E872">
        <f>VLOOKUP(B872, Menu!$A:$F, 5, 0)</f>
        <v>25.8</v>
      </c>
      <c r="F872" t="str">
        <f>VLOOKUP(B872, Menu!$A:$F, 3, 0)</f>
        <v>Snack</v>
      </c>
      <c r="G872" s="5">
        <f>VLOOKUP(A872, Orders!$A:$B, 2, 0)</f>
        <v>45884.895578703698</v>
      </c>
      <c r="H872" t="str">
        <f>VLOOKUP(A872, Orders!$A:$C, 3, 0)</f>
        <v>Plant 1 Canteen</v>
      </c>
      <c r="I872">
        <f>C872*D872*(1-VLOOKUP(A872,Orders!$A:$G,7,0))</f>
        <v>151.05600000000001</v>
      </c>
      <c r="J872" t="str">
        <f>VLOOKUP(A872,Orders!$A:$G,6,0)</f>
        <v>Dinner</v>
      </c>
      <c r="K872" t="str">
        <f>VLOOKUP(A872,Orders!$A:$G,5,0)</f>
        <v>Card</v>
      </c>
    </row>
    <row r="873" spans="1:11" x14ac:dyDescent="0.3">
      <c r="A873" t="s">
        <v>377</v>
      </c>
      <c r="B873" t="s">
        <v>404</v>
      </c>
      <c r="C873">
        <v>1</v>
      </c>
      <c r="D873">
        <f>VLOOKUP(B873, Menu!$A:$F, 6, 0)</f>
        <v>32.979999999999997</v>
      </c>
      <c r="E873">
        <f>VLOOKUP(B873, Menu!$A:$F, 5, 0)</f>
        <v>11.84</v>
      </c>
      <c r="F873" t="str">
        <f>VLOOKUP(B873, Menu!$A:$F, 3, 0)</f>
        <v>Beverage</v>
      </c>
      <c r="G873" s="5">
        <f>VLOOKUP(A873, Orders!$A:$B, 2, 0)</f>
        <v>45884.895578703698</v>
      </c>
      <c r="H873" t="str">
        <f>VLOOKUP(A873, Orders!$A:$C, 3, 0)</f>
        <v>Plant 1 Canteen</v>
      </c>
      <c r="I873">
        <f>C873*D873*(1-VLOOKUP(A873,Orders!$A:$G,7,0))</f>
        <v>31.660799999999995</v>
      </c>
      <c r="J873" t="str">
        <f>VLOOKUP(A873,Orders!$A:$G,6,0)</f>
        <v>Dinner</v>
      </c>
      <c r="K873" t="str">
        <f>VLOOKUP(A873,Orders!$A:$G,5,0)</f>
        <v>Card</v>
      </c>
    </row>
    <row r="874" spans="1:11" x14ac:dyDescent="0.3">
      <c r="A874" t="s">
        <v>377</v>
      </c>
      <c r="B874" t="s">
        <v>413</v>
      </c>
      <c r="C874">
        <v>1</v>
      </c>
      <c r="D874">
        <f>VLOOKUP(B874, Menu!$A:$F, 6, 0)</f>
        <v>54.2</v>
      </c>
      <c r="E874">
        <f>VLOOKUP(B874, Menu!$A:$F, 5, 0)</f>
        <v>21.95</v>
      </c>
      <c r="F874" t="str">
        <f>VLOOKUP(B874, Menu!$A:$F, 3, 0)</f>
        <v>Dessert</v>
      </c>
      <c r="G874" s="5">
        <f>VLOOKUP(A874, Orders!$A:$B, 2, 0)</f>
        <v>45884.895578703698</v>
      </c>
      <c r="H874" t="str">
        <f>VLOOKUP(A874, Orders!$A:$C, 3, 0)</f>
        <v>Plant 1 Canteen</v>
      </c>
      <c r="I874">
        <f>C874*D874*(1-VLOOKUP(A874,Orders!$A:$G,7,0))</f>
        <v>52.032000000000004</v>
      </c>
      <c r="J874" t="str">
        <f>VLOOKUP(A874,Orders!$A:$G,6,0)</f>
        <v>Dinner</v>
      </c>
      <c r="K874" t="str">
        <f>VLOOKUP(A874,Orders!$A:$G,5,0)</f>
        <v>Card</v>
      </c>
    </row>
    <row r="875" spans="1:11" x14ac:dyDescent="0.3">
      <c r="A875" t="s">
        <v>377</v>
      </c>
      <c r="B875" t="s">
        <v>402</v>
      </c>
      <c r="C875">
        <v>1</v>
      </c>
      <c r="D875">
        <f>VLOOKUP(B875, Menu!$A:$F, 6, 0)</f>
        <v>30.34</v>
      </c>
      <c r="E875">
        <f>VLOOKUP(B875, Menu!$A:$F, 5, 0)</f>
        <v>14.18</v>
      </c>
      <c r="F875" t="str">
        <f>VLOOKUP(B875, Menu!$A:$F, 3, 0)</f>
        <v>Beverage</v>
      </c>
      <c r="G875" s="5">
        <f>VLOOKUP(A875, Orders!$A:$B, 2, 0)</f>
        <v>45884.895578703698</v>
      </c>
      <c r="H875" t="str">
        <f>VLOOKUP(A875, Orders!$A:$C, 3, 0)</f>
        <v>Plant 1 Canteen</v>
      </c>
      <c r="I875">
        <f>C875*D875*(1-VLOOKUP(A875,Orders!$A:$G,7,0))</f>
        <v>29.1264</v>
      </c>
      <c r="J875" t="str">
        <f>VLOOKUP(A875,Orders!$A:$G,6,0)</f>
        <v>Dinner</v>
      </c>
      <c r="K875" t="str">
        <f>VLOOKUP(A875,Orders!$A:$G,5,0)</f>
        <v>Card</v>
      </c>
    </row>
    <row r="876" spans="1:11" x14ac:dyDescent="0.3">
      <c r="A876" t="s">
        <v>378</v>
      </c>
      <c r="B876" t="s">
        <v>418</v>
      </c>
      <c r="C876">
        <v>1</v>
      </c>
      <c r="D876">
        <f>VLOOKUP(B876, Menu!$A:$F, 6, 0)</f>
        <v>39.950000000000003</v>
      </c>
      <c r="E876">
        <f>VLOOKUP(B876, Menu!$A:$F, 5, 0)</f>
        <v>15.51</v>
      </c>
      <c r="F876" t="str">
        <f>VLOOKUP(B876, Menu!$A:$F, 3, 0)</f>
        <v>Snack</v>
      </c>
      <c r="G876" s="5">
        <f>VLOOKUP(A876, Orders!$A:$B, 2, 0)</f>
        <v>45863.87699074074</v>
      </c>
      <c r="H876" t="str">
        <f>VLOOKUP(A876, Orders!$A:$C, 3, 0)</f>
        <v>Head Office Café</v>
      </c>
      <c r="I876">
        <f>C876*D876*(1-VLOOKUP(A876,Orders!$A:$G,7,0))</f>
        <v>39.950000000000003</v>
      </c>
      <c r="J876" t="str">
        <f>VLOOKUP(A876,Orders!$A:$G,6,0)</f>
        <v>Dinner</v>
      </c>
      <c r="K876" t="str">
        <f>VLOOKUP(A876,Orders!$A:$G,5,0)</f>
        <v>Card</v>
      </c>
    </row>
    <row r="877" spans="1:11" x14ac:dyDescent="0.3">
      <c r="A877" t="s">
        <v>378</v>
      </c>
      <c r="B877" t="s">
        <v>403</v>
      </c>
      <c r="C877">
        <v>3</v>
      </c>
      <c r="D877">
        <f>VLOOKUP(B877, Menu!$A:$F, 6, 0)</f>
        <v>76.55</v>
      </c>
      <c r="E877">
        <f>VLOOKUP(B877, Menu!$A:$F, 5, 0)</f>
        <v>38.229999999999997</v>
      </c>
      <c r="F877" t="str">
        <f>VLOOKUP(B877, Menu!$A:$F, 3, 0)</f>
        <v>Dessert</v>
      </c>
      <c r="G877" s="5">
        <f>VLOOKUP(A877, Orders!$A:$B, 2, 0)</f>
        <v>45863.87699074074</v>
      </c>
      <c r="H877" t="str">
        <f>VLOOKUP(A877, Orders!$A:$C, 3, 0)</f>
        <v>Head Office Café</v>
      </c>
      <c r="I877">
        <f>C877*D877*(1-VLOOKUP(A877,Orders!$A:$G,7,0))</f>
        <v>229.64999999999998</v>
      </c>
      <c r="J877" t="str">
        <f>VLOOKUP(A877,Orders!$A:$G,6,0)</f>
        <v>Dinner</v>
      </c>
      <c r="K877" t="str">
        <f>VLOOKUP(A877,Orders!$A:$G,5,0)</f>
        <v>Card</v>
      </c>
    </row>
    <row r="878" spans="1:11" x14ac:dyDescent="0.3">
      <c r="A878" t="s">
        <v>378</v>
      </c>
      <c r="B878" t="s">
        <v>417</v>
      </c>
      <c r="C878">
        <v>1</v>
      </c>
      <c r="D878">
        <f>VLOOKUP(B878, Menu!$A:$F, 6, 0)</f>
        <v>146.4</v>
      </c>
      <c r="E878">
        <f>VLOOKUP(B878, Menu!$A:$F, 5, 0)</f>
        <v>80.92</v>
      </c>
      <c r="F878" t="str">
        <f>VLOOKUP(B878, Menu!$A:$F, 3, 0)</f>
        <v>Hot Meal</v>
      </c>
      <c r="G878" s="5">
        <f>VLOOKUP(A878, Orders!$A:$B, 2, 0)</f>
        <v>45863.87699074074</v>
      </c>
      <c r="H878" t="str">
        <f>VLOOKUP(A878, Orders!$A:$C, 3, 0)</f>
        <v>Head Office Café</v>
      </c>
      <c r="I878">
        <f>C878*D878*(1-VLOOKUP(A878,Orders!$A:$G,7,0))</f>
        <v>146.4</v>
      </c>
      <c r="J878" t="str">
        <f>VLOOKUP(A878,Orders!$A:$G,6,0)</f>
        <v>Dinner</v>
      </c>
      <c r="K878" t="str">
        <f>VLOOKUP(A878,Orders!$A:$G,5,0)</f>
        <v>Card</v>
      </c>
    </row>
    <row r="879" spans="1:11" x14ac:dyDescent="0.3">
      <c r="A879" t="s">
        <v>379</v>
      </c>
      <c r="B879" t="s">
        <v>401</v>
      </c>
      <c r="C879">
        <v>1</v>
      </c>
      <c r="D879">
        <f>VLOOKUP(B879, Menu!$A:$F, 6, 0)</f>
        <v>52.45</v>
      </c>
      <c r="E879">
        <f>VLOOKUP(B879, Menu!$A:$F, 5, 0)</f>
        <v>25.8</v>
      </c>
      <c r="F879" t="str">
        <f>VLOOKUP(B879, Menu!$A:$F, 3, 0)</f>
        <v>Snack</v>
      </c>
      <c r="G879" s="5">
        <f>VLOOKUP(A879, Orders!$A:$B, 2, 0)</f>
        <v>45872.726990740739</v>
      </c>
      <c r="H879" t="str">
        <f>VLOOKUP(A879, Orders!$A:$C, 3, 0)</f>
        <v>Plant 1 Canteen</v>
      </c>
      <c r="I879">
        <f>C879*D879*(1-VLOOKUP(A879,Orders!$A:$G,7,0))</f>
        <v>50.352000000000004</v>
      </c>
      <c r="J879" t="str">
        <f>VLOOKUP(A879,Orders!$A:$G,6,0)</f>
        <v>Dinner</v>
      </c>
      <c r="K879" t="str">
        <f>VLOOKUP(A879,Orders!$A:$G,5,0)</f>
        <v>UPI</v>
      </c>
    </row>
    <row r="880" spans="1:11" x14ac:dyDescent="0.3">
      <c r="A880" t="s">
        <v>379</v>
      </c>
      <c r="B880" t="s">
        <v>409</v>
      </c>
      <c r="C880">
        <v>2</v>
      </c>
      <c r="D880">
        <f>VLOOKUP(B880, Menu!$A:$F, 6, 0)</f>
        <v>28.43</v>
      </c>
      <c r="E880">
        <f>VLOOKUP(B880, Menu!$A:$F, 5, 0)</f>
        <v>13.89</v>
      </c>
      <c r="F880" t="str">
        <f>VLOOKUP(B880, Menu!$A:$F, 3, 0)</f>
        <v>Beverage</v>
      </c>
      <c r="G880" s="5">
        <f>VLOOKUP(A880, Orders!$A:$B, 2, 0)</f>
        <v>45872.726990740739</v>
      </c>
      <c r="H880" t="str">
        <f>VLOOKUP(A880, Orders!$A:$C, 3, 0)</f>
        <v>Plant 1 Canteen</v>
      </c>
      <c r="I880">
        <f>C880*D880*(1-VLOOKUP(A880,Orders!$A:$G,7,0))</f>
        <v>54.585599999999999</v>
      </c>
      <c r="J880" t="str">
        <f>VLOOKUP(A880,Orders!$A:$G,6,0)</f>
        <v>Dinner</v>
      </c>
      <c r="K880" t="str">
        <f>VLOOKUP(A880,Orders!$A:$G,5,0)</f>
        <v>UPI</v>
      </c>
    </row>
    <row r="881" spans="1:11" x14ac:dyDescent="0.3">
      <c r="A881" t="s">
        <v>380</v>
      </c>
      <c r="B881" t="s">
        <v>413</v>
      </c>
      <c r="C881">
        <v>2</v>
      </c>
      <c r="D881">
        <f>VLOOKUP(B881, Menu!$A:$F, 6, 0)</f>
        <v>54.2</v>
      </c>
      <c r="E881">
        <f>VLOOKUP(B881, Menu!$A:$F, 5, 0)</f>
        <v>21.95</v>
      </c>
      <c r="F881" t="str">
        <f>VLOOKUP(B881, Menu!$A:$F, 3, 0)</f>
        <v>Dessert</v>
      </c>
      <c r="G881" s="5">
        <f>VLOOKUP(A881, Orders!$A:$B, 2, 0)</f>
        <v>45895.747199074067</v>
      </c>
      <c r="H881" t="str">
        <f>VLOOKUP(A881, Orders!$A:$C, 3, 0)</f>
        <v>Head Office Café</v>
      </c>
      <c r="I881">
        <f>C881*D881*(1-VLOOKUP(A881,Orders!$A:$G,7,0))</f>
        <v>105.148</v>
      </c>
      <c r="J881" t="str">
        <f>VLOOKUP(A881,Orders!$A:$G,6,0)</f>
        <v>Dinner</v>
      </c>
      <c r="K881" t="str">
        <f>VLOOKUP(A881,Orders!$A:$G,5,0)</f>
        <v>Cash</v>
      </c>
    </row>
    <row r="882" spans="1:11" x14ac:dyDescent="0.3">
      <c r="A882" t="s">
        <v>381</v>
      </c>
      <c r="B882" t="s">
        <v>406</v>
      </c>
      <c r="C882">
        <v>2</v>
      </c>
      <c r="D882">
        <f>VLOOKUP(B882, Menu!$A:$F, 6, 0)</f>
        <v>38.06</v>
      </c>
      <c r="E882">
        <f>VLOOKUP(B882, Menu!$A:$F, 5, 0)</f>
        <v>19.55</v>
      </c>
      <c r="F882" t="str">
        <f>VLOOKUP(B882, Menu!$A:$F, 3, 0)</f>
        <v>Snack</v>
      </c>
      <c r="G882" s="5">
        <f>VLOOKUP(A882, Orders!$A:$B, 2, 0)</f>
        <v>45873.454837962963</v>
      </c>
      <c r="H882" t="str">
        <f>VLOOKUP(A882, Orders!$A:$C, 3, 0)</f>
        <v>Head Office Café</v>
      </c>
      <c r="I882">
        <f>C882*D882*(1-VLOOKUP(A882,Orders!$A:$G,7,0))</f>
        <v>70.791600000000003</v>
      </c>
      <c r="J882" t="str">
        <f>VLOOKUP(A882,Orders!$A:$G,6,0)</f>
        <v>Breakfast</v>
      </c>
      <c r="K882" t="str">
        <f>VLOOKUP(A882,Orders!$A:$G,5,0)</f>
        <v>UPI</v>
      </c>
    </row>
    <row r="883" spans="1:11" x14ac:dyDescent="0.3">
      <c r="A883" t="s">
        <v>381</v>
      </c>
      <c r="B883" t="s">
        <v>413</v>
      </c>
      <c r="C883">
        <v>1</v>
      </c>
      <c r="D883">
        <f>VLOOKUP(B883, Menu!$A:$F, 6, 0)</f>
        <v>54.2</v>
      </c>
      <c r="E883">
        <f>VLOOKUP(B883, Menu!$A:$F, 5, 0)</f>
        <v>21.95</v>
      </c>
      <c r="F883" t="str">
        <f>VLOOKUP(B883, Menu!$A:$F, 3, 0)</f>
        <v>Dessert</v>
      </c>
      <c r="G883" s="5">
        <f>VLOOKUP(A883, Orders!$A:$B, 2, 0)</f>
        <v>45873.454837962963</v>
      </c>
      <c r="H883" t="str">
        <f>VLOOKUP(A883, Orders!$A:$C, 3, 0)</f>
        <v>Head Office Café</v>
      </c>
      <c r="I883">
        <f>C883*D883*(1-VLOOKUP(A883,Orders!$A:$G,7,0))</f>
        <v>50.405999999999999</v>
      </c>
      <c r="J883" t="str">
        <f>VLOOKUP(A883,Orders!$A:$G,6,0)</f>
        <v>Breakfast</v>
      </c>
      <c r="K883" t="str">
        <f>VLOOKUP(A883,Orders!$A:$G,5,0)</f>
        <v>UPI</v>
      </c>
    </row>
    <row r="884" spans="1:11" x14ac:dyDescent="0.3">
      <c r="A884" t="s">
        <v>381</v>
      </c>
      <c r="B884" t="s">
        <v>419</v>
      </c>
      <c r="C884">
        <v>2</v>
      </c>
      <c r="D884">
        <f>VLOOKUP(B884, Menu!$A:$F, 6, 0)</f>
        <v>50.19</v>
      </c>
      <c r="E884">
        <f>VLOOKUP(B884, Menu!$A:$F, 5, 0)</f>
        <v>22.61</v>
      </c>
      <c r="F884" t="str">
        <f>VLOOKUP(B884, Menu!$A:$F, 3, 0)</f>
        <v>Snack</v>
      </c>
      <c r="G884" s="5">
        <f>VLOOKUP(A884, Orders!$A:$B, 2, 0)</f>
        <v>45873.454837962963</v>
      </c>
      <c r="H884" t="str">
        <f>VLOOKUP(A884, Orders!$A:$C, 3, 0)</f>
        <v>Head Office Café</v>
      </c>
      <c r="I884">
        <f>C884*D884*(1-VLOOKUP(A884,Orders!$A:$G,7,0))</f>
        <v>93.353399999999993</v>
      </c>
      <c r="J884" t="str">
        <f>VLOOKUP(A884,Orders!$A:$G,6,0)</f>
        <v>Breakfast</v>
      </c>
      <c r="K884" t="str">
        <f>VLOOKUP(A884,Orders!$A:$G,5,0)</f>
        <v>UPI</v>
      </c>
    </row>
    <row r="885" spans="1:11" x14ac:dyDescent="0.3">
      <c r="A885" t="s">
        <v>382</v>
      </c>
      <c r="B885" t="s">
        <v>411</v>
      </c>
      <c r="C885">
        <v>1</v>
      </c>
      <c r="D885">
        <f>VLOOKUP(B885, Menu!$A:$F, 6, 0)</f>
        <v>22.2</v>
      </c>
      <c r="E885">
        <f>VLOOKUP(B885, Menu!$A:$F, 5, 0)</f>
        <v>9.3800000000000008</v>
      </c>
      <c r="F885" t="str">
        <f>VLOOKUP(B885, Menu!$A:$F, 3, 0)</f>
        <v>Beverage</v>
      </c>
      <c r="G885" s="5">
        <f>VLOOKUP(A885, Orders!$A:$B, 2, 0)</f>
        <v>45884.360405092593</v>
      </c>
      <c r="H885" t="str">
        <f>VLOOKUP(A885, Orders!$A:$C, 3, 0)</f>
        <v>Head Office Café</v>
      </c>
      <c r="I885">
        <f>C885*D885*(1-VLOOKUP(A885,Orders!$A:$G,7,0))</f>
        <v>20.645999999999997</v>
      </c>
      <c r="J885" t="str">
        <f>VLOOKUP(A885,Orders!$A:$G,6,0)</f>
        <v>Breakfast</v>
      </c>
      <c r="K885" t="str">
        <f>VLOOKUP(A885,Orders!$A:$G,5,0)</f>
        <v>UPI</v>
      </c>
    </row>
    <row r="886" spans="1:11" x14ac:dyDescent="0.3">
      <c r="A886" t="s">
        <v>382</v>
      </c>
      <c r="B886" t="s">
        <v>413</v>
      </c>
      <c r="C886">
        <v>3</v>
      </c>
      <c r="D886">
        <f>VLOOKUP(B886, Menu!$A:$F, 6, 0)</f>
        <v>54.2</v>
      </c>
      <c r="E886">
        <f>VLOOKUP(B886, Menu!$A:$F, 5, 0)</f>
        <v>21.95</v>
      </c>
      <c r="F886" t="str">
        <f>VLOOKUP(B886, Menu!$A:$F, 3, 0)</f>
        <v>Dessert</v>
      </c>
      <c r="G886" s="5">
        <f>VLOOKUP(A886, Orders!$A:$B, 2, 0)</f>
        <v>45884.360405092593</v>
      </c>
      <c r="H886" t="str">
        <f>VLOOKUP(A886, Orders!$A:$C, 3, 0)</f>
        <v>Head Office Café</v>
      </c>
      <c r="I886">
        <f>C886*D886*(1-VLOOKUP(A886,Orders!$A:$G,7,0))</f>
        <v>151.21800000000002</v>
      </c>
      <c r="J886" t="str">
        <f>VLOOKUP(A886,Orders!$A:$G,6,0)</f>
        <v>Breakfast</v>
      </c>
      <c r="K886" t="str">
        <f>VLOOKUP(A886,Orders!$A:$G,5,0)</f>
        <v>UPI</v>
      </c>
    </row>
    <row r="887" spans="1:11" x14ac:dyDescent="0.3">
      <c r="A887" t="s">
        <v>382</v>
      </c>
      <c r="B887" t="s">
        <v>416</v>
      </c>
      <c r="C887">
        <v>2</v>
      </c>
      <c r="D887">
        <f>VLOOKUP(B887, Menu!$A:$F, 6, 0)</f>
        <v>227.61</v>
      </c>
      <c r="E887">
        <f>VLOOKUP(B887, Menu!$A:$F, 5, 0)</f>
        <v>96.22</v>
      </c>
      <c r="F887" t="str">
        <f>VLOOKUP(B887, Menu!$A:$F, 3, 0)</f>
        <v>Hot Meal</v>
      </c>
      <c r="G887" s="5">
        <f>VLOOKUP(A887, Orders!$A:$B, 2, 0)</f>
        <v>45884.360405092593</v>
      </c>
      <c r="H887" t="str">
        <f>VLOOKUP(A887, Orders!$A:$C, 3, 0)</f>
        <v>Head Office Café</v>
      </c>
      <c r="I887">
        <f>C887*D887*(1-VLOOKUP(A887,Orders!$A:$G,7,0))</f>
        <v>423.3546</v>
      </c>
      <c r="J887" t="str">
        <f>VLOOKUP(A887,Orders!$A:$G,6,0)</f>
        <v>Breakfast</v>
      </c>
      <c r="K887" t="str">
        <f>VLOOKUP(A887,Orders!$A:$G,5,0)</f>
        <v>UPI</v>
      </c>
    </row>
    <row r="888" spans="1:11" x14ac:dyDescent="0.3">
      <c r="A888" t="s">
        <v>383</v>
      </c>
      <c r="B888" t="s">
        <v>410</v>
      </c>
      <c r="C888">
        <v>1</v>
      </c>
      <c r="D888">
        <f>VLOOKUP(B888, Menu!$A:$F, 6, 0)</f>
        <v>20.11</v>
      </c>
      <c r="E888">
        <f>VLOOKUP(B888, Menu!$A:$F, 5, 0)</f>
        <v>8</v>
      </c>
      <c r="F888" t="str">
        <f>VLOOKUP(B888, Menu!$A:$F, 3, 0)</f>
        <v>Beverage</v>
      </c>
      <c r="G888" s="5">
        <f>VLOOKUP(A888, Orders!$A:$B, 2, 0)</f>
        <v>45852.342881944453</v>
      </c>
      <c r="H888" t="str">
        <f>VLOOKUP(A888, Orders!$A:$C, 3, 0)</f>
        <v>Plant 1 Canteen</v>
      </c>
      <c r="I888">
        <f>C888*D888*(1-VLOOKUP(A888,Orders!$A:$G,7,0))</f>
        <v>17.294599999999999</v>
      </c>
      <c r="J888" t="str">
        <f>VLOOKUP(A888,Orders!$A:$G,6,0)</f>
        <v>Breakfast</v>
      </c>
      <c r="K888" t="str">
        <f>VLOOKUP(A888,Orders!$A:$G,5,0)</f>
        <v>Card</v>
      </c>
    </row>
    <row r="889" spans="1:11" x14ac:dyDescent="0.3">
      <c r="A889" t="s">
        <v>383</v>
      </c>
      <c r="B889" t="s">
        <v>409</v>
      </c>
      <c r="C889">
        <v>2</v>
      </c>
      <c r="D889">
        <f>VLOOKUP(B889, Menu!$A:$F, 6, 0)</f>
        <v>28.43</v>
      </c>
      <c r="E889">
        <f>VLOOKUP(B889, Menu!$A:$F, 5, 0)</f>
        <v>13.89</v>
      </c>
      <c r="F889" t="str">
        <f>VLOOKUP(B889, Menu!$A:$F, 3, 0)</f>
        <v>Beverage</v>
      </c>
      <c r="G889" s="5">
        <f>VLOOKUP(A889, Orders!$A:$B, 2, 0)</f>
        <v>45852.342881944453</v>
      </c>
      <c r="H889" t="str">
        <f>VLOOKUP(A889, Orders!$A:$C, 3, 0)</f>
        <v>Plant 1 Canteen</v>
      </c>
      <c r="I889">
        <f>C889*D889*(1-VLOOKUP(A889,Orders!$A:$G,7,0))</f>
        <v>48.8996</v>
      </c>
      <c r="J889" t="str">
        <f>VLOOKUP(A889,Orders!$A:$G,6,0)</f>
        <v>Breakfast</v>
      </c>
      <c r="K889" t="str">
        <f>VLOOKUP(A889,Orders!$A:$G,5,0)</f>
        <v>Card</v>
      </c>
    </row>
    <row r="890" spans="1:11" x14ac:dyDescent="0.3">
      <c r="A890" t="s">
        <v>384</v>
      </c>
      <c r="B890" t="s">
        <v>417</v>
      </c>
      <c r="C890">
        <v>2</v>
      </c>
      <c r="D890">
        <f>VLOOKUP(B890, Menu!$A:$F, 6, 0)</f>
        <v>146.4</v>
      </c>
      <c r="E890">
        <f>VLOOKUP(B890, Menu!$A:$F, 5, 0)</f>
        <v>80.92</v>
      </c>
      <c r="F890" t="str">
        <f>VLOOKUP(B890, Menu!$A:$F, 3, 0)</f>
        <v>Hot Meal</v>
      </c>
      <c r="G890" s="5">
        <f>VLOOKUP(A890, Orders!$A:$B, 2, 0)</f>
        <v>45867.740439814806</v>
      </c>
      <c r="H890" t="str">
        <f>VLOOKUP(A890, Orders!$A:$C, 3, 0)</f>
        <v>Plant 1 Canteen</v>
      </c>
      <c r="I890">
        <f>C890*D890*(1-VLOOKUP(A890,Orders!$A:$G,7,0))</f>
        <v>263.52000000000004</v>
      </c>
      <c r="J890" t="str">
        <f>VLOOKUP(A890,Orders!$A:$G,6,0)</f>
        <v>Dinner</v>
      </c>
      <c r="K890" t="str">
        <f>VLOOKUP(A890,Orders!$A:$G,5,0)</f>
        <v>Cash</v>
      </c>
    </row>
    <row r="891" spans="1:11" x14ac:dyDescent="0.3">
      <c r="A891" t="s">
        <v>384</v>
      </c>
      <c r="B891" t="s">
        <v>415</v>
      </c>
      <c r="C891">
        <v>1</v>
      </c>
      <c r="D891">
        <f>VLOOKUP(B891, Menu!$A:$F, 6, 0)</f>
        <v>256.91000000000003</v>
      </c>
      <c r="E891">
        <f>VLOOKUP(B891, Menu!$A:$F, 5, 0)</f>
        <v>121.24</v>
      </c>
      <c r="F891" t="str">
        <f>VLOOKUP(B891, Menu!$A:$F, 3, 0)</f>
        <v>Hot Meal</v>
      </c>
      <c r="G891" s="5">
        <f>VLOOKUP(A891, Orders!$A:$B, 2, 0)</f>
        <v>45867.740439814806</v>
      </c>
      <c r="H891" t="str">
        <f>VLOOKUP(A891, Orders!$A:$C, 3, 0)</f>
        <v>Plant 1 Canteen</v>
      </c>
      <c r="I891">
        <f>C891*D891*(1-VLOOKUP(A891,Orders!$A:$G,7,0))</f>
        <v>231.21900000000002</v>
      </c>
      <c r="J891" t="str">
        <f>VLOOKUP(A891,Orders!$A:$G,6,0)</f>
        <v>Dinner</v>
      </c>
      <c r="K891" t="str">
        <f>VLOOKUP(A891,Orders!$A:$G,5,0)</f>
        <v>Cash</v>
      </c>
    </row>
    <row r="892" spans="1:11" x14ac:dyDescent="0.3">
      <c r="A892" t="s">
        <v>385</v>
      </c>
      <c r="B892" t="s">
        <v>405</v>
      </c>
      <c r="C892">
        <v>2</v>
      </c>
      <c r="D892">
        <f>VLOOKUP(B892, Menu!$A:$F, 6, 0)</f>
        <v>170.83</v>
      </c>
      <c r="E892">
        <f>VLOOKUP(B892, Menu!$A:$F, 5, 0)</f>
        <v>74.069999999999993</v>
      </c>
      <c r="F892" t="str">
        <f>VLOOKUP(B892, Menu!$A:$F, 3, 0)</f>
        <v>Hot Meal</v>
      </c>
      <c r="G892" s="5">
        <f>VLOOKUP(A892, Orders!$A:$B, 2, 0)</f>
        <v>45869.89130787037</v>
      </c>
      <c r="H892" t="str">
        <f>VLOOKUP(A892, Orders!$A:$C, 3, 0)</f>
        <v>Plant 2 Canteen</v>
      </c>
      <c r="I892">
        <f>C892*D892*(1-VLOOKUP(A892,Orders!$A:$G,7,0))</f>
        <v>327.99360000000001</v>
      </c>
      <c r="J892" t="str">
        <f>VLOOKUP(A892,Orders!$A:$G,6,0)</f>
        <v>Dinner</v>
      </c>
      <c r="K892" t="str">
        <f>VLOOKUP(A892,Orders!$A:$G,5,0)</f>
        <v>Card</v>
      </c>
    </row>
    <row r="893" spans="1:11" x14ac:dyDescent="0.3">
      <c r="A893" t="s">
        <v>385</v>
      </c>
      <c r="B893" t="s">
        <v>415</v>
      </c>
      <c r="C893">
        <v>3</v>
      </c>
      <c r="D893">
        <f>VLOOKUP(B893, Menu!$A:$F, 6, 0)</f>
        <v>256.91000000000003</v>
      </c>
      <c r="E893">
        <f>VLOOKUP(B893, Menu!$A:$F, 5, 0)</f>
        <v>121.24</v>
      </c>
      <c r="F893" t="str">
        <f>VLOOKUP(B893, Menu!$A:$F, 3, 0)</f>
        <v>Hot Meal</v>
      </c>
      <c r="G893" s="5">
        <f>VLOOKUP(A893, Orders!$A:$B, 2, 0)</f>
        <v>45869.89130787037</v>
      </c>
      <c r="H893" t="str">
        <f>VLOOKUP(A893, Orders!$A:$C, 3, 0)</f>
        <v>Plant 2 Canteen</v>
      </c>
      <c r="I893">
        <f>C893*D893*(1-VLOOKUP(A893,Orders!$A:$G,7,0))</f>
        <v>739.9008</v>
      </c>
      <c r="J893" t="str">
        <f>VLOOKUP(A893,Orders!$A:$G,6,0)</f>
        <v>Dinner</v>
      </c>
      <c r="K893" t="str">
        <f>VLOOKUP(A893,Orders!$A:$G,5,0)</f>
        <v>Card</v>
      </c>
    </row>
    <row r="894" spans="1:11" x14ac:dyDescent="0.3">
      <c r="A894" t="s">
        <v>385</v>
      </c>
      <c r="B894" t="s">
        <v>408</v>
      </c>
      <c r="C894">
        <v>1</v>
      </c>
      <c r="D894">
        <f>VLOOKUP(B894, Menu!$A:$F, 6, 0)</f>
        <v>70.540000000000006</v>
      </c>
      <c r="E894">
        <f>VLOOKUP(B894, Menu!$A:$F, 5, 0)</f>
        <v>35.81</v>
      </c>
      <c r="F894" t="str">
        <f>VLOOKUP(B894, Menu!$A:$F, 3, 0)</f>
        <v>Snack</v>
      </c>
      <c r="G894" s="5">
        <f>VLOOKUP(A894, Orders!$A:$B, 2, 0)</f>
        <v>45869.89130787037</v>
      </c>
      <c r="H894" t="str">
        <f>VLOOKUP(A894, Orders!$A:$C, 3, 0)</f>
        <v>Plant 2 Canteen</v>
      </c>
      <c r="I894">
        <f>C894*D894*(1-VLOOKUP(A894,Orders!$A:$G,7,0))</f>
        <v>67.718400000000003</v>
      </c>
      <c r="J894" t="str">
        <f>VLOOKUP(A894,Orders!$A:$G,6,0)</f>
        <v>Dinner</v>
      </c>
      <c r="K894" t="str">
        <f>VLOOKUP(A894,Orders!$A:$G,5,0)</f>
        <v>Card</v>
      </c>
    </row>
    <row r="895" spans="1:11" x14ac:dyDescent="0.3">
      <c r="A895" t="s">
        <v>385</v>
      </c>
      <c r="B895" t="s">
        <v>412</v>
      </c>
      <c r="C895">
        <v>2</v>
      </c>
      <c r="D895">
        <f>VLOOKUP(B895, Menu!$A:$F, 6, 0)</f>
        <v>57.07</v>
      </c>
      <c r="E895">
        <f>VLOOKUP(B895, Menu!$A:$F, 5, 0)</f>
        <v>29.14</v>
      </c>
      <c r="F895" t="str">
        <f>VLOOKUP(B895, Menu!$A:$F, 3, 0)</f>
        <v>Dessert</v>
      </c>
      <c r="G895" s="5">
        <f>VLOOKUP(A895, Orders!$A:$B, 2, 0)</f>
        <v>45869.89130787037</v>
      </c>
      <c r="H895" t="str">
        <f>VLOOKUP(A895, Orders!$A:$C, 3, 0)</f>
        <v>Plant 2 Canteen</v>
      </c>
      <c r="I895">
        <f>C895*D895*(1-VLOOKUP(A895,Orders!$A:$G,7,0))</f>
        <v>109.5744</v>
      </c>
      <c r="J895" t="str">
        <f>VLOOKUP(A895,Orders!$A:$G,6,0)</f>
        <v>Dinner</v>
      </c>
      <c r="K895" t="str">
        <f>VLOOKUP(A895,Orders!$A:$G,5,0)</f>
        <v>Card</v>
      </c>
    </row>
    <row r="896" spans="1:11" x14ac:dyDescent="0.3">
      <c r="A896" t="s">
        <v>386</v>
      </c>
      <c r="B896" t="s">
        <v>414</v>
      </c>
      <c r="C896">
        <v>1</v>
      </c>
      <c r="D896">
        <f>VLOOKUP(B896, Menu!$A:$F, 6, 0)</f>
        <v>116.8</v>
      </c>
      <c r="E896">
        <f>VLOOKUP(B896, Menu!$A:$F, 5, 0)</f>
        <v>48.97</v>
      </c>
      <c r="F896" t="str">
        <f>VLOOKUP(B896, Menu!$A:$F, 3, 0)</f>
        <v>Dessert</v>
      </c>
      <c r="G896" s="5">
        <f>VLOOKUP(A896, Orders!$A:$B, 2, 0)</f>
        <v>45885.212557870371</v>
      </c>
      <c r="H896" t="str">
        <f>VLOOKUP(A896, Orders!$A:$C, 3, 0)</f>
        <v>Plant 2 Canteen</v>
      </c>
      <c r="I896">
        <f>C896*D896*(1-VLOOKUP(A896,Orders!$A:$G,7,0))</f>
        <v>114.464</v>
      </c>
      <c r="J896" t="str">
        <f>VLOOKUP(A896,Orders!$A:$G,6,0)</f>
        <v>Breakfast</v>
      </c>
      <c r="K896" t="str">
        <f>VLOOKUP(A896,Orders!$A:$G,5,0)</f>
        <v>UPI</v>
      </c>
    </row>
    <row r="897" spans="1:11" x14ac:dyDescent="0.3">
      <c r="A897" t="s">
        <v>386</v>
      </c>
      <c r="B897" t="s">
        <v>407</v>
      </c>
      <c r="C897">
        <v>1</v>
      </c>
      <c r="D897">
        <f>VLOOKUP(B897, Menu!$A:$F, 6, 0)</f>
        <v>246.09</v>
      </c>
      <c r="E897">
        <f>VLOOKUP(B897, Menu!$A:$F, 5, 0)</f>
        <v>112.08</v>
      </c>
      <c r="F897" t="str">
        <f>VLOOKUP(B897, Menu!$A:$F, 3, 0)</f>
        <v>Hot Meal</v>
      </c>
      <c r="G897" s="5">
        <f>VLOOKUP(A897, Orders!$A:$B, 2, 0)</f>
        <v>45885.212557870371</v>
      </c>
      <c r="H897" t="str">
        <f>VLOOKUP(A897, Orders!$A:$C, 3, 0)</f>
        <v>Plant 2 Canteen</v>
      </c>
      <c r="I897">
        <f>C897*D897*(1-VLOOKUP(A897,Orders!$A:$G,7,0))</f>
        <v>241.16820000000001</v>
      </c>
      <c r="J897" t="str">
        <f>VLOOKUP(A897,Orders!$A:$G,6,0)</f>
        <v>Breakfast</v>
      </c>
      <c r="K897" t="str">
        <f>VLOOKUP(A897,Orders!$A:$G,5,0)</f>
        <v>UPI</v>
      </c>
    </row>
    <row r="898" spans="1:11" x14ac:dyDescent="0.3">
      <c r="A898" t="s">
        <v>386</v>
      </c>
      <c r="B898" t="s">
        <v>403</v>
      </c>
      <c r="C898">
        <v>3</v>
      </c>
      <c r="D898">
        <f>VLOOKUP(B898, Menu!$A:$F, 6, 0)</f>
        <v>76.55</v>
      </c>
      <c r="E898">
        <f>VLOOKUP(B898, Menu!$A:$F, 5, 0)</f>
        <v>38.229999999999997</v>
      </c>
      <c r="F898" t="str">
        <f>VLOOKUP(B898, Menu!$A:$F, 3, 0)</f>
        <v>Dessert</v>
      </c>
      <c r="G898" s="5">
        <f>VLOOKUP(A898, Orders!$A:$B, 2, 0)</f>
        <v>45885.212557870371</v>
      </c>
      <c r="H898" t="str">
        <f>VLOOKUP(A898, Orders!$A:$C, 3, 0)</f>
        <v>Plant 2 Canteen</v>
      </c>
      <c r="I898">
        <f>C898*D898*(1-VLOOKUP(A898,Orders!$A:$G,7,0))</f>
        <v>225.05699999999996</v>
      </c>
      <c r="J898" t="str">
        <f>VLOOKUP(A898,Orders!$A:$G,6,0)</f>
        <v>Breakfast</v>
      </c>
      <c r="K898" t="str">
        <f>VLOOKUP(A898,Orders!$A:$G,5,0)</f>
        <v>UPI</v>
      </c>
    </row>
    <row r="899" spans="1:11" x14ac:dyDescent="0.3">
      <c r="A899" t="s">
        <v>386</v>
      </c>
      <c r="B899" t="s">
        <v>405</v>
      </c>
      <c r="C899">
        <v>2</v>
      </c>
      <c r="D899">
        <f>VLOOKUP(B899, Menu!$A:$F, 6, 0)</f>
        <v>170.83</v>
      </c>
      <c r="E899">
        <f>VLOOKUP(B899, Menu!$A:$F, 5, 0)</f>
        <v>74.069999999999993</v>
      </c>
      <c r="F899" t="str">
        <f>VLOOKUP(B899, Menu!$A:$F, 3, 0)</f>
        <v>Hot Meal</v>
      </c>
      <c r="G899" s="5">
        <f>VLOOKUP(A899, Orders!$A:$B, 2, 0)</f>
        <v>45885.212557870371</v>
      </c>
      <c r="H899" t="str">
        <f>VLOOKUP(A899, Orders!$A:$C, 3, 0)</f>
        <v>Plant 2 Canteen</v>
      </c>
      <c r="I899">
        <f>C899*D899*(1-VLOOKUP(A899,Orders!$A:$G,7,0))</f>
        <v>334.82679999999999</v>
      </c>
      <c r="J899" t="str">
        <f>VLOOKUP(A899,Orders!$A:$G,6,0)</f>
        <v>Breakfast</v>
      </c>
      <c r="K899" t="str">
        <f>VLOOKUP(A899,Orders!$A:$G,5,0)</f>
        <v>UPI</v>
      </c>
    </row>
    <row r="900" spans="1:11" x14ac:dyDescent="0.3">
      <c r="A900" t="s">
        <v>387</v>
      </c>
      <c r="B900" t="s">
        <v>404</v>
      </c>
      <c r="C900">
        <v>2</v>
      </c>
      <c r="D900">
        <f>VLOOKUP(B900, Menu!$A:$F, 6, 0)</f>
        <v>32.979999999999997</v>
      </c>
      <c r="E900">
        <f>VLOOKUP(B900, Menu!$A:$F, 5, 0)</f>
        <v>11.84</v>
      </c>
      <c r="F900" t="str">
        <f>VLOOKUP(B900, Menu!$A:$F, 3, 0)</f>
        <v>Beverage</v>
      </c>
      <c r="G900" s="5">
        <f>VLOOKUP(A900, Orders!$A:$B, 2, 0)</f>
        <v>45867.028611111113</v>
      </c>
      <c r="H900" t="str">
        <f>VLOOKUP(A900, Orders!$A:$C, 3, 0)</f>
        <v>Plant 2 Canteen</v>
      </c>
      <c r="I900">
        <f>C900*D900*(1-VLOOKUP(A900,Orders!$A:$G,7,0))</f>
        <v>60.683199999999999</v>
      </c>
      <c r="J900" t="str">
        <f>VLOOKUP(A900,Orders!$A:$G,6,0)</f>
        <v>Breakfast</v>
      </c>
      <c r="K900" t="str">
        <f>VLOOKUP(A900,Orders!$A:$G,5,0)</f>
        <v>UPI</v>
      </c>
    </row>
    <row r="901" spans="1:11" x14ac:dyDescent="0.3">
      <c r="A901" t="s">
        <v>387</v>
      </c>
      <c r="B901" t="s">
        <v>417</v>
      </c>
      <c r="C901">
        <v>2</v>
      </c>
      <c r="D901">
        <f>VLOOKUP(B901, Menu!$A:$F, 6, 0)</f>
        <v>146.4</v>
      </c>
      <c r="E901">
        <f>VLOOKUP(B901, Menu!$A:$F, 5, 0)</f>
        <v>80.92</v>
      </c>
      <c r="F901" t="str">
        <f>VLOOKUP(B901, Menu!$A:$F, 3, 0)</f>
        <v>Hot Meal</v>
      </c>
      <c r="G901" s="5">
        <f>VLOOKUP(A901, Orders!$A:$B, 2, 0)</f>
        <v>45867.028611111113</v>
      </c>
      <c r="H901" t="str">
        <f>VLOOKUP(A901, Orders!$A:$C, 3, 0)</f>
        <v>Plant 2 Canteen</v>
      </c>
      <c r="I901">
        <f>C901*D901*(1-VLOOKUP(A901,Orders!$A:$G,7,0))</f>
        <v>269.37600000000003</v>
      </c>
      <c r="J901" t="str">
        <f>VLOOKUP(A901,Orders!$A:$G,6,0)</f>
        <v>Breakfast</v>
      </c>
      <c r="K901" t="str">
        <f>VLOOKUP(A901,Orders!$A:$G,5,0)</f>
        <v>UPI</v>
      </c>
    </row>
    <row r="902" spans="1:11" x14ac:dyDescent="0.3">
      <c r="A902" t="s">
        <v>387</v>
      </c>
      <c r="B902" t="s">
        <v>409</v>
      </c>
      <c r="C902">
        <v>1</v>
      </c>
      <c r="D902">
        <f>VLOOKUP(B902, Menu!$A:$F, 6, 0)</f>
        <v>28.43</v>
      </c>
      <c r="E902">
        <f>VLOOKUP(B902, Menu!$A:$F, 5, 0)</f>
        <v>13.89</v>
      </c>
      <c r="F902" t="str">
        <f>VLOOKUP(B902, Menu!$A:$F, 3, 0)</f>
        <v>Beverage</v>
      </c>
      <c r="G902" s="5">
        <f>VLOOKUP(A902, Orders!$A:$B, 2, 0)</f>
        <v>45867.028611111113</v>
      </c>
      <c r="H902" t="str">
        <f>VLOOKUP(A902, Orders!$A:$C, 3, 0)</f>
        <v>Plant 2 Canteen</v>
      </c>
      <c r="I902">
        <f>C902*D902*(1-VLOOKUP(A902,Orders!$A:$G,7,0))</f>
        <v>26.1556</v>
      </c>
      <c r="J902" t="str">
        <f>VLOOKUP(A902,Orders!$A:$G,6,0)</f>
        <v>Breakfast</v>
      </c>
      <c r="K902" t="str">
        <f>VLOOKUP(A902,Orders!$A:$G,5,0)</f>
        <v>UPI</v>
      </c>
    </row>
    <row r="903" spans="1:11" x14ac:dyDescent="0.3">
      <c r="A903" t="s">
        <v>388</v>
      </c>
      <c r="B903" t="s">
        <v>402</v>
      </c>
      <c r="C903">
        <v>2</v>
      </c>
      <c r="D903">
        <f>VLOOKUP(B903, Menu!$A:$F, 6, 0)</f>
        <v>30.34</v>
      </c>
      <c r="E903">
        <f>VLOOKUP(B903, Menu!$A:$F, 5, 0)</f>
        <v>14.18</v>
      </c>
      <c r="F903" t="str">
        <f>VLOOKUP(B903, Menu!$A:$F, 3, 0)</f>
        <v>Beverage</v>
      </c>
      <c r="G903" s="5">
        <f>VLOOKUP(A903, Orders!$A:$B, 2, 0)</f>
        <v>45865.776701388888</v>
      </c>
      <c r="H903" t="str">
        <f>VLOOKUP(A903, Orders!$A:$C, 3, 0)</f>
        <v>Plant 1 Canteen</v>
      </c>
      <c r="I903">
        <f>C903*D903*(1-VLOOKUP(A903,Orders!$A:$G,7,0))</f>
        <v>60.0732</v>
      </c>
      <c r="J903" t="str">
        <f>VLOOKUP(A903,Orders!$A:$G,6,0)</f>
        <v>Dinner</v>
      </c>
      <c r="K903" t="str">
        <f>VLOOKUP(A903,Orders!$A:$G,5,0)</f>
        <v>Card</v>
      </c>
    </row>
    <row r="904" spans="1:11" x14ac:dyDescent="0.3">
      <c r="A904" t="s">
        <v>389</v>
      </c>
      <c r="B904" t="s">
        <v>410</v>
      </c>
      <c r="C904">
        <v>1</v>
      </c>
      <c r="D904">
        <f>VLOOKUP(B904, Menu!$A:$F, 6, 0)</f>
        <v>20.11</v>
      </c>
      <c r="E904">
        <f>VLOOKUP(B904, Menu!$A:$F, 5, 0)</f>
        <v>8</v>
      </c>
      <c r="F904" t="str">
        <f>VLOOKUP(B904, Menu!$A:$F, 3, 0)</f>
        <v>Beverage</v>
      </c>
      <c r="G904" s="5">
        <f>VLOOKUP(A904, Orders!$A:$B, 2, 0)</f>
        <v>45881.944189814807</v>
      </c>
      <c r="H904" t="str">
        <f>VLOOKUP(A904, Orders!$A:$C, 3, 0)</f>
        <v>Plant 2 Canteen</v>
      </c>
      <c r="I904">
        <f>C904*D904*(1-VLOOKUP(A904,Orders!$A:$G,7,0))</f>
        <v>17.495699999999999</v>
      </c>
      <c r="J904" t="str">
        <f>VLOOKUP(A904,Orders!$A:$G,6,0)</f>
        <v>Dinner</v>
      </c>
      <c r="K904" t="str">
        <f>VLOOKUP(A904,Orders!$A:$G,5,0)</f>
        <v>Cash</v>
      </c>
    </row>
    <row r="905" spans="1:11" x14ac:dyDescent="0.3">
      <c r="A905" t="s">
        <v>389</v>
      </c>
      <c r="B905" t="s">
        <v>413</v>
      </c>
      <c r="C905">
        <v>2</v>
      </c>
      <c r="D905">
        <f>VLOOKUP(B905, Menu!$A:$F, 6, 0)</f>
        <v>54.2</v>
      </c>
      <c r="E905">
        <f>VLOOKUP(B905, Menu!$A:$F, 5, 0)</f>
        <v>21.95</v>
      </c>
      <c r="F905" t="str">
        <f>VLOOKUP(B905, Menu!$A:$F, 3, 0)</f>
        <v>Dessert</v>
      </c>
      <c r="G905" s="5">
        <f>VLOOKUP(A905, Orders!$A:$B, 2, 0)</f>
        <v>45881.944189814807</v>
      </c>
      <c r="H905" t="str">
        <f>VLOOKUP(A905, Orders!$A:$C, 3, 0)</f>
        <v>Plant 2 Canteen</v>
      </c>
      <c r="I905">
        <f>C905*D905*(1-VLOOKUP(A905,Orders!$A:$G,7,0))</f>
        <v>94.308000000000007</v>
      </c>
      <c r="J905" t="str">
        <f>VLOOKUP(A905,Orders!$A:$G,6,0)</f>
        <v>Dinner</v>
      </c>
      <c r="K905" t="str">
        <f>VLOOKUP(A905,Orders!$A:$G,5,0)</f>
        <v>Cash</v>
      </c>
    </row>
    <row r="906" spans="1:11" x14ac:dyDescent="0.3">
      <c r="A906" t="s">
        <v>389</v>
      </c>
      <c r="B906" t="s">
        <v>402</v>
      </c>
      <c r="C906">
        <v>1</v>
      </c>
      <c r="D906">
        <f>VLOOKUP(B906, Menu!$A:$F, 6, 0)</f>
        <v>30.34</v>
      </c>
      <c r="E906">
        <f>VLOOKUP(B906, Menu!$A:$F, 5, 0)</f>
        <v>14.18</v>
      </c>
      <c r="F906" t="str">
        <f>VLOOKUP(B906, Menu!$A:$F, 3, 0)</f>
        <v>Beverage</v>
      </c>
      <c r="G906" s="5">
        <f>VLOOKUP(A906, Orders!$A:$B, 2, 0)</f>
        <v>45881.944189814807</v>
      </c>
      <c r="H906" t="str">
        <f>VLOOKUP(A906, Orders!$A:$C, 3, 0)</f>
        <v>Plant 2 Canteen</v>
      </c>
      <c r="I906">
        <f>C906*D906*(1-VLOOKUP(A906,Orders!$A:$G,7,0))</f>
        <v>26.395800000000001</v>
      </c>
      <c r="J906" t="str">
        <f>VLOOKUP(A906,Orders!$A:$G,6,0)</f>
        <v>Dinner</v>
      </c>
      <c r="K906" t="str">
        <f>VLOOKUP(A906,Orders!$A:$G,5,0)</f>
        <v>Cash</v>
      </c>
    </row>
    <row r="907" spans="1:11" x14ac:dyDescent="0.3">
      <c r="A907" t="s">
        <v>389</v>
      </c>
      <c r="B907" t="s">
        <v>406</v>
      </c>
      <c r="C907">
        <v>2</v>
      </c>
      <c r="D907">
        <f>VLOOKUP(B907, Menu!$A:$F, 6, 0)</f>
        <v>38.06</v>
      </c>
      <c r="E907">
        <f>VLOOKUP(B907, Menu!$A:$F, 5, 0)</f>
        <v>19.55</v>
      </c>
      <c r="F907" t="str">
        <f>VLOOKUP(B907, Menu!$A:$F, 3, 0)</f>
        <v>Snack</v>
      </c>
      <c r="G907" s="5">
        <f>VLOOKUP(A907, Orders!$A:$B, 2, 0)</f>
        <v>45881.944189814807</v>
      </c>
      <c r="H907" t="str">
        <f>VLOOKUP(A907, Orders!$A:$C, 3, 0)</f>
        <v>Plant 2 Canteen</v>
      </c>
      <c r="I907">
        <f>C907*D907*(1-VLOOKUP(A907,Orders!$A:$G,7,0))</f>
        <v>66.224400000000003</v>
      </c>
      <c r="J907" t="str">
        <f>VLOOKUP(A907,Orders!$A:$G,6,0)</f>
        <v>Dinner</v>
      </c>
      <c r="K907" t="str">
        <f>VLOOKUP(A907,Orders!$A:$G,5,0)</f>
        <v>Cash</v>
      </c>
    </row>
    <row r="908" spans="1:11" x14ac:dyDescent="0.3">
      <c r="A908" t="s">
        <v>390</v>
      </c>
      <c r="B908" t="s">
        <v>403</v>
      </c>
      <c r="C908">
        <v>3</v>
      </c>
      <c r="D908">
        <f>VLOOKUP(B908, Menu!$A:$F, 6, 0)</f>
        <v>76.55</v>
      </c>
      <c r="E908">
        <f>VLOOKUP(B908, Menu!$A:$F, 5, 0)</f>
        <v>38.229999999999997</v>
      </c>
      <c r="F908" t="str">
        <f>VLOOKUP(B908, Menu!$A:$F, 3, 0)</f>
        <v>Dessert</v>
      </c>
      <c r="G908" s="5">
        <f>VLOOKUP(A908, Orders!$A:$B, 2, 0)</f>
        <v>45887.554722222223</v>
      </c>
      <c r="H908" t="str">
        <f>VLOOKUP(A908, Orders!$A:$C, 3, 0)</f>
        <v>Plant 2 Canteen</v>
      </c>
      <c r="I908">
        <f>C908*D908*(1-VLOOKUP(A908,Orders!$A:$G,7,0))</f>
        <v>204.38849999999999</v>
      </c>
      <c r="J908" t="str">
        <f>VLOOKUP(A908,Orders!$A:$G,6,0)</f>
        <v>Lunch</v>
      </c>
      <c r="K908" t="str">
        <f>VLOOKUP(A908,Orders!$A:$G,5,0)</f>
        <v>Card</v>
      </c>
    </row>
    <row r="909" spans="1:11" x14ac:dyDescent="0.3">
      <c r="A909" t="s">
        <v>391</v>
      </c>
      <c r="B909" t="s">
        <v>403</v>
      </c>
      <c r="C909">
        <v>2</v>
      </c>
      <c r="D909">
        <f>VLOOKUP(B909, Menu!$A:$F, 6, 0)</f>
        <v>76.55</v>
      </c>
      <c r="E909">
        <f>VLOOKUP(B909, Menu!$A:$F, 5, 0)</f>
        <v>38.229999999999997</v>
      </c>
      <c r="F909" t="str">
        <f>VLOOKUP(B909, Menu!$A:$F, 3, 0)</f>
        <v>Dessert</v>
      </c>
      <c r="G909" s="5">
        <f>VLOOKUP(A909, Orders!$A:$B, 2, 0)</f>
        <v>45880.464826388888</v>
      </c>
      <c r="H909" t="str">
        <f>VLOOKUP(A909, Orders!$A:$C, 3, 0)</f>
        <v>Plant 1 Canteen</v>
      </c>
      <c r="I909">
        <f>C909*D909*(1-VLOOKUP(A909,Orders!$A:$G,7,0))</f>
        <v>146.976</v>
      </c>
      <c r="J909" t="str">
        <f>VLOOKUP(A909,Orders!$A:$G,6,0)</f>
        <v>Lunch</v>
      </c>
      <c r="K909" t="str">
        <f>VLOOKUP(A909,Orders!$A:$G,5,0)</f>
        <v>UPI</v>
      </c>
    </row>
    <row r="910" spans="1:11" x14ac:dyDescent="0.3">
      <c r="A910" t="s">
        <v>391</v>
      </c>
      <c r="B910" t="s">
        <v>406</v>
      </c>
      <c r="C910">
        <v>1</v>
      </c>
      <c r="D910">
        <f>VLOOKUP(B910, Menu!$A:$F, 6, 0)</f>
        <v>38.06</v>
      </c>
      <c r="E910">
        <f>VLOOKUP(B910, Menu!$A:$F, 5, 0)</f>
        <v>19.55</v>
      </c>
      <c r="F910" t="str">
        <f>VLOOKUP(B910, Menu!$A:$F, 3, 0)</f>
        <v>Snack</v>
      </c>
      <c r="G910" s="5">
        <f>VLOOKUP(A910, Orders!$A:$B, 2, 0)</f>
        <v>45880.464826388888</v>
      </c>
      <c r="H910" t="str">
        <f>VLOOKUP(A910, Orders!$A:$C, 3, 0)</f>
        <v>Plant 1 Canteen</v>
      </c>
      <c r="I910">
        <f>C910*D910*(1-VLOOKUP(A910,Orders!$A:$G,7,0))</f>
        <v>36.537599999999998</v>
      </c>
      <c r="J910" t="str">
        <f>VLOOKUP(A910,Orders!$A:$G,6,0)</f>
        <v>Lunch</v>
      </c>
      <c r="K910" t="str">
        <f>VLOOKUP(A910,Orders!$A:$G,5,0)</f>
        <v>UPI</v>
      </c>
    </row>
    <row r="911" spans="1:11" x14ac:dyDescent="0.3">
      <c r="A911" t="s">
        <v>392</v>
      </c>
      <c r="B911" t="s">
        <v>412</v>
      </c>
      <c r="C911">
        <v>1</v>
      </c>
      <c r="D911">
        <f>VLOOKUP(B911, Menu!$A:$F, 6, 0)</f>
        <v>57.07</v>
      </c>
      <c r="E911">
        <f>VLOOKUP(B911, Menu!$A:$F, 5, 0)</f>
        <v>29.14</v>
      </c>
      <c r="F911" t="str">
        <f>VLOOKUP(B911, Menu!$A:$F, 3, 0)</f>
        <v>Dessert</v>
      </c>
      <c r="G911" s="5">
        <f>VLOOKUP(A911, Orders!$A:$B, 2, 0)</f>
        <v>45892.210300925923</v>
      </c>
      <c r="H911" t="str">
        <f>VLOOKUP(A911, Orders!$A:$C, 3, 0)</f>
        <v>Plant 2 Canteen</v>
      </c>
      <c r="I911">
        <f>C911*D911*(1-VLOOKUP(A911,Orders!$A:$G,7,0))</f>
        <v>57.07</v>
      </c>
      <c r="J911" t="str">
        <f>VLOOKUP(A911,Orders!$A:$G,6,0)</f>
        <v>Breakfast</v>
      </c>
      <c r="K911" t="str">
        <f>VLOOKUP(A911,Orders!$A:$G,5,0)</f>
        <v>Cash</v>
      </c>
    </row>
    <row r="912" spans="1:11" x14ac:dyDescent="0.3">
      <c r="A912" t="s">
        <v>392</v>
      </c>
      <c r="B912" t="s">
        <v>402</v>
      </c>
      <c r="C912">
        <v>1</v>
      </c>
      <c r="D912">
        <f>VLOOKUP(B912, Menu!$A:$F, 6, 0)</f>
        <v>30.34</v>
      </c>
      <c r="E912">
        <f>VLOOKUP(B912, Menu!$A:$F, 5, 0)</f>
        <v>14.18</v>
      </c>
      <c r="F912" t="str">
        <f>VLOOKUP(B912, Menu!$A:$F, 3, 0)</f>
        <v>Beverage</v>
      </c>
      <c r="G912" s="5">
        <f>VLOOKUP(A912, Orders!$A:$B, 2, 0)</f>
        <v>45892.210300925923</v>
      </c>
      <c r="H912" t="str">
        <f>VLOOKUP(A912, Orders!$A:$C, 3, 0)</f>
        <v>Plant 2 Canteen</v>
      </c>
      <c r="I912">
        <f>C912*D912*(1-VLOOKUP(A912,Orders!$A:$G,7,0))</f>
        <v>30.34</v>
      </c>
      <c r="J912" t="str">
        <f>VLOOKUP(A912,Orders!$A:$G,6,0)</f>
        <v>Breakfast</v>
      </c>
      <c r="K912" t="str">
        <f>VLOOKUP(A912,Orders!$A:$G,5,0)</f>
        <v>Cash</v>
      </c>
    </row>
    <row r="913" spans="1:11" x14ac:dyDescent="0.3">
      <c r="A913" t="s">
        <v>393</v>
      </c>
      <c r="B913" t="s">
        <v>419</v>
      </c>
      <c r="C913">
        <v>2</v>
      </c>
      <c r="D913">
        <f>VLOOKUP(B913, Menu!$A:$F, 6, 0)</f>
        <v>50.19</v>
      </c>
      <c r="E913">
        <f>VLOOKUP(B913, Menu!$A:$F, 5, 0)</f>
        <v>22.61</v>
      </c>
      <c r="F913" t="str">
        <f>VLOOKUP(B913, Menu!$A:$F, 3, 0)</f>
        <v>Snack</v>
      </c>
      <c r="G913" s="5">
        <f>VLOOKUP(A913, Orders!$A:$B, 2, 0)</f>
        <v>45871.087858796287</v>
      </c>
      <c r="H913" t="str">
        <f>VLOOKUP(A913, Orders!$A:$C, 3, 0)</f>
        <v>Head Office Café</v>
      </c>
      <c r="I913">
        <f>C913*D913*(1-VLOOKUP(A913,Orders!$A:$G,7,0))</f>
        <v>89.338200000000001</v>
      </c>
      <c r="J913" t="str">
        <f>VLOOKUP(A913,Orders!$A:$G,6,0)</f>
        <v>Breakfast</v>
      </c>
      <c r="K913" t="str">
        <f>VLOOKUP(A913,Orders!$A:$G,5,0)</f>
        <v>Card</v>
      </c>
    </row>
    <row r="914" spans="1:11" x14ac:dyDescent="0.3">
      <c r="A914" t="s">
        <v>393</v>
      </c>
      <c r="B914" t="s">
        <v>416</v>
      </c>
      <c r="C914">
        <v>2</v>
      </c>
      <c r="D914">
        <f>VLOOKUP(B914, Menu!$A:$F, 6, 0)</f>
        <v>227.61</v>
      </c>
      <c r="E914">
        <f>VLOOKUP(B914, Menu!$A:$F, 5, 0)</f>
        <v>96.22</v>
      </c>
      <c r="F914" t="str">
        <f>VLOOKUP(B914, Menu!$A:$F, 3, 0)</f>
        <v>Hot Meal</v>
      </c>
      <c r="G914" s="5">
        <f>VLOOKUP(A914, Orders!$A:$B, 2, 0)</f>
        <v>45871.087858796287</v>
      </c>
      <c r="H914" t="str">
        <f>VLOOKUP(A914, Orders!$A:$C, 3, 0)</f>
        <v>Head Office Café</v>
      </c>
      <c r="I914">
        <f>C914*D914*(1-VLOOKUP(A914,Orders!$A:$G,7,0))</f>
        <v>405.14580000000001</v>
      </c>
      <c r="J914" t="str">
        <f>VLOOKUP(A914,Orders!$A:$G,6,0)</f>
        <v>Breakfast</v>
      </c>
      <c r="K914" t="str">
        <f>VLOOKUP(A914,Orders!$A:$G,5,0)</f>
        <v>Card</v>
      </c>
    </row>
    <row r="915" spans="1:11" x14ac:dyDescent="0.3">
      <c r="A915" t="s">
        <v>393</v>
      </c>
      <c r="B915" t="s">
        <v>405</v>
      </c>
      <c r="C915">
        <v>1</v>
      </c>
      <c r="D915">
        <f>VLOOKUP(B915, Menu!$A:$F, 6, 0)</f>
        <v>170.83</v>
      </c>
      <c r="E915">
        <f>VLOOKUP(B915, Menu!$A:$F, 5, 0)</f>
        <v>74.069999999999993</v>
      </c>
      <c r="F915" t="str">
        <f>VLOOKUP(B915, Menu!$A:$F, 3, 0)</f>
        <v>Hot Meal</v>
      </c>
      <c r="G915" s="5">
        <f>VLOOKUP(A915, Orders!$A:$B, 2, 0)</f>
        <v>45871.087858796287</v>
      </c>
      <c r="H915" t="str">
        <f>VLOOKUP(A915, Orders!$A:$C, 3, 0)</f>
        <v>Head Office Café</v>
      </c>
      <c r="I915">
        <f>C915*D915*(1-VLOOKUP(A915,Orders!$A:$G,7,0))</f>
        <v>152.03870000000001</v>
      </c>
      <c r="J915" t="str">
        <f>VLOOKUP(A915,Orders!$A:$G,6,0)</f>
        <v>Breakfast</v>
      </c>
      <c r="K915" t="str">
        <f>VLOOKUP(A915,Orders!$A:$G,5,0)</f>
        <v>Card</v>
      </c>
    </row>
    <row r="916" spans="1:11" x14ac:dyDescent="0.3">
      <c r="A916" t="s">
        <v>393</v>
      </c>
      <c r="B916" t="s">
        <v>402</v>
      </c>
      <c r="C916">
        <v>2</v>
      </c>
      <c r="D916">
        <f>VLOOKUP(B916, Menu!$A:$F, 6, 0)</f>
        <v>30.34</v>
      </c>
      <c r="E916">
        <f>VLOOKUP(B916, Menu!$A:$F, 5, 0)</f>
        <v>14.18</v>
      </c>
      <c r="F916" t="str">
        <f>VLOOKUP(B916, Menu!$A:$F, 3, 0)</f>
        <v>Beverage</v>
      </c>
      <c r="G916" s="5">
        <f>VLOOKUP(A916, Orders!$A:$B, 2, 0)</f>
        <v>45871.087858796287</v>
      </c>
      <c r="H916" t="str">
        <f>VLOOKUP(A916, Orders!$A:$C, 3, 0)</f>
        <v>Head Office Café</v>
      </c>
      <c r="I916">
        <f>C916*D916*(1-VLOOKUP(A916,Orders!$A:$G,7,0))</f>
        <v>54.005200000000002</v>
      </c>
      <c r="J916" t="str">
        <f>VLOOKUP(A916,Orders!$A:$G,6,0)</f>
        <v>Breakfast</v>
      </c>
      <c r="K916" t="str">
        <f>VLOOKUP(A916,Orders!$A:$G,5,0)</f>
        <v>Card</v>
      </c>
    </row>
    <row r="917" spans="1:11" x14ac:dyDescent="0.3">
      <c r="A917" t="s">
        <v>394</v>
      </c>
      <c r="B917" t="s">
        <v>410</v>
      </c>
      <c r="C917">
        <v>1</v>
      </c>
      <c r="D917">
        <f>VLOOKUP(B917, Menu!$A:$F, 6, 0)</f>
        <v>20.11</v>
      </c>
      <c r="E917">
        <f>VLOOKUP(B917, Menu!$A:$F, 5, 0)</f>
        <v>8</v>
      </c>
      <c r="F917" t="str">
        <f>VLOOKUP(B917, Menu!$A:$F, 3, 0)</f>
        <v>Beverage</v>
      </c>
      <c r="G917" s="5">
        <f>VLOOKUP(A917, Orders!$A:$B, 2, 0)</f>
        <v>45897.758750000001</v>
      </c>
      <c r="H917" t="str">
        <f>VLOOKUP(A917, Orders!$A:$C, 3, 0)</f>
        <v>Head Office Café</v>
      </c>
      <c r="I917">
        <f>C917*D917*(1-VLOOKUP(A917,Orders!$A:$G,7,0))</f>
        <v>18.903399999999998</v>
      </c>
      <c r="J917" t="str">
        <f>VLOOKUP(A917,Orders!$A:$G,6,0)</f>
        <v>Dinner</v>
      </c>
      <c r="K917" t="str">
        <f>VLOOKUP(A917,Orders!$A:$G,5,0)</f>
        <v>Cash</v>
      </c>
    </row>
    <row r="918" spans="1:11" x14ac:dyDescent="0.3">
      <c r="A918" t="s">
        <v>394</v>
      </c>
      <c r="B918" t="s">
        <v>411</v>
      </c>
      <c r="C918">
        <v>1</v>
      </c>
      <c r="D918">
        <f>VLOOKUP(B918, Menu!$A:$F, 6, 0)</f>
        <v>22.2</v>
      </c>
      <c r="E918">
        <f>VLOOKUP(B918, Menu!$A:$F, 5, 0)</f>
        <v>9.3800000000000008</v>
      </c>
      <c r="F918" t="str">
        <f>VLOOKUP(B918, Menu!$A:$F, 3, 0)</f>
        <v>Beverage</v>
      </c>
      <c r="G918" s="5">
        <f>VLOOKUP(A918, Orders!$A:$B, 2, 0)</f>
        <v>45897.758750000001</v>
      </c>
      <c r="H918" t="str">
        <f>VLOOKUP(A918, Orders!$A:$C, 3, 0)</f>
        <v>Head Office Café</v>
      </c>
      <c r="I918">
        <f>C918*D918*(1-VLOOKUP(A918,Orders!$A:$G,7,0))</f>
        <v>20.867999999999999</v>
      </c>
      <c r="J918" t="str">
        <f>VLOOKUP(A918,Orders!$A:$G,6,0)</f>
        <v>Dinner</v>
      </c>
      <c r="K918" t="str">
        <f>VLOOKUP(A918,Orders!$A:$G,5,0)</f>
        <v>Cash</v>
      </c>
    </row>
    <row r="919" spans="1:11" x14ac:dyDescent="0.3">
      <c r="A919" t="s">
        <v>394</v>
      </c>
      <c r="B919" t="s">
        <v>412</v>
      </c>
      <c r="C919">
        <v>1</v>
      </c>
      <c r="D919">
        <f>VLOOKUP(B919, Menu!$A:$F, 6, 0)</f>
        <v>57.07</v>
      </c>
      <c r="E919">
        <f>VLOOKUP(B919, Menu!$A:$F, 5, 0)</f>
        <v>29.14</v>
      </c>
      <c r="F919" t="str">
        <f>VLOOKUP(B919, Menu!$A:$F, 3, 0)</f>
        <v>Dessert</v>
      </c>
      <c r="G919" s="5">
        <f>VLOOKUP(A919, Orders!$A:$B, 2, 0)</f>
        <v>45897.758750000001</v>
      </c>
      <c r="H919" t="str">
        <f>VLOOKUP(A919, Orders!$A:$C, 3, 0)</f>
        <v>Head Office Café</v>
      </c>
      <c r="I919">
        <f>C919*D919*(1-VLOOKUP(A919,Orders!$A:$G,7,0))</f>
        <v>53.645799999999994</v>
      </c>
      <c r="J919" t="str">
        <f>VLOOKUP(A919,Orders!$A:$G,6,0)</f>
        <v>Dinner</v>
      </c>
      <c r="K919" t="str">
        <f>VLOOKUP(A919,Orders!$A:$G,5,0)</f>
        <v>Cash</v>
      </c>
    </row>
    <row r="920" spans="1:11" x14ac:dyDescent="0.3">
      <c r="A920" t="s">
        <v>395</v>
      </c>
      <c r="B920" t="s">
        <v>408</v>
      </c>
      <c r="C920">
        <v>1</v>
      </c>
      <c r="D920">
        <f>VLOOKUP(B920, Menu!$A:$F, 6, 0)</f>
        <v>70.540000000000006</v>
      </c>
      <c r="E920">
        <f>VLOOKUP(B920, Menu!$A:$F, 5, 0)</f>
        <v>35.81</v>
      </c>
      <c r="F920" t="str">
        <f>VLOOKUP(B920, Menu!$A:$F, 3, 0)</f>
        <v>Snack</v>
      </c>
      <c r="G920" s="5">
        <f>VLOOKUP(A920, Orders!$A:$B, 2, 0)</f>
        <v>45873.38181712963</v>
      </c>
      <c r="H920" t="str">
        <f>VLOOKUP(A920, Orders!$A:$C, 3, 0)</f>
        <v>Plant 2 Canteen</v>
      </c>
      <c r="I920">
        <f>C920*D920*(1-VLOOKUP(A920,Orders!$A:$G,7,0))</f>
        <v>62.780600000000007</v>
      </c>
      <c r="J920" t="str">
        <f>VLOOKUP(A920,Orders!$A:$G,6,0)</f>
        <v>Breakfast</v>
      </c>
      <c r="K920" t="str">
        <f>VLOOKUP(A920,Orders!$A:$G,5,0)</f>
        <v>UPI</v>
      </c>
    </row>
    <row r="921" spans="1:11" x14ac:dyDescent="0.3">
      <c r="A921" t="s">
        <v>395</v>
      </c>
      <c r="B921" t="s">
        <v>402</v>
      </c>
      <c r="C921">
        <v>1</v>
      </c>
      <c r="D921">
        <f>VLOOKUP(B921, Menu!$A:$F, 6, 0)</f>
        <v>30.34</v>
      </c>
      <c r="E921">
        <f>VLOOKUP(B921, Menu!$A:$F, 5, 0)</f>
        <v>14.18</v>
      </c>
      <c r="F921" t="str">
        <f>VLOOKUP(B921, Menu!$A:$F, 3, 0)</f>
        <v>Beverage</v>
      </c>
      <c r="G921" s="5">
        <f>VLOOKUP(A921, Orders!$A:$B, 2, 0)</f>
        <v>45873.38181712963</v>
      </c>
      <c r="H921" t="str">
        <f>VLOOKUP(A921, Orders!$A:$C, 3, 0)</f>
        <v>Plant 2 Canteen</v>
      </c>
      <c r="I921">
        <f>C921*D921*(1-VLOOKUP(A921,Orders!$A:$G,7,0))</f>
        <v>27.002600000000001</v>
      </c>
      <c r="J921" t="str">
        <f>VLOOKUP(A921,Orders!$A:$G,6,0)</f>
        <v>Breakfast</v>
      </c>
      <c r="K921" t="str">
        <f>VLOOKUP(A921,Orders!$A:$G,5,0)</f>
        <v>UPI</v>
      </c>
    </row>
    <row r="922" spans="1:11" x14ac:dyDescent="0.3">
      <c r="A922" t="s">
        <v>396</v>
      </c>
      <c r="B922" t="s">
        <v>416</v>
      </c>
      <c r="C922">
        <v>2</v>
      </c>
      <c r="D922">
        <f>VLOOKUP(B922, Menu!$A:$F, 6, 0)</f>
        <v>227.61</v>
      </c>
      <c r="E922">
        <f>VLOOKUP(B922, Menu!$A:$F, 5, 0)</f>
        <v>96.22</v>
      </c>
      <c r="F922" t="str">
        <f>VLOOKUP(B922, Menu!$A:$F, 3, 0)</f>
        <v>Hot Meal</v>
      </c>
      <c r="G922" s="5">
        <f>VLOOKUP(A922, Orders!$A:$B, 2, 0)</f>
        <v>45881.478530092587</v>
      </c>
      <c r="H922" t="str">
        <f>VLOOKUP(A922, Orders!$A:$C, 3, 0)</f>
        <v>Plant 2 Canteen</v>
      </c>
      <c r="I922">
        <f>C922*D922*(1-VLOOKUP(A922,Orders!$A:$G,7,0))</f>
        <v>455.22</v>
      </c>
      <c r="J922" t="str">
        <f>VLOOKUP(A922,Orders!$A:$G,6,0)</f>
        <v>Lunch</v>
      </c>
      <c r="K922" t="str">
        <f>VLOOKUP(A922,Orders!$A:$G,5,0)</f>
        <v>Cash</v>
      </c>
    </row>
    <row r="923" spans="1:11" x14ac:dyDescent="0.3">
      <c r="A923" t="s">
        <v>397</v>
      </c>
      <c r="B923" t="s">
        <v>405</v>
      </c>
      <c r="C923">
        <v>1</v>
      </c>
      <c r="D923">
        <f>VLOOKUP(B923, Menu!$A:$F, 6, 0)</f>
        <v>170.83</v>
      </c>
      <c r="E923">
        <f>VLOOKUP(B923, Menu!$A:$F, 5, 0)</f>
        <v>74.069999999999993</v>
      </c>
      <c r="F923" t="str">
        <f>VLOOKUP(B923, Menu!$A:$F, 3, 0)</f>
        <v>Hot Meal</v>
      </c>
      <c r="G923" s="5">
        <f>VLOOKUP(A923, Orders!$A:$B, 2, 0)</f>
        <v>45878.689097222217</v>
      </c>
      <c r="H923" t="str">
        <f>VLOOKUP(A923, Orders!$A:$C, 3, 0)</f>
        <v>Plant 2 Canteen</v>
      </c>
      <c r="I923">
        <f>C923*D923*(1-VLOOKUP(A923,Orders!$A:$G,7,0))</f>
        <v>163.99680000000001</v>
      </c>
      <c r="J923" t="str">
        <f>VLOOKUP(A923,Orders!$A:$G,6,0)</f>
        <v>Dinner</v>
      </c>
      <c r="K923" t="str">
        <f>VLOOKUP(A923,Orders!$A:$G,5,0)</f>
        <v>UPI</v>
      </c>
    </row>
    <row r="924" spans="1:11" x14ac:dyDescent="0.3">
      <c r="A924" t="s">
        <v>397</v>
      </c>
      <c r="B924" t="s">
        <v>415</v>
      </c>
      <c r="C924">
        <v>3</v>
      </c>
      <c r="D924">
        <f>VLOOKUP(B924, Menu!$A:$F, 6, 0)</f>
        <v>256.91000000000003</v>
      </c>
      <c r="E924">
        <f>VLOOKUP(B924, Menu!$A:$F, 5, 0)</f>
        <v>121.24</v>
      </c>
      <c r="F924" t="str">
        <f>VLOOKUP(B924, Menu!$A:$F, 3, 0)</f>
        <v>Hot Meal</v>
      </c>
      <c r="G924" s="5">
        <f>VLOOKUP(A924, Orders!$A:$B, 2, 0)</f>
        <v>45878.689097222217</v>
      </c>
      <c r="H924" t="str">
        <f>VLOOKUP(A924, Orders!$A:$C, 3, 0)</f>
        <v>Plant 2 Canteen</v>
      </c>
      <c r="I924">
        <f>C924*D924*(1-VLOOKUP(A924,Orders!$A:$G,7,0))</f>
        <v>739.9008</v>
      </c>
      <c r="J924" t="str">
        <f>VLOOKUP(A924,Orders!$A:$G,6,0)</f>
        <v>Dinner</v>
      </c>
      <c r="K924" t="str">
        <f>VLOOKUP(A924,Orders!$A:$G,5,0)</f>
        <v>UPI</v>
      </c>
    </row>
    <row r="925" spans="1:11" x14ac:dyDescent="0.3">
      <c r="A925" t="s">
        <v>397</v>
      </c>
      <c r="B925" t="s">
        <v>402</v>
      </c>
      <c r="C925">
        <v>2</v>
      </c>
      <c r="D925">
        <f>VLOOKUP(B925, Menu!$A:$F, 6, 0)</f>
        <v>30.34</v>
      </c>
      <c r="E925">
        <f>VLOOKUP(B925, Menu!$A:$F, 5, 0)</f>
        <v>14.18</v>
      </c>
      <c r="F925" t="str">
        <f>VLOOKUP(B925, Menu!$A:$F, 3, 0)</f>
        <v>Beverage</v>
      </c>
      <c r="G925" s="5">
        <f>VLOOKUP(A925, Orders!$A:$B, 2, 0)</f>
        <v>45878.689097222217</v>
      </c>
      <c r="H925" t="str">
        <f>VLOOKUP(A925, Orders!$A:$C, 3, 0)</f>
        <v>Plant 2 Canteen</v>
      </c>
      <c r="I925">
        <f>C925*D925*(1-VLOOKUP(A925,Orders!$A:$G,7,0))</f>
        <v>58.252800000000001</v>
      </c>
      <c r="J925" t="str">
        <f>VLOOKUP(A925,Orders!$A:$G,6,0)</f>
        <v>Dinner</v>
      </c>
      <c r="K925" t="str">
        <f>VLOOKUP(A925,Orders!$A:$G,5,0)</f>
        <v>UPI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514E-22F7-41E8-AB6F-1387D08886DB}">
  <dimension ref="A1:F20"/>
  <sheetViews>
    <sheetView workbookViewId="0">
      <selection activeCell="B1" sqref="B1"/>
    </sheetView>
  </sheetViews>
  <sheetFormatPr defaultRowHeight="14.4" x14ac:dyDescent="0.3"/>
  <cols>
    <col min="1" max="1" width="8.6640625" bestFit="1" customWidth="1"/>
    <col min="2" max="2" width="25.109375" bestFit="1" customWidth="1"/>
    <col min="3" max="3" width="8.5546875" bestFit="1" customWidth="1"/>
    <col min="4" max="4" width="9.6640625" bestFit="1" customWidth="1"/>
    <col min="5" max="5" width="8.21875" bestFit="1" customWidth="1"/>
    <col min="6" max="6" width="8.6640625" bestFit="1" customWidth="1"/>
  </cols>
  <sheetData>
    <row r="1" spans="1:6" x14ac:dyDescent="0.3">
      <c r="A1" s="1" t="s">
        <v>398</v>
      </c>
      <c r="B1" s="1" t="s">
        <v>420</v>
      </c>
      <c r="C1" s="1" t="s">
        <v>421</v>
      </c>
      <c r="D1" s="1" t="s">
        <v>422</v>
      </c>
      <c r="E1" s="1" t="s">
        <v>423</v>
      </c>
      <c r="F1" s="1" t="s">
        <v>400</v>
      </c>
    </row>
    <row r="2" spans="1:6" x14ac:dyDescent="0.3">
      <c r="A2" t="s">
        <v>416</v>
      </c>
      <c r="B2" t="s">
        <v>424</v>
      </c>
      <c r="C2" t="s">
        <v>425</v>
      </c>
      <c r="D2" t="s">
        <v>426</v>
      </c>
      <c r="E2">
        <v>96.22</v>
      </c>
      <c r="F2">
        <v>227.61</v>
      </c>
    </row>
    <row r="3" spans="1:6" x14ac:dyDescent="0.3">
      <c r="A3" t="s">
        <v>415</v>
      </c>
      <c r="B3" t="s">
        <v>427</v>
      </c>
      <c r="C3" t="s">
        <v>425</v>
      </c>
      <c r="D3" t="s">
        <v>428</v>
      </c>
      <c r="E3">
        <v>121.24</v>
      </c>
      <c r="F3">
        <v>256.91000000000003</v>
      </c>
    </row>
    <row r="4" spans="1:6" x14ac:dyDescent="0.3">
      <c r="A4" t="s">
        <v>417</v>
      </c>
      <c r="B4" t="s">
        <v>429</v>
      </c>
      <c r="C4" t="s">
        <v>425</v>
      </c>
      <c r="D4" t="s">
        <v>430</v>
      </c>
      <c r="E4">
        <v>80.92</v>
      </c>
      <c r="F4">
        <v>146.4</v>
      </c>
    </row>
    <row r="5" spans="1:6" x14ac:dyDescent="0.3">
      <c r="A5" t="s">
        <v>405</v>
      </c>
      <c r="B5" t="s">
        <v>431</v>
      </c>
      <c r="C5" t="s">
        <v>425</v>
      </c>
      <c r="D5" t="s">
        <v>432</v>
      </c>
      <c r="E5">
        <v>74.069999999999993</v>
      </c>
      <c r="F5">
        <v>170.83</v>
      </c>
    </row>
    <row r="6" spans="1:6" x14ac:dyDescent="0.3">
      <c r="A6" t="s">
        <v>407</v>
      </c>
      <c r="B6" t="s">
        <v>433</v>
      </c>
      <c r="C6" t="s">
        <v>425</v>
      </c>
      <c r="D6" t="s">
        <v>434</v>
      </c>
      <c r="E6">
        <v>112.08</v>
      </c>
      <c r="F6">
        <v>246.09</v>
      </c>
    </row>
    <row r="7" spans="1:6" x14ac:dyDescent="0.3">
      <c r="A7" t="s">
        <v>418</v>
      </c>
      <c r="B7" t="s">
        <v>435</v>
      </c>
      <c r="C7" t="s">
        <v>436</v>
      </c>
      <c r="D7" t="s">
        <v>437</v>
      </c>
      <c r="E7">
        <v>15.51</v>
      </c>
      <c r="F7">
        <v>39.950000000000003</v>
      </c>
    </row>
    <row r="8" spans="1:6" x14ac:dyDescent="0.3">
      <c r="A8" t="s">
        <v>408</v>
      </c>
      <c r="B8" t="s">
        <v>438</v>
      </c>
      <c r="C8" t="s">
        <v>436</v>
      </c>
      <c r="D8" t="s">
        <v>439</v>
      </c>
      <c r="E8">
        <v>35.81</v>
      </c>
      <c r="F8">
        <v>70.540000000000006</v>
      </c>
    </row>
    <row r="9" spans="1:6" x14ac:dyDescent="0.3">
      <c r="A9" t="s">
        <v>406</v>
      </c>
      <c r="B9" t="s">
        <v>440</v>
      </c>
      <c r="C9" t="s">
        <v>436</v>
      </c>
      <c r="D9" t="s">
        <v>439</v>
      </c>
      <c r="E9">
        <v>19.55</v>
      </c>
      <c r="F9">
        <v>38.06</v>
      </c>
    </row>
    <row r="10" spans="1:6" x14ac:dyDescent="0.3">
      <c r="A10" t="s">
        <v>419</v>
      </c>
      <c r="B10" t="s">
        <v>441</v>
      </c>
      <c r="C10" t="s">
        <v>436</v>
      </c>
      <c r="D10" t="s">
        <v>434</v>
      </c>
      <c r="E10">
        <v>22.61</v>
      </c>
      <c r="F10">
        <v>50.19</v>
      </c>
    </row>
    <row r="11" spans="1:6" x14ac:dyDescent="0.3">
      <c r="A11" t="s">
        <v>401</v>
      </c>
      <c r="B11" t="s">
        <v>442</v>
      </c>
      <c r="C11" t="s">
        <v>436</v>
      </c>
      <c r="D11" t="s">
        <v>432</v>
      </c>
      <c r="E11">
        <v>25.8</v>
      </c>
      <c r="F11">
        <v>52.45</v>
      </c>
    </row>
    <row r="12" spans="1:6" x14ac:dyDescent="0.3">
      <c r="A12" t="s">
        <v>402</v>
      </c>
      <c r="B12" t="s">
        <v>443</v>
      </c>
      <c r="C12" t="s">
        <v>444</v>
      </c>
      <c r="D12" t="s">
        <v>426</v>
      </c>
      <c r="E12">
        <v>14.18</v>
      </c>
      <c r="F12">
        <v>30.34</v>
      </c>
    </row>
    <row r="13" spans="1:6" x14ac:dyDescent="0.3">
      <c r="A13" t="s">
        <v>411</v>
      </c>
      <c r="B13" t="s">
        <v>445</v>
      </c>
      <c r="C13" t="s">
        <v>444</v>
      </c>
      <c r="D13" t="s">
        <v>434</v>
      </c>
      <c r="E13">
        <v>9.3800000000000008</v>
      </c>
      <c r="F13">
        <v>22.2</v>
      </c>
    </row>
    <row r="14" spans="1:6" x14ac:dyDescent="0.3">
      <c r="A14" t="s">
        <v>404</v>
      </c>
      <c r="B14" t="s">
        <v>446</v>
      </c>
      <c r="C14" t="s">
        <v>444</v>
      </c>
      <c r="D14" t="s">
        <v>439</v>
      </c>
      <c r="E14">
        <v>11.84</v>
      </c>
      <c r="F14">
        <v>32.979999999999997</v>
      </c>
    </row>
    <row r="15" spans="1:6" x14ac:dyDescent="0.3">
      <c r="A15" t="s">
        <v>410</v>
      </c>
      <c r="B15" t="s">
        <v>447</v>
      </c>
      <c r="C15" t="s">
        <v>444</v>
      </c>
      <c r="D15" t="s">
        <v>439</v>
      </c>
      <c r="E15">
        <v>8</v>
      </c>
      <c r="F15">
        <v>20.11</v>
      </c>
    </row>
    <row r="16" spans="1:6" x14ac:dyDescent="0.3">
      <c r="A16" t="s">
        <v>409</v>
      </c>
      <c r="B16" t="s">
        <v>448</v>
      </c>
      <c r="C16" t="s">
        <v>444</v>
      </c>
      <c r="D16" t="s">
        <v>434</v>
      </c>
      <c r="E16">
        <v>13.89</v>
      </c>
      <c r="F16">
        <v>28.43</v>
      </c>
    </row>
    <row r="17" spans="1:6" x14ac:dyDescent="0.3">
      <c r="A17" t="s">
        <v>403</v>
      </c>
      <c r="B17" t="s">
        <v>449</v>
      </c>
      <c r="C17" t="s">
        <v>450</v>
      </c>
      <c r="D17" t="s">
        <v>451</v>
      </c>
      <c r="E17">
        <v>38.229999999999997</v>
      </c>
      <c r="F17">
        <v>76.55</v>
      </c>
    </row>
    <row r="18" spans="1:6" x14ac:dyDescent="0.3">
      <c r="A18" t="s">
        <v>413</v>
      </c>
      <c r="B18" t="s">
        <v>452</v>
      </c>
      <c r="C18" t="s">
        <v>450</v>
      </c>
      <c r="D18" t="s">
        <v>453</v>
      </c>
      <c r="E18">
        <v>21.95</v>
      </c>
      <c r="F18">
        <v>54.2</v>
      </c>
    </row>
    <row r="19" spans="1:6" x14ac:dyDescent="0.3">
      <c r="A19" t="s">
        <v>414</v>
      </c>
      <c r="B19" t="s">
        <v>454</v>
      </c>
      <c r="C19" t="s">
        <v>450</v>
      </c>
      <c r="D19" t="s">
        <v>451</v>
      </c>
      <c r="E19">
        <v>48.97</v>
      </c>
      <c r="F19">
        <v>116.8</v>
      </c>
    </row>
    <row r="20" spans="1:6" x14ac:dyDescent="0.3">
      <c r="A20" t="s">
        <v>412</v>
      </c>
      <c r="B20" t="s">
        <v>455</v>
      </c>
      <c r="C20" t="s">
        <v>450</v>
      </c>
      <c r="D20" t="s">
        <v>437</v>
      </c>
      <c r="E20">
        <v>29.14</v>
      </c>
      <c r="F20">
        <v>57.07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5B3F-1AFC-418A-A212-79072EA13445}">
  <dimension ref="A1:E31"/>
  <sheetViews>
    <sheetView workbookViewId="0">
      <selection activeCell="H11" sqref="H11"/>
    </sheetView>
  </sheetViews>
  <sheetFormatPr defaultRowHeight="14.4" x14ac:dyDescent="0.3"/>
  <cols>
    <col min="2" max="2" width="9.5546875" bestFit="1" customWidth="1"/>
    <col min="3" max="3" width="8.109375" bestFit="1" customWidth="1"/>
    <col min="4" max="4" width="14.77734375" bestFit="1" customWidth="1"/>
    <col min="5" max="5" width="13.21875" bestFit="1" customWidth="1"/>
    <col min="10" max="10" width="8.6640625" bestFit="1" customWidth="1"/>
    <col min="11" max="11" width="10" bestFit="1" customWidth="1"/>
  </cols>
  <sheetData>
    <row r="1" spans="1:5" x14ac:dyDescent="0.3">
      <c r="A1" s="1" t="s">
        <v>6</v>
      </c>
      <c r="B1" s="1" t="s">
        <v>456</v>
      </c>
      <c r="C1" s="1" t="s">
        <v>457</v>
      </c>
      <c r="D1" s="1" t="s">
        <v>2</v>
      </c>
      <c r="E1" s="1" t="s">
        <v>458</v>
      </c>
    </row>
    <row r="2" spans="1:5" x14ac:dyDescent="0.3">
      <c r="A2" t="s">
        <v>69</v>
      </c>
      <c r="B2" t="s">
        <v>459</v>
      </c>
      <c r="C2" t="s">
        <v>460</v>
      </c>
      <c r="D2" t="s">
        <v>27</v>
      </c>
      <c r="E2">
        <v>151.58000000000001</v>
      </c>
    </row>
    <row r="3" spans="1:5" x14ac:dyDescent="0.3">
      <c r="A3" t="s">
        <v>41</v>
      </c>
      <c r="B3" t="s">
        <v>461</v>
      </c>
      <c r="C3" t="s">
        <v>460</v>
      </c>
      <c r="D3" t="s">
        <v>9</v>
      </c>
      <c r="E3">
        <v>129.61000000000001</v>
      </c>
    </row>
    <row r="4" spans="1:5" x14ac:dyDescent="0.3">
      <c r="A4" t="s">
        <v>33</v>
      </c>
      <c r="B4" t="s">
        <v>462</v>
      </c>
      <c r="C4" t="s">
        <v>460</v>
      </c>
      <c r="D4" t="s">
        <v>9</v>
      </c>
      <c r="E4">
        <v>100.98</v>
      </c>
    </row>
    <row r="5" spans="1:5" x14ac:dyDescent="0.3">
      <c r="A5" t="s">
        <v>19</v>
      </c>
      <c r="B5" t="s">
        <v>461</v>
      </c>
      <c r="C5" t="s">
        <v>463</v>
      </c>
      <c r="D5" t="s">
        <v>27</v>
      </c>
      <c r="E5">
        <v>134.57</v>
      </c>
    </row>
    <row r="6" spans="1:5" x14ac:dyDescent="0.3">
      <c r="A6" t="s">
        <v>72</v>
      </c>
      <c r="B6" t="s">
        <v>464</v>
      </c>
      <c r="C6" t="s">
        <v>463</v>
      </c>
      <c r="D6" t="s">
        <v>9</v>
      </c>
      <c r="E6">
        <v>93.09</v>
      </c>
    </row>
    <row r="7" spans="1:5" x14ac:dyDescent="0.3">
      <c r="A7" t="s">
        <v>95</v>
      </c>
      <c r="B7" t="s">
        <v>465</v>
      </c>
      <c r="C7" t="s">
        <v>460</v>
      </c>
      <c r="D7" t="s">
        <v>9</v>
      </c>
      <c r="E7">
        <v>171.84</v>
      </c>
    </row>
    <row r="8" spans="1:5" x14ac:dyDescent="0.3">
      <c r="A8" t="s">
        <v>55</v>
      </c>
      <c r="B8" t="s">
        <v>466</v>
      </c>
      <c r="C8" t="s">
        <v>463</v>
      </c>
      <c r="D8" t="s">
        <v>15</v>
      </c>
      <c r="E8">
        <v>113.29</v>
      </c>
    </row>
    <row r="9" spans="1:5" x14ac:dyDescent="0.3">
      <c r="A9" t="s">
        <v>48</v>
      </c>
      <c r="B9" t="s">
        <v>467</v>
      </c>
      <c r="C9" t="s">
        <v>463</v>
      </c>
      <c r="D9" t="s">
        <v>9</v>
      </c>
      <c r="E9">
        <v>149.63</v>
      </c>
    </row>
    <row r="10" spans="1:5" x14ac:dyDescent="0.3">
      <c r="A10" t="s">
        <v>64</v>
      </c>
      <c r="B10" t="s">
        <v>468</v>
      </c>
      <c r="C10" t="s">
        <v>469</v>
      </c>
      <c r="D10" t="s">
        <v>9</v>
      </c>
      <c r="E10">
        <v>118.05</v>
      </c>
    </row>
    <row r="11" spans="1:5" x14ac:dyDescent="0.3">
      <c r="A11" t="s">
        <v>38</v>
      </c>
      <c r="B11" t="s">
        <v>470</v>
      </c>
      <c r="C11" t="s">
        <v>460</v>
      </c>
      <c r="D11" t="s">
        <v>27</v>
      </c>
      <c r="E11">
        <v>136.81</v>
      </c>
    </row>
    <row r="12" spans="1:5" x14ac:dyDescent="0.3">
      <c r="A12" t="s">
        <v>43</v>
      </c>
      <c r="B12" t="s">
        <v>471</v>
      </c>
      <c r="C12" t="s">
        <v>460</v>
      </c>
      <c r="D12" t="s">
        <v>15</v>
      </c>
      <c r="E12">
        <v>139.19999999999999</v>
      </c>
    </row>
    <row r="13" spans="1:5" x14ac:dyDescent="0.3">
      <c r="A13" t="s">
        <v>74</v>
      </c>
      <c r="B13" t="s">
        <v>472</v>
      </c>
      <c r="C13" t="s">
        <v>463</v>
      </c>
      <c r="D13" t="s">
        <v>9</v>
      </c>
      <c r="E13">
        <v>106.64</v>
      </c>
    </row>
    <row r="14" spans="1:5" x14ac:dyDescent="0.3">
      <c r="A14" t="s">
        <v>36</v>
      </c>
      <c r="B14" t="s">
        <v>471</v>
      </c>
      <c r="C14" t="s">
        <v>463</v>
      </c>
      <c r="D14" t="s">
        <v>27</v>
      </c>
      <c r="E14">
        <v>177.26</v>
      </c>
    </row>
    <row r="15" spans="1:5" x14ac:dyDescent="0.3">
      <c r="A15" t="s">
        <v>23</v>
      </c>
      <c r="B15" t="s">
        <v>472</v>
      </c>
      <c r="C15" t="s">
        <v>460</v>
      </c>
      <c r="D15" t="s">
        <v>9</v>
      </c>
      <c r="E15">
        <v>159.76</v>
      </c>
    </row>
    <row r="16" spans="1:5" x14ac:dyDescent="0.3">
      <c r="A16" t="s">
        <v>29</v>
      </c>
      <c r="B16" t="s">
        <v>473</v>
      </c>
      <c r="C16" t="s">
        <v>460</v>
      </c>
      <c r="D16" t="s">
        <v>27</v>
      </c>
      <c r="E16">
        <v>174.55</v>
      </c>
    </row>
    <row r="17" spans="1:5" x14ac:dyDescent="0.3">
      <c r="A17" t="s">
        <v>13</v>
      </c>
      <c r="B17" t="s">
        <v>473</v>
      </c>
      <c r="C17" t="s">
        <v>469</v>
      </c>
      <c r="D17" t="s">
        <v>27</v>
      </c>
      <c r="E17">
        <v>170.53</v>
      </c>
    </row>
    <row r="18" spans="1:5" x14ac:dyDescent="0.3">
      <c r="A18" t="s">
        <v>45</v>
      </c>
      <c r="B18" t="s">
        <v>474</v>
      </c>
      <c r="C18" t="s">
        <v>460</v>
      </c>
      <c r="D18" t="s">
        <v>15</v>
      </c>
      <c r="E18">
        <v>143.81</v>
      </c>
    </row>
    <row r="19" spans="1:5" x14ac:dyDescent="0.3">
      <c r="A19" t="s">
        <v>61</v>
      </c>
      <c r="B19" t="s">
        <v>461</v>
      </c>
      <c r="C19" t="s">
        <v>460</v>
      </c>
      <c r="D19" t="s">
        <v>9</v>
      </c>
      <c r="E19">
        <v>172.97</v>
      </c>
    </row>
    <row r="20" spans="1:5" x14ac:dyDescent="0.3">
      <c r="E20" s="7"/>
    </row>
    <row r="21" spans="1:5" x14ac:dyDescent="0.3">
      <c r="E21" s="7"/>
    </row>
    <row r="22" spans="1:5" x14ac:dyDescent="0.3">
      <c r="E22" s="7"/>
    </row>
    <row r="23" spans="1:5" x14ac:dyDescent="0.3">
      <c r="E23" s="7"/>
    </row>
    <row r="28" spans="1:5" x14ac:dyDescent="0.3">
      <c r="B28" s="2"/>
    </row>
    <row r="29" spans="1:5" x14ac:dyDescent="0.3">
      <c r="B29" s="7"/>
      <c r="D29" s="7"/>
      <c r="E29" s="17"/>
    </row>
    <row r="30" spans="1:5" x14ac:dyDescent="0.3">
      <c r="B30" s="7"/>
      <c r="D30" s="7"/>
    </row>
    <row r="31" spans="1:5" x14ac:dyDescent="0.3">
      <c r="B31" s="7"/>
      <c r="D31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1494-AC1D-4983-9724-9AC52BF59D23}">
  <dimension ref="A1:E20"/>
  <sheetViews>
    <sheetView workbookViewId="0">
      <selection activeCell="E4" sqref="E4"/>
    </sheetView>
  </sheetViews>
  <sheetFormatPr defaultRowHeight="14.4" x14ac:dyDescent="0.3"/>
  <cols>
    <col min="5" max="5" width="14.77734375" bestFit="1" customWidth="1"/>
  </cols>
  <sheetData>
    <row r="1" spans="1:5" x14ac:dyDescent="0.3">
      <c r="A1" s="1" t="s">
        <v>398</v>
      </c>
      <c r="B1" s="1" t="s">
        <v>475</v>
      </c>
      <c r="C1" s="1" t="s">
        <v>476</v>
      </c>
      <c r="D1" s="1" t="s">
        <v>477</v>
      </c>
      <c r="E1" s="1" t="s">
        <v>478</v>
      </c>
    </row>
    <row r="2" spans="1:5" x14ac:dyDescent="0.3">
      <c r="A2" t="s">
        <v>416</v>
      </c>
      <c r="B2">
        <v>198</v>
      </c>
      <c r="C2">
        <v>36</v>
      </c>
      <c r="D2">
        <v>3</v>
      </c>
      <c r="E2" s="3">
        <v>45876</v>
      </c>
    </row>
    <row r="3" spans="1:5" x14ac:dyDescent="0.3">
      <c r="A3" t="s">
        <v>415</v>
      </c>
      <c r="B3">
        <v>152</v>
      </c>
      <c r="C3">
        <v>30</v>
      </c>
      <c r="D3">
        <v>6</v>
      </c>
      <c r="E3" s="3">
        <v>45861</v>
      </c>
    </row>
    <row r="4" spans="1:5" x14ac:dyDescent="0.3">
      <c r="A4" t="s">
        <v>417</v>
      </c>
      <c r="B4">
        <v>120</v>
      </c>
      <c r="C4">
        <v>25</v>
      </c>
      <c r="D4">
        <v>6</v>
      </c>
      <c r="E4" s="3">
        <v>45882</v>
      </c>
    </row>
    <row r="5" spans="1:5" x14ac:dyDescent="0.3">
      <c r="A5" t="s">
        <v>405</v>
      </c>
      <c r="B5">
        <v>130</v>
      </c>
      <c r="C5">
        <v>42</v>
      </c>
      <c r="D5">
        <v>4</v>
      </c>
      <c r="E5" s="3">
        <v>45864</v>
      </c>
    </row>
    <row r="6" spans="1:5" x14ac:dyDescent="0.3">
      <c r="A6" t="s">
        <v>407</v>
      </c>
      <c r="B6">
        <v>176</v>
      </c>
      <c r="C6">
        <v>46</v>
      </c>
      <c r="D6">
        <v>3</v>
      </c>
      <c r="E6" s="3">
        <v>45871</v>
      </c>
    </row>
    <row r="7" spans="1:5" x14ac:dyDescent="0.3">
      <c r="A7" t="s">
        <v>418</v>
      </c>
      <c r="B7">
        <v>81</v>
      </c>
      <c r="C7">
        <v>25</v>
      </c>
      <c r="D7">
        <v>3</v>
      </c>
      <c r="E7" s="3">
        <v>45868</v>
      </c>
    </row>
    <row r="8" spans="1:5" x14ac:dyDescent="0.3">
      <c r="A8" t="s">
        <v>408</v>
      </c>
      <c r="B8">
        <v>45</v>
      </c>
      <c r="C8">
        <v>57</v>
      </c>
      <c r="D8">
        <v>4</v>
      </c>
      <c r="E8" s="3">
        <v>45840</v>
      </c>
    </row>
    <row r="9" spans="1:5" x14ac:dyDescent="0.3">
      <c r="A9" t="s">
        <v>406</v>
      </c>
      <c r="B9">
        <v>89</v>
      </c>
      <c r="C9">
        <v>21</v>
      </c>
      <c r="D9">
        <v>5</v>
      </c>
      <c r="E9" s="3">
        <v>45864</v>
      </c>
    </row>
    <row r="10" spans="1:5" x14ac:dyDescent="0.3">
      <c r="A10" t="s">
        <v>419</v>
      </c>
      <c r="B10">
        <v>85</v>
      </c>
      <c r="C10">
        <v>41</v>
      </c>
      <c r="D10">
        <v>3</v>
      </c>
      <c r="E10" s="3">
        <v>45873</v>
      </c>
    </row>
    <row r="11" spans="1:5" x14ac:dyDescent="0.3">
      <c r="A11" t="s">
        <v>401</v>
      </c>
      <c r="B11">
        <v>80</v>
      </c>
      <c r="C11">
        <v>39</v>
      </c>
      <c r="D11">
        <v>2</v>
      </c>
      <c r="E11" s="3">
        <v>45861</v>
      </c>
    </row>
    <row r="12" spans="1:5" x14ac:dyDescent="0.3">
      <c r="A12" t="s">
        <v>402</v>
      </c>
      <c r="B12">
        <v>84</v>
      </c>
      <c r="C12">
        <v>44</v>
      </c>
      <c r="D12">
        <v>4</v>
      </c>
      <c r="E12" s="3">
        <v>45845</v>
      </c>
    </row>
    <row r="13" spans="1:5" x14ac:dyDescent="0.3">
      <c r="A13" t="s">
        <v>411</v>
      </c>
      <c r="B13">
        <v>55</v>
      </c>
      <c r="C13">
        <v>34</v>
      </c>
      <c r="D13">
        <v>3</v>
      </c>
      <c r="E13" s="3">
        <v>45850</v>
      </c>
    </row>
    <row r="14" spans="1:5" x14ac:dyDescent="0.3">
      <c r="A14" t="s">
        <v>404</v>
      </c>
      <c r="B14">
        <v>174</v>
      </c>
      <c r="C14">
        <v>48</v>
      </c>
      <c r="D14">
        <v>5</v>
      </c>
      <c r="E14" s="3">
        <v>45884</v>
      </c>
    </row>
    <row r="15" spans="1:5" x14ac:dyDescent="0.3">
      <c r="A15" t="s">
        <v>410</v>
      </c>
      <c r="B15">
        <v>34</v>
      </c>
      <c r="C15">
        <v>27</v>
      </c>
      <c r="D15">
        <v>3</v>
      </c>
      <c r="E15" s="3">
        <v>45868</v>
      </c>
    </row>
    <row r="16" spans="1:5" x14ac:dyDescent="0.3">
      <c r="A16" t="s">
        <v>409</v>
      </c>
      <c r="B16">
        <v>199</v>
      </c>
      <c r="C16">
        <v>56</v>
      </c>
      <c r="D16">
        <v>6</v>
      </c>
      <c r="E16" s="3">
        <v>45854</v>
      </c>
    </row>
    <row r="17" spans="1:5" x14ac:dyDescent="0.3">
      <c r="A17" t="s">
        <v>403</v>
      </c>
      <c r="B17">
        <v>192</v>
      </c>
      <c r="C17">
        <v>52</v>
      </c>
      <c r="D17">
        <v>2</v>
      </c>
      <c r="E17" s="3">
        <v>45878</v>
      </c>
    </row>
    <row r="18" spans="1:5" x14ac:dyDescent="0.3">
      <c r="A18" t="s">
        <v>413</v>
      </c>
      <c r="B18">
        <v>167</v>
      </c>
      <c r="C18">
        <v>41</v>
      </c>
      <c r="D18">
        <v>4</v>
      </c>
      <c r="E18" s="3">
        <v>45887</v>
      </c>
    </row>
    <row r="19" spans="1:5" x14ac:dyDescent="0.3">
      <c r="A19" t="s">
        <v>414</v>
      </c>
      <c r="B19">
        <v>154</v>
      </c>
      <c r="C19">
        <v>24</v>
      </c>
      <c r="D19">
        <v>6</v>
      </c>
      <c r="E19" s="3">
        <v>45869</v>
      </c>
    </row>
    <row r="20" spans="1:5" x14ac:dyDescent="0.3">
      <c r="A20" t="s">
        <v>412</v>
      </c>
      <c r="B20">
        <v>53</v>
      </c>
      <c r="C20">
        <v>58</v>
      </c>
      <c r="D20">
        <v>5</v>
      </c>
      <c r="E20" s="3">
        <v>45850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919B-2562-4EC6-B640-5F3C0D162820}">
  <dimension ref="A1:D11"/>
  <sheetViews>
    <sheetView workbookViewId="0">
      <selection activeCell="B1" sqref="B1"/>
    </sheetView>
  </sheetViews>
  <sheetFormatPr defaultRowHeight="14.4" x14ac:dyDescent="0.3"/>
  <sheetData>
    <row r="1" spans="1:4" x14ac:dyDescent="0.3">
      <c r="A1" s="1" t="s">
        <v>422</v>
      </c>
      <c r="B1" s="1" t="s">
        <v>479</v>
      </c>
      <c r="C1" s="1" t="s">
        <v>480</v>
      </c>
      <c r="D1" s="1" t="s">
        <v>481</v>
      </c>
    </row>
    <row r="2" spans="1:4" x14ac:dyDescent="0.3">
      <c r="A2" t="s">
        <v>428</v>
      </c>
      <c r="B2" t="s">
        <v>482</v>
      </c>
      <c r="C2" t="s">
        <v>483</v>
      </c>
      <c r="D2" t="s">
        <v>484</v>
      </c>
    </row>
    <row r="3" spans="1:4" x14ac:dyDescent="0.3">
      <c r="A3" t="s">
        <v>451</v>
      </c>
      <c r="B3" t="s">
        <v>485</v>
      </c>
      <c r="C3" t="s">
        <v>486</v>
      </c>
      <c r="D3" t="s">
        <v>487</v>
      </c>
    </row>
    <row r="4" spans="1:4" x14ac:dyDescent="0.3">
      <c r="A4" t="s">
        <v>432</v>
      </c>
      <c r="B4" t="s">
        <v>488</v>
      </c>
      <c r="C4" t="s">
        <v>486</v>
      </c>
      <c r="D4" t="s">
        <v>489</v>
      </c>
    </row>
    <row r="5" spans="1:4" x14ac:dyDescent="0.3">
      <c r="A5" t="s">
        <v>439</v>
      </c>
      <c r="B5" t="s">
        <v>490</v>
      </c>
      <c r="C5" t="s">
        <v>491</v>
      </c>
      <c r="D5" t="s">
        <v>492</v>
      </c>
    </row>
    <row r="6" spans="1:4" x14ac:dyDescent="0.3">
      <c r="A6" t="s">
        <v>430</v>
      </c>
      <c r="B6" t="s">
        <v>493</v>
      </c>
      <c r="C6" t="s">
        <v>486</v>
      </c>
      <c r="D6" t="s">
        <v>494</v>
      </c>
    </row>
    <row r="7" spans="1:4" x14ac:dyDescent="0.3">
      <c r="A7" t="s">
        <v>434</v>
      </c>
      <c r="B7" t="s">
        <v>495</v>
      </c>
      <c r="C7" t="s">
        <v>483</v>
      </c>
      <c r="D7" t="s">
        <v>496</v>
      </c>
    </row>
    <row r="8" spans="1:4" x14ac:dyDescent="0.3">
      <c r="A8" t="s">
        <v>437</v>
      </c>
      <c r="B8" t="s">
        <v>497</v>
      </c>
      <c r="C8" t="s">
        <v>483</v>
      </c>
      <c r="D8" t="s">
        <v>498</v>
      </c>
    </row>
    <row r="9" spans="1:4" x14ac:dyDescent="0.3">
      <c r="A9" t="s">
        <v>499</v>
      </c>
      <c r="B9" t="s">
        <v>500</v>
      </c>
      <c r="C9" t="s">
        <v>501</v>
      </c>
      <c r="D9" t="s">
        <v>502</v>
      </c>
    </row>
    <row r="10" spans="1:4" x14ac:dyDescent="0.3">
      <c r="A10" t="s">
        <v>426</v>
      </c>
      <c r="B10" t="s">
        <v>503</v>
      </c>
      <c r="C10" t="s">
        <v>483</v>
      </c>
      <c r="D10" t="s">
        <v>504</v>
      </c>
    </row>
    <row r="11" spans="1:4" x14ac:dyDescent="0.3">
      <c r="A11" t="s">
        <v>453</v>
      </c>
      <c r="B11" t="s">
        <v>505</v>
      </c>
      <c r="C11" t="s">
        <v>491</v>
      </c>
      <c r="D11" t="s">
        <v>506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431B-FB71-4BDB-8109-D4938E111231}">
  <dimension ref="A1:D121"/>
  <sheetViews>
    <sheetView workbookViewId="0">
      <selection activeCell="B6" sqref="B6"/>
    </sheetView>
  </sheetViews>
  <sheetFormatPr defaultRowHeight="14.4" x14ac:dyDescent="0.3"/>
  <cols>
    <col min="1" max="1" width="10.109375" bestFit="1" customWidth="1"/>
  </cols>
  <sheetData>
    <row r="1" spans="1:4" x14ac:dyDescent="0.3">
      <c r="A1" s="1" t="s">
        <v>507</v>
      </c>
      <c r="B1" s="1" t="s">
        <v>398</v>
      </c>
      <c r="C1" s="1" t="s">
        <v>399</v>
      </c>
      <c r="D1" s="1" t="s">
        <v>508</v>
      </c>
    </row>
    <row r="2" spans="1:4" x14ac:dyDescent="0.3">
      <c r="A2" s="3">
        <v>45867</v>
      </c>
      <c r="B2" t="s">
        <v>411</v>
      </c>
      <c r="C2">
        <v>2</v>
      </c>
      <c r="D2" t="s">
        <v>509</v>
      </c>
    </row>
    <row r="3" spans="1:4" x14ac:dyDescent="0.3">
      <c r="A3" s="3">
        <v>45860</v>
      </c>
      <c r="B3" t="s">
        <v>407</v>
      </c>
      <c r="C3">
        <v>4</v>
      </c>
      <c r="D3" t="s">
        <v>510</v>
      </c>
    </row>
    <row r="4" spans="1:4" x14ac:dyDescent="0.3">
      <c r="A4" s="3">
        <v>45853</v>
      </c>
      <c r="B4" t="s">
        <v>409</v>
      </c>
      <c r="C4">
        <v>2</v>
      </c>
      <c r="D4" t="s">
        <v>511</v>
      </c>
    </row>
    <row r="5" spans="1:4" x14ac:dyDescent="0.3">
      <c r="A5" s="3">
        <v>45879</v>
      </c>
      <c r="B5" t="s">
        <v>414</v>
      </c>
      <c r="C5">
        <v>2</v>
      </c>
      <c r="D5" t="s">
        <v>510</v>
      </c>
    </row>
    <row r="6" spans="1:4" x14ac:dyDescent="0.3">
      <c r="A6" s="3">
        <v>45891</v>
      </c>
      <c r="B6" t="s">
        <v>408</v>
      </c>
      <c r="C6">
        <v>2</v>
      </c>
      <c r="D6" t="s">
        <v>509</v>
      </c>
    </row>
    <row r="7" spans="1:4" x14ac:dyDescent="0.3">
      <c r="A7" s="3">
        <v>45896</v>
      </c>
      <c r="B7" t="s">
        <v>417</v>
      </c>
      <c r="C7">
        <v>1</v>
      </c>
      <c r="D7" t="s">
        <v>510</v>
      </c>
    </row>
    <row r="8" spans="1:4" x14ac:dyDescent="0.3">
      <c r="A8" s="3">
        <v>45890</v>
      </c>
      <c r="B8" t="s">
        <v>411</v>
      </c>
      <c r="C8">
        <v>3</v>
      </c>
      <c r="D8" t="s">
        <v>512</v>
      </c>
    </row>
    <row r="9" spans="1:4" x14ac:dyDescent="0.3">
      <c r="A9" s="3">
        <v>45893</v>
      </c>
      <c r="B9" t="s">
        <v>405</v>
      </c>
      <c r="C9">
        <v>1</v>
      </c>
      <c r="D9" t="s">
        <v>512</v>
      </c>
    </row>
    <row r="10" spans="1:4" x14ac:dyDescent="0.3">
      <c r="A10" s="3">
        <v>45892</v>
      </c>
      <c r="B10" t="s">
        <v>413</v>
      </c>
      <c r="C10">
        <v>2</v>
      </c>
      <c r="D10" t="s">
        <v>509</v>
      </c>
    </row>
    <row r="11" spans="1:4" x14ac:dyDescent="0.3">
      <c r="A11" s="3">
        <v>45894</v>
      </c>
      <c r="B11" t="s">
        <v>414</v>
      </c>
      <c r="C11">
        <v>1</v>
      </c>
      <c r="D11" t="s">
        <v>509</v>
      </c>
    </row>
    <row r="12" spans="1:4" x14ac:dyDescent="0.3">
      <c r="A12" s="3">
        <v>45854</v>
      </c>
      <c r="B12" t="s">
        <v>402</v>
      </c>
      <c r="C12">
        <v>1</v>
      </c>
      <c r="D12" t="s">
        <v>510</v>
      </c>
    </row>
    <row r="13" spans="1:4" x14ac:dyDescent="0.3">
      <c r="A13" s="3">
        <v>45850</v>
      </c>
      <c r="B13" t="s">
        <v>408</v>
      </c>
      <c r="C13">
        <v>4</v>
      </c>
      <c r="D13" t="s">
        <v>510</v>
      </c>
    </row>
    <row r="14" spans="1:4" x14ac:dyDescent="0.3">
      <c r="A14" s="3">
        <v>45847</v>
      </c>
      <c r="B14" t="s">
        <v>413</v>
      </c>
      <c r="C14">
        <v>1</v>
      </c>
      <c r="D14" t="s">
        <v>510</v>
      </c>
    </row>
    <row r="15" spans="1:4" x14ac:dyDescent="0.3">
      <c r="A15" s="3">
        <v>45844</v>
      </c>
      <c r="B15" t="s">
        <v>409</v>
      </c>
      <c r="C15">
        <v>4</v>
      </c>
      <c r="D15" t="s">
        <v>509</v>
      </c>
    </row>
    <row r="16" spans="1:4" x14ac:dyDescent="0.3">
      <c r="A16" s="3">
        <v>45888</v>
      </c>
      <c r="B16" t="s">
        <v>410</v>
      </c>
      <c r="C16">
        <v>2</v>
      </c>
      <c r="D16" t="s">
        <v>510</v>
      </c>
    </row>
    <row r="17" spans="1:4" x14ac:dyDescent="0.3">
      <c r="A17" s="3">
        <v>45893</v>
      </c>
      <c r="B17" t="s">
        <v>415</v>
      </c>
      <c r="C17">
        <v>1</v>
      </c>
      <c r="D17" t="s">
        <v>510</v>
      </c>
    </row>
    <row r="18" spans="1:4" x14ac:dyDescent="0.3">
      <c r="A18" s="3">
        <v>45868</v>
      </c>
      <c r="B18" t="s">
        <v>416</v>
      </c>
      <c r="C18">
        <v>3</v>
      </c>
      <c r="D18" t="s">
        <v>510</v>
      </c>
    </row>
    <row r="19" spans="1:4" x14ac:dyDescent="0.3">
      <c r="A19" s="3">
        <v>45863</v>
      </c>
      <c r="B19" t="s">
        <v>416</v>
      </c>
      <c r="C19">
        <v>2</v>
      </c>
      <c r="D19" t="s">
        <v>509</v>
      </c>
    </row>
    <row r="20" spans="1:4" x14ac:dyDescent="0.3">
      <c r="A20" s="3">
        <v>45895</v>
      </c>
      <c r="B20" t="s">
        <v>417</v>
      </c>
      <c r="C20">
        <v>4</v>
      </c>
      <c r="D20" t="s">
        <v>512</v>
      </c>
    </row>
    <row r="21" spans="1:4" x14ac:dyDescent="0.3">
      <c r="A21" s="3">
        <v>45880</v>
      </c>
      <c r="B21" t="s">
        <v>411</v>
      </c>
      <c r="C21">
        <v>2</v>
      </c>
      <c r="D21" t="s">
        <v>512</v>
      </c>
    </row>
    <row r="22" spans="1:4" x14ac:dyDescent="0.3">
      <c r="A22" s="3">
        <v>45891</v>
      </c>
      <c r="B22" t="s">
        <v>415</v>
      </c>
      <c r="C22">
        <v>1</v>
      </c>
      <c r="D22" t="s">
        <v>512</v>
      </c>
    </row>
    <row r="23" spans="1:4" x14ac:dyDescent="0.3">
      <c r="A23" s="3">
        <v>45884</v>
      </c>
      <c r="B23" t="s">
        <v>415</v>
      </c>
      <c r="C23">
        <v>2</v>
      </c>
      <c r="D23" t="s">
        <v>511</v>
      </c>
    </row>
    <row r="24" spans="1:4" x14ac:dyDescent="0.3">
      <c r="A24" s="3">
        <v>45878</v>
      </c>
      <c r="B24" t="s">
        <v>418</v>
      </c>
      <c r="C24">
        <v>4</v>
      </c>
      <c r="D24" t="s">
        <v>509</v>
      </c>
    </row>
    <row r="25" spans="1:4" x14ac:dyDescent="0.3">
      <c r="A25" s="3">
        <v>45879</v>
      </c>
      <c r="B25" t="s">
        <v>411</v>
      </c>
      <c r="C25">
        <v>1</v>
      </c>
      <c r="D25" t="s">
        <v>510</v>
      </c>
    </row>
    <row r="26" spans="1:4" x14ac:dyDescent="0.3">
      <c r="A26" s="3">
        <v>45882</v>
      </c>
      <c r="B26" t="s">
        <v>404</v>
      </c>
      <c r="C26">
        <v>4</v>
      </c>
      <c r="D26" t="s">
        <v>510</v>
      </c>
    </row>
    <row r="27" spans="1:4" x14ac:dyDescent="0.3">
      <c r="A27" s="3">
        <v>45846</v>
      </c>
      <c r="B27" t="s">
        <v>414</v>
      </c>
      <c r="C27">
        <v>1</v>
      </c>
      <c r="D27" t="s">
        <v>509</v>
      </c>
    </row>
    <row r="28" spans="1:4" x14ac:dyDescent="0.3">
      <c r="A28" s="3">
        <v>45872</v>
      </c>
      <c r="B28" t="s">
        <v>405</v>
      </c>
      <c r="C28">
        <v>1</v>
      </c>
      <c r="D28" t="s">
        <v>509</v>
      </c>
    </row>
    <row r="29" spans="1:4" x14ac:dyDescent="0.3">
      <c r="A29" s="3">
        <v>45891</v>
      </c>
      <c r="B29" t="s">
        <v>404</v>
      </c>
      <c r="C29">
        <v>2</v>
      </c>
      <c r="D29" t="s">
        <v>509</v>
      </c>
    </row>
    <row r="30" spans="1:4" x14ac:dyDescent="0.3">
      <c r="A30" s="3">
        <v>45860</v>
      </c>
      <c r="B30" t="s">
        <v>416</v>
      </c>
      <c r="C30">
        <v>3</v>
      </c>
      <c r="D30" t="s">
        <v>512</v>
      </c>
    </row>
    <row r="31" spans="1:4" x14ac:dyDescent="0.3">
      <c r="A31" s="3">
        <v>45867</v>
      </c>
      <c r="B31" t="s">
        <v>409</v>
      </c>
      <c r="C31">
        <v>2</v>
      </c>
      <c r="D31" t="s">
        <v>510</v>
      </c>
    </row>
    <row r="32" spans="1:4" x14ac:dyDescent="0.3">
      <c r="A32" s="3">
        <v>45890</v>
      </c>
      <c r="B32" t="s">
        <v>404</v>
      </c>
      <c r="C32">
        <v>1</v>
      </c>
      <c r="D32" t="s">
        <v>509</v>
      </c>
    </row>
    <row r="33" spans="1:4" x14ac:dyDescent="0.3">
      <c r="A33" s="3">
        <v>45863</v>
      </c>
      <c r="B33" t="s">
        <v>409</v>
      </c>
      <c r="C33">
        <v>1</v>
      </c>
      <c r="D33" t="s">
        <v>511</v>
      </c>
    </row>
    <row r="34" spans="1:4" x14ac:dyDescent="0.3">
      <c r="A34" s="3">
        <v>45854</v>
      </c>
      <c r="B34" t="s">
        <v>419</v>
      </c>
      <c r="C34">
        <v>4</v>
      </c>
      <c r="D34" t="s">
        <v>509</v>
      </c>
    </row>
    <row r="35" spans="1:4" x14ac:dyDescent="0.3">
      <c r="A35" s="3">
        <v>45849</v>
      </c>
      <c r="B35" t="s">
        <v>415</v>
      </c>
      <c r="C35">
        <v>2</v>
      </c>
      <c r="D35" t="s">
        <v>510</v>
      </c>
    </row>
    <row r="36" spans="1:4" x14ac:dyDescent="0.3">
      <c r="A36" s="3">
        <v>45840</v>
      </c>
      <c r="B36" t="s">
        <v>406</v>
      </c>
      <c r="C36">
        <v>3</v>
      </c>
      <c r="D36" t="s">
        <v>509</v>
      </c>
    </row>
    <row r="37" spans="1:4" x14ac:dyDescent="0.3">
      <c r="A37" s="3">
        <v>45845</v>
      </c>
      <c r="B37" t="s">
        <v>405</v>
      </c>
      <c r="C37">
        <v>1</v>
      </c>
      <c r="D37" t="s">
        <v>512</v>
      </c>
    </row>
    <row r="38" spans="1:4" x14ac:dyDescent="0.3">
      <c r="A38" s="3">
        <v>45882</v>
      </c>
      <c r="B38" t="s">
        <v>415</v>
      </c>
      <c r="C38">
        <v>2</v>
      </c>
      <c r="D38" t="s">
        <v>509</v>
      </c>
    </row>
    <row r="39" spans="1:4" x14ac:dyDescent="0.3">
      <c r="A39" s="3">
        <v>45843</v>
      </c>
      <c r="B39" t="s">
        <v>404</v>
      </c>
      <c r="C39">
        <v>2</v>
      </c>
      <c r="D39" t="s">
        <v>510</v>
      </c>
    </row>
    <row r="40" spans="1:4" x14ac:dyDescent="0.3">
      <c r="A40" s="3">
        <v>45861</v>
      </c>
      <c r="B40" t="s">
        <v>414</v>
      </c>
      <c r="C40">
        <v>1</v>
      </c>
      <c r="D40" t="s">
        <v>509</v>
      </c>
    </row>
    <row r="41" spans="1:4" x14ac:dyDescent="0.3">
      <c r="A41" s="3">
        <v>45844</v>
      </c>
      <c r="B41" t="s">
        <v>407</v>
      </c>
      <c r="C41">
        <v>1</v>
      </c>
      <c r="D41" t="s">
        <v>511</v>
      </c>
    </row>
    <row r="42" spans="1:4" x14ac:dyDescent="0.3">
      <c r="A42" s="3">
        <v>45861</v>
      </c>
      <c r="B42" t="s">
        <v>412</v>
      </c>
      <c r="C42">
        <v>3</v>
      </c>
      <c r="D42" t="s">
        <v>511</v>
      </c>
    </row>
    <row r="43" spans="1:4" x14ac:dyDescent="0.3">
      <c r="A43" s="3">
        <v>45895</v>
      </c>
      <c r="B43" t="s">
        <v>402</v>
      </c>
      <c r="C43">
        <v>1</v>
      </c>
      <c r="D43" t="s">
        <v>509</v>
      </c>
    </row>
    <row r="44" spans="1:4" x14ac:dyDescent="0.3">
      <c r="A44" s="3">
        <v>45868</v>
      </c>
      <c r="B44" t="s">
        <v>407</v>
      </c>
      <c r="C44">
        <v>1</v>
      </c>
      <c r="D44" t="s">
        <v>509</v>
      </c>
    </row>
    <row r="45" spans="1:4" x14ac:dyDescent="0.3">
      <c r="A45" s="3">
        <v>45879</v>
      </c>
      <c r="B45" t="s">
        <v>401</v>
      </c>
      <c r="C45">
        <v>1</v>
      </c>
      <c r="D45" t="s">
        <v>511</v>
      </c>
    </row>
    <row r="46" spans="1:4" x14ac:dyDescent="0.3">
      <c r="A46" s="3">
        <v>45844</v>
      </c>
      <c r="B46" t="s">
        <v>414</v>
      </c>
      <c r="C46">
        <v>1</v>
      </c>
      <c r="D46" t="s">
        <v>509</v>
      </c>
    </row>
    <row r="47" spans="1:4" x14ac:dyDescent="0.3">
      <c r="A47" s="3">
        <v>45880</v>
      </c>
      <c r="B47" t="s">
        <v>414</v>
      </c>
      <c r="C47">
        <v>2</v>
      </c>
      <c r="D47" t="s">
        <v>510</v>
      </c>
    </row>
    <row r="48" spans="1:4" x14ac:dyDescent="0.3">
      <c r="A48" s="3">
        <v>45843</v>
      </c>
      <c r="B48" t="s">
        <v>411</v>
      </c>
      <c r="C48">
        <v>4</v>
      </c>
      <c r="D48" t="s">
        <v>510</v>
      </c>
    </row>
    <row r="49" spans="1:4" x14ac:dyDescent="0.3">
      <c r="A49" s="3">
        <v>45889</v>
      </c>
      <c r="B49" t="s">
        <v>402</v>
      </c>
      <c r="C49">
        <v>4</v>
      </c>
      <c r="D49" t="s">
        <v>510</v>
      </c>
    </row>
    <row r="50" spans="1:4" x14ac:dyDescent="0.3">
      <c r="A50" s="3">
        <v>45878</v>
      </c>
      <c r="B50" t="s">
        <v>407</v>
      </c>
      <c r="C50">
        <v>3</v>
      </c>
      <c r="D50" t="s">
        <v>511</v>
      </c>
    </row>
    <row r="51" spans="1:4" x14ac:dyDescent="0.3">
      <c r="A51" s="3">
        <v>45875</v>
      </c>
      <c r="B51" t="s">
        <v>418</v>
      </c>
      <c r="C51">
        <v>3</v>
      </c>
      <c r="D51" t="s">
        <v>510</v>
      </c>
    </row>
    <row r="52" spans="1:4" x14ac:dyDescent="0.3">
      <c r="A52" s="3">
        <v>45862</v>
      </c>
      <c r="B52" t="s">
        <v>406</v>
      </c>
      <c r="C52">
        <v>1</v>
      </c>
      <c r="D52" t="s">
        <v>511</v>
      </c>
    </row>
    <row r="53" spans="1:4" x14ac:dyDescent="0.3">
      <c r="A53" s="3">
        <v>45853</v>
      </c>
      <c r="B53" t="s">
        <v>409</v>
      </c>
      <c r="C53">
        <v>1</v>
      </c>
      <c r="D53" t="s">
        <v>512</v>
      </c>
    </row>
    <row r="54" spans="1:4" x14ac:dyDescent="0.3">
      <c r="A54" s="3">
        <v>45893</v>
      </c>
      <c r="B54" t="s">
        <v>410</v>
      </c>
      <c r="C54">
        <v>2</v>
      </c>
      <c r="D54" t="s">
        <v>510</v>
      </c>
    </row>
    <row r="55" spans="1:4" x14ac:dyDescent="0.3">
      <c r="A55" s="3">
        <v>45893</v>
      </c>
      <c r="B55" t="s">
        <v>413</v>
      </c>
      <c r="C55">
        <v>1</v>
      </c>
      <c r="D55" t="s">
        <v>509</v>
      </c>
    </row>
    <row r="56" spans="1:4" x14ac:dyDescent="0.3">
      <c r="A56" s="3">
        <v>45876</v>
      </c>
      <c r="B56" t="s">
        <v>406</v>
      </c>
      <c r="C56">
        <v>4</v>
      </c>
      <c r="D56" t="s">
        <v>511</v>
      </c>
    </row>
    <row r="57" spans="1:4" x14ac:dyDescent="0.3">
      <c r="A57" s="3">
        <v>45858</v>
      </c>
      <c r="B57" t="s">
        <v>402</v>
      </c>
      <c r="C57">
        <v>1</v>
      </c>
      <c r="D57" t="s">
        <v>512</v>
      </c>
    </row>
    <row r="58" spans="1:4" x14ac:dyDescent="0.3">
      <c r="A58" s="3">
        <v>45882</v>
      </c>
      <c r="B58" t="s">
        <v>411</v>
      </c>
      <c r="C58">
        <v>1</v>
      </c>
      <c r="D58" t="s">
        <v>512</v>
      </c>
    </row>
    <row r="59" spans="1:4" x14ac:dyDescent="0.3">
      <c r="A59" s="3">
        <v>45891</v>
      </c>
      <c r="B59" t="s">
        <v>408</v>
      </c>
      <c r="C59">
        <v>1</v>
      </c>
      <c r="D59" t="s">
        <v>512</v>
      </c>
    </row>
    <row r="60" spans="1:4" x14ac:dyDescent="0.3">
      <c r="A60" s="3">
        <v>45865</v>
      </c>
      <c r="B60" t="s">
        <v>404</v>
      </c>
      <c r="C60">
        <v>4</v>
      </c>
      <c r="D60" t="s">
        <v>512</v>
      </c>
    </row>
    <row r="61" spans="1:4" x14ac:dyDescent="0.3">
      <c r="A61" s="3">
        <v>45846</v>
      </c>
      <c r="B61" t="s">
        <v>408</v>
      </c>
      <c r="C61">
        <v>1</v>
      </c>
      <c r="D61" t="s">
        <v>509</v>
      </c>
    </row>
    <row r="62" spans="1:4" x14ac:dyDescent="0.3">
      <c r="A62" s="3">
        <v>45885</v>
      </c>
      <c r="B62" t="s">
        <v>408</v>
      </c>
      <c r="C62">
        <v>1</v>
      </c>
      <c r="D62" t="s">
        <v>511</v>
      </c>
    </row>
    <row r="63" spans="1:4" x14ac:dyDescent="0.3">
      <c r="A63" s="3">
        <v>45868</v>
      </c>
      <c r="B63" t="s">
        <v>416</v>
      </c>
      <c r="C63">
        <v>4</v>
      </c>
      <c r="D63" t="s">
        <v>509</v>
      </c>
    </row>
    <row r="64" spans="1:4" x14ac:dyDescent="0.3">
      <c r="A64" s="3">
        <v>45857</v>
      </c>
      <c r="B64" t="s">
        <v>405</v>
      </c>
      <c r="C64">
        <v>2</v>
      </c>
      <c r="D64" t="s">
        <v>510</v>
      </c>
    </row>
    <row r="65" spans="1:4" x14ac:dyDescent="0.3">
      <c r="A65" s="3">
        <v>45862</v>
      </c>
      <c r="B65" t="s">
        <v>408</v>
      </c>
      <c r="C65">
        <v>4</v>
      </c>
      <c r="D65" t="s">
        <v>510</v>
      </c>
    </row>
    <row r="66" spans="1:4" x14ac:dyDescent="0.3">
      <c r="A66" s="3">
        <v>45862</v>
      </c>
      <c r="B66" t="s">
        <v>414</v>
      </c>
      <c r="C66">
        <v>1</v>
      </c>
      <c r="D66" t="s">
        <v>511</v>
      </c>
    </row>
    <row r="67" spans="1:4" x14ac:dyDescent="0.3">
      <c r="A67" s="3">
        <v>45866</v>
      </c>
      <c r="B67" t="s">
        <v>404</v>
      </c>
      <c r="C67">
        <v>1</v>
      </c>
      <c r="D67" t="s">
        <v>510</v>
      </c>
    </row>
    <row r="68" spans="1:4" x14ac:dyDescent="0.3">
      <c r="A68" s="3">
        <v>45890</v>
      </c>
      <c r="B68" t="s">
        <v>411</v>
      </c>
      <c r="C68">
        <v>1</v>
      </c>
      <c r="D68" t="s">
        <v>511</v>
      </c>
    </row>
    <row r="69" spans="1:4" x14ac:dyDescent="0.3">
      <c r="A69" s="3">
        <v>45864</v>
      </c>
      <c r="B69" t="s">
        <v>411</v>
      </c>
      <c r="C69">
        <v>3</v>
      </c>
      <c r="D69" t="s">
        <v>510</v>
      </c>
    </row>
    <row r="70" spans="1:4" x14ac:dyDescent="0.3">
      <c r="A70" s="3">
        <v>45884</v>
      </c>
      <c r="B70" t="s">
        <v>405</v>
      </c>
      <c r="C70">
        <v>2</v>
      </c>
      <c r="D70" t="s">
        <v>510</v>
      </c>
    </row>
    <row r="71" spans="1:4" x14ac:dyDescent="0.3">
      <c r="A71" s="3">
        <v>45870</v>
      </c>
      <c r="B71" t="s">
        <v>408</v>
      </c>
      <c r="C71">
        <v>1</v>
      </c>
      <c r="D71" t="s">
        <v>511</v>
      </c>
    </row>
    <row r="72" spans="1:4" x14ac:dyDescent="0.3">
      <c r="A72" s="3">
        <v>45869</v>
      </c>
      <c r="B72" t="s">
        <v>410</v>
      </c>
      <c r="C72">
        <v>4</v>
      </c>
      <c r="D72" t="s">
        <v>512</v>
      </c>
    </row>
    <row r="73" spans="1:4" x14ac:dyDescent="0.3">
      <c r="A73" s="3">
        <v>45893</v>
      </c>
      <c r="B73" t="s">
        <v>406</v>
      </c>
      <c r="C73">
        <v>1</v>
      </c>
      <c r="D73" t="s">
        <v>509</v>
      </c>
    </row>
    <row r="74" spans="1:4" x14ac:dyDescent="0.3">
      <c r="A74" s="3">
        <v>45840</v>
      </c>
      <c r="B74" t="s">
        <v>419</v>
      </c>
      <c r="C74">
        <v>1</v>
      </c>
      <c r="D74" t="s">
        <v>510</v>
      </c>
    </row>
    <row r="75" spans="1:4" x14ac:dyDescent="0.3">
      <c r="A75" s="3">
        <v>45867</v>
      </c>
      <c r="B75" t="s">
        <v>407</v>
      </c>
      <c r="C75">
        <v>1</v>
      </c>
      <c r="D75" t="s">
        <v>509</v>
      </c>
    </row>
    <row r="76" spans="1:4" x14ac:dyDescent="0.3">
      <c r="A76" s="3">
        <v>45871</v>
      </c>
      <c r="B76" t="s">
        <v>406</v>
      </c>
      <c r="C76">
        <v>3</v>
      </c>
      <c r="D76" t="s">
        <v>510</v>
      </c>
    </row>
    <row r="77" spans="1:4" x14ac:dyDescent="0.3">
      <c r="A77" s="3">
        <v>45894</v>
      </c>
      <c r="B77" t="s">
        <v>406</v>
      </c>
      <c r="C77">
        <v>2</v>
      </c>
      <c r="D77" t="s">
        <v>510</v>
      </c>
    </row>
    <row r="78" spans="1:4" x14ac:dyDescent="0.3">
      <c r="A78" s="3">
        <v>45892</v>
      </c>
      <c r="B78" t="s">
        <v>402</v>
      </c>
      <c r="C78">
        <v>2</v>
      </c>
      <c r="D78" t="s">
        <v>511</v>
      </c>
    </row>
    <row r="79" spans="1:4" x14ac:dyDescent="0.3">
      <c r="A79" s="3">
        <v>45886</v>
      </c>
      <c r="B79" t="s">
        <v>403</v>
      </c>
      <c r="C79">
        <v>1</v>
      </c>
      <c r="D79" t="s">
        <v>510</v>
      </c>
    </row>
    <row r="80" spans="1:4" x14ac:dyDescent="0.3">
      <c r="A80" s="3">
        <v>45855</v>
      </c>
      <c r="B80" t="s">
        <v>411</v>
      </c>
      <c r="C80">
        <v>2</v>
      </c>
      <c r="D80" t="s">
        <v>509</v>
      </c>
    </row>
    <row r="81" spans="1:4" x14ac:dyDescent="0.3">
      <c r="A81" s="3">
        <v>45852</v>
      </c>
      <c r="B81" t="s">
        <v>414</v>
      </c>
      <c r="C81">
        <v>1</v>
      </c>
      <c r="D81" t="s">
        <v>510</v>
      </c>
    </row>
    <row r="82" spans="1:4" x14ac:dyDescent="0.3">
      <c r="A82" s="3">
        <v>45856</v>
      </c>
      <c r="B82" t="s">
        <v>414</v>
      </c>
      <c r="C82">
        <v>1</v>
      </c>
      <c r="D82" t="s">
        <v>512</v>
      </c>
    </row>
    <row r="83" spans="1:4" x14ac:dyDescent="0.3">
      <c r="A83" s="3">
        <v>45889</v>
      </c>
      <c r="B83" t="s">
        <v>415</v>
      </c>
      <c r="C83">
        <v>1</v>
      </c>
      <c r="D83" t="s">
        <v>512</v>
      </c>
    </row>
    <row r="84" spans="1:4" x14ac:dyDescent="0.3">
      <c r="A84" s="3">
        <v>45843</v>
      </c>
      <c r="B84" t="s">
        <v>416</v>
      </c>
      <c r="C84">
        <v>2</v>
      </c>
      <c r="D84" t="s">
        <v>510</v>
      </c>
    </row>
    <row r="85" spans="1:4" x14ac:dyDescent="0.3">
      <c r="A85" s="3">
        <v>45852</v>
      </c>
      <c r="B85" t="s">
        <v>406</v>
      </c>
      <c r="C85">
        <v>3</v>
      </c>
      <c r="D85" t="s">
        <v>512</v>
      </c>
    </row>
    <row r="86" spans="1:4" x14ac:dyDescent="0.3">
      <c r="A86" s="3">
        <v>45853</v>
      </c>
      <c r="B86" t="s">
        <v>416</v>
      </c>
      <c r="C86">
        <v>2</v>
      </c>
      <c r="D86" t="s">
        <v>509</v>
      </c>
    </row>
    <row r="87" spans="1:4" x14ac:dyDescent="0.3">
      <c r="A87" s="3">
        <v>45888</v>
      </c>
      <c r="B87" t="s">
        <v>409</v>
      </c>
      <c r="C87">
        <v>4</v>
      </c>
      <c r="D87" t="s">
        <v>511</v>
      </c>
    </row>
    <row r="88" spans="1:4" x14ac:dyDescent="0.3">
      <c r="A88" s="3">
        <v>45844</v>
      </c>
      <c r="B88" t="s">
        <v>403</v>
      </c>
      <c r="C88">
        <v>1</v>
      </c>
      <c r="D88" t="s">
        <v>510</v>
      </c>
    </row>
    <row r="89" spans="1:4" x14ac:dyDescent="0.3">
      <c r="A89" s="3">
        <v>45840</v>
      </c>
      <c r="B89" t="s">
        <v>416</v>
      </c>
      <c r="C89">
        <v>1</v>
      </c>
      <c r="D89" t="s">
        <v>510</v>
      </c>
    </row>
    <row r="90" spans="1:4" x14ac:dyDescent="0.3">
      <c r="A90" s="3">
        <v>45840</v>
      </c>
      <c r="B90" t="s">
        <v>416</v>
      </c>
      <c r="C90">
        <v>2</v>
      </c>
      <c r="D90" t="s">
        <v>511</v>
      </c>
    </row>
    <row r="91" spans="1:4" x14ac:dyDescent="0.3">
      <c r="A91" s="3">
        <v>45891</v>
      </c>
      <c r="B91" t="s">
        <v>401</v>
      </c>
      <c r="C91">
        <v>2</v>
      </c>
      <c r="D91" t="s">
        <v>512</v>
      </c>
    </row>
    <row r="92" spans="1:4" x14ac:dyDescent="0.3">
      <c r="A92" s="3">
        <v>45887</v>
      </c>
      <c r="B92" t="s">
        <v>410</v>
      </c>
      <c r="C92">
        <v>3</v>
      </c>
      <c r="D92" t="s">
        <v>509</v>
      </c>
    </row>
    <row r="93" spans="1:4" x14ac:dyDescent="0.3">
      <c r="A93" s="3">
        <v>45849</v>
      </c>
      <c r="B93" t="s">
        <v>405</v>
      </c>
      <c r="C93">
        <v>2</v>
      </c>
      <c r="D93" t="s">
        <v>509</v>
      </c>
    </row>
    <row r="94" spans="1:4" x14ac:dyDescent="0.3">
      <c r="A94" s="3">
        <v>45862</v>
      </c>
      <c r="B94" t="s">
        <v>408</v>
      </c>
      <c r="C94">
        <v>1</v>
      </c>
      <c r="D94" t="s">
        <v>511</v>
      </c>
    </row>
    <row r="95" spans="1:4" x14ac:dyDescent="0.3">
      <c r="A95" s="3">
        <v>45873</v>
      </c>
      <c r="B95" t="s">
        <v>419</v>
      </c>
      <c r="C95">
        <v>4</v>
      </c>
      <c r="D95" t="s">
        <v>510</v>
      </c>
    </row>
    <row r="96" spans="1:4" x14ac:dyDescent="0.3">
      <c r="A96" s="3">
        <v>45846</v>
      </c>
      <c r="B96" t="s">
        <v>411</v>
      </c>
      <c r="C96">
        <v>3</v>
      </c>
      <c r="D96" t="s">
        <v>510</v>
      </c>
    </row>
    <row r="97" spans="1:4" x14ac:dyDescent="0.3">
      <c r="A97" s="3">
        <v>45883</v>
      </c>
      <c r="B97" t="s">
        <v>412</v>
      </c>
      <c r="C97">
        <v>1</v>
      </c>
      <c r="D97" t="s">
        <v>509</v>
      </c>
    </row>
    <row r="98" spans="1:4" x14ac:dyDescent="0.3">
      <c r="A98" s="3">
        <v>45860</v>
      </c>
      <c r="B98" t="s">
        <v>401</v>
      </c>
      <c r="C98">
        <v>1</v>
      </c>
      <c r="D98" t="s">
        <v>512</v>
      </c>
    </row>
    <row r="99" spans="1:4" x14ac:dyDescent="0.3">
      <c r="A99" s="3">
        <v>45842</v>
      </c>
      <c r="B99" t="s">
        <v>417</v>
      </c>
      <c r="C99">
        <v>1</v>
      </c>
      <c r="D99" t="s">
        <v>510</v>
      </c>
    </row>
    <row r="100" spans="1:4" x14ac:dyDescent="0.3">
      <c r="A100" s="3">
        <v>45875</v>
      </c>
      <c r="B100" t="s">
        <v>404</v>
      </c>
      <c r="C100">
        <v>2</v>
      </c>
      <c r="D100" t="s">
        <v>510</v>
      </c>
    </row>
    <row r="101" spans="1:4" x14ac:dyDescent="0.3">
      <c r="A101" s="3">
        <v>45844</v>
      </c>
      <c r="B101" t="s">
        <v>416</v>
      </c>
      <c r="C101">
        <v>3</v>
      </c>
      <c r="D101" t="s">
        <v>509</v>
      </c>
    </row>
    <row r="102" spans="1:4" x14ac:dyDescent="0.3">
      <c r="A102" s="3">
        <v>45847</v>
      </c>
      <c r="B102" t="s">
        <v>403</v>
      </c>
      <c r="C102">
        <v>1</v>
      </c>
      <c r="D102" t="s">
        <v>510</v>
      </c>
    </row>
    <row r="103" spans="1:4" x14ac:dyDescent="0.3">
      <c r="A103" s="3">
        <v>45871</v>
      </c>
      <c r="B103" t="s">
        <v>412</v>
      </c>
      <c r="C103">
        <v>2</v>
      </c>
      <c r="D103" t="s">
        <v>512</v>
      </c>
    </row>
    <row r="104" spans="1:4" x14ac:dyDescent="0.3">
      <c r="A104" s="3">
        <v>45890</v>
      </c>
      <c r="B104" t="s">
        <v>415</v>
      </c>
      <c r="C104">
        <v>2</v>
      </c>
      <c r="D104" t="s">
        <v>509</v>
      </c>
    </row>
    <row r="105" spans="1:4" x14ac:dyDescent="0.3">
      <c r="A105" s="3">
        <v>45859</v>
      </c>
      <c r="B105" t="s">
        <v>412</v>
      </c>
      <c r="C105">
        <v>2</v>
      </c>
      <c r="D105" t="s">
        <v>510</v>
      </c>
    </row>
    <row r="106" spans="1:4" x14ac:dyDescent="0.3">
      <c r="A106" s="3">
        <v>45865</v>
      </c>
      <c r="B106" t="s">
        <v>415</v>
      </c>
      <c r="C106">
        <v>1</v>
      </c>
      <c r="D106" t="s">
        <v>512</v>
      </c>
    </row>
    <row r="107" spans="1:4" x14ac:dyDescent="0.3">
      <c r="A107" s="3">
        <v>45866</v>
      </c>
      <c r="B107" t="s">
        <v>414</v>
      </c>
      <c r="C107">
        <v>3</v>
      </c>
      <c r="D107" t="s">
        <v>512</v>
      </c>
    </row>
    <row r="108" spans="1:4" x14ac:dyDescent="0.3">
      <c r="A108" s="3">
        <v>45856</v>
      </c>
      <c r="B108" t="s">
        <v>402</v>
      </c>
      <c r="C108">
        <v>4</v>
      </c>
      <c r="D108" t="s">
        <v>512</v>
      </c>
    </row>
    <row r="109" spans="1:4" x14ac:dyDescent="0.3">
      <c r="A109" s="3">
        <v>45859</v>
      </c>
      <c r="B109" t="s">
        <v>412</v>
      </c>
      <c r="C109">
        <v>2</v>
      </c>
      <c r="D109" t="s">
        <v>509</v>
      </c>
    </row>
    <row r="110" spans="1:4" x14ac:dyDescent="0.3">
      <c r="A110" s="3">
        <v>45877</v>
      </c>
      <c r="B110" t="s">
        <v>417</v>
      </c>
      <c r="C110">
        <v>1</v>
      </c>
      <c r="D110" t="s">
        <v>511</v>
      </c>
    </row>
    <row r="111" spans="1:4" x14ac:dyDescent="0.3">
      <c r="A111" s="3">
        <v>45854</v>
      </c>
      <c r="B111" t="s">
        <v>412</v>
      </c>
      <c r="C111">
        <v>2</v>
      </c>
      <c r="D111" t="s">
        <v>509</v>
      </c>
    </row>
    <row r="112" spans="1:4" x14ac:dyDescent="0.3">
      <c r="A112" s="3">
        <v>45894</v>
      </c>
      <c r="B112" t="s">
        <v>404</v>
      </c>
      <c r="C112">
        <v>3</v>
      </c>
      <c r="D112" t="s">
        <v>511</v>
      </c>
    </row>
    <row r="113" spans="1:4" x14ac:dyDescent="0.3">
      <c r="A113" s="3">
        <v>45876</v>
      </c>
      <c r="B113" t="s">
        <v>407</v>
      </c>
      <c r="C113">
        <v>4</v>
      </c>
      <c r="D113" t="s">
        <v>512</v>
      </c>
    </row>
    <row r="114" spans="1:4" x14ac:dyDescent="0.3">
      <c r="A114" s="3">
        <v>45887</v>
      </c>
      <c r="B114" t="s">
        <v>411</v>
      </c>
      <c r="C114">
        <v>1</v>
      </c>
      <c r="D114" t="s">
        <v>512</v>
      </c>
    </row>
    <row r="115" spans="1:4" x14ac:dyDescent="0.3">
      <c r="A115" s="3">
        <v>45848</v>
      </c>
      <c r="B115" t="s">
        <v>410</v>
      </c>
      <c r="C115">
        <v>1</v>
      </c>
      <c r="D115" t="s">
        <v>509</v>
      </c>
    </row>
    <row r="116" spans="1:4" x14ac:dyDescent="0.3">
      <c r="A116" s="3">
        <v>45846</v>
      </c>
      <c r="B116" t="s">
        <v>402</v>
      </c>
      <c r="C116">
        <v>2</v>
      </c>
      <c r="D116" t="s">
        <v>510</v>
      </c>
    </row>
    <row r="117" spans="1:4" x14ac:dyDescent="0.3">
      <c r="A117" s="3">
        <v>45870</v>
      </c>
      <c r="B117" t="s">
        <v>416</v>
      </c>
      <c r="C117">
        <v>1</v>
      </c>
      <c r="D117" t="s">
        <v>511</v>
      </c>
    </row>
    <row r="118" spans="1:4" x14ac:dyDescent="0.3">
      <c r="A118" s="3">
        <v>45882</v>
      </c>
      <c r="B118" t="s">
        <v>403</v>
      </c>
      <c r="C118">
        <v>2</v>
      </c>
      <c r="D118" t="s">
        <v>509</v>
      </c>
    </row>
    <row r="119" spans="1:4" x14ac:dyDescent="0.3">
      <c r="A119" s="3">
        <v>45873</v>
      </c>
      <c r="B119" t="s">
        <v>414</v>
      </c>
      <c r="C119">
        <v>4</v>
      </c>
      <c r="D119" t="s">
        <v>510</v>
      </c>
    </row>
    <row r="120" spans="1:4" x14ac:dyDescent="0.3">
      <c r="A120" s="3">
        <v>45880</v>
      </c>
      <c r="B120" t="s">
        <v>418</v>
      </c>
      <c r="C120">
        <v>4</v>
      </c>
      <c r="D120" t="s">
        <v>510</v>
      </c>
    </row>
    <row r="121" spans="1:4" x14ac:dyDescent="0.3">
      <c r="A121" s="3">
        <v>45847</v>
      </c>
      <c r="B121" t="s">
        <v>401</v>
      </c>
      <c r="C121">
        <v>2</v>
      </c>
      <c r="D121" t="s">
        <v>509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CD37-1DDD-40DA-AF88-A74D78294EE7}">
  <dimension ref="A1:D221"/>
  <sheetViews>
    <sheetView workbookViewId="0">
      <selection activeCell="B1" sqref="B1"/>
    </sheetView>
  </sheetViews>
  <sheetFormatPr defaultRowHeight="14.4" x14ac:dyDescent="0.3"/>
  <cols>
    <col min="1" max="1" width="10.109375" bestFit="1" customWidth="1"/>
    <col min="2" max="2" width="14.77734375" bestFit="1" customWidth="1"/>
  </cols>
  <sheetData>
    <row r="1" spans="1:4" x14ac:dyDescent="0.3">
      <c r="A1" s="1" t="s">
        <v>507</v>
      </c>
      <c r="B1" s="1" t="s">
        <v>2</v>
      </c>
      <c r="C1" s="1" t="s">
        <v>513</v>
      </c>
      <c r="D1" s="1" t="s">
        <v>514</v>
      </c>
    </row>
    <row r="2" spans="1:4" x14ac:dyDescent="0.3">
      <c r="A2" s="3">
        <v>45846</v>
      </c>
      <c r="B2" t="s">
        <v>27</v>
      </c>
      <c r="C2">
        <v>4</v>
      </c>
      <c r="D2" t="s">
        <v>515</v>
      </c>
    </row>
    <row r="3" spans="1:4" x14ac:dyDescent="0.3">
      <c r="A3" s="3">
        <v>45875</v>
      </c>
      <c r="B3" t="s">
        <v>9</v>
      </c>
      <c r="C3">
        <v>3</v>
      </c>
      <c r="D3" t="s">
        <v>516</v>
      </c>
    </row>
    <row r="4" spans="1:4" x14ac:dyDescent="0.3">
      <c r="A4" s="3">
        <v>45869</v>
      </c>
      <c r="B4" t="s">
        <v>15</v>
      </c>
      <c r="C4">
        <v>2</v>
      </c>
      <c r="D4" t="s">
        <v>517</v>
      </c>
    </row>
    <row r="5" spans="1:4" x14ac:dyDescent="0.3">
      <c r="A5" s="3">
        <v>45839</v>
      </c>
      <c r="B5" t="s">
        <v>15</v>
      </c>
      <c r="C5">
        <v>5</v>
      </c>
      <c r="D5" t="s">
        <v>518</v>
      </c>
    </row>
    <row r="6" spans="1:4" x14ac:dyDescent="0.3">
      <c r="A6" s="3">
        <v>45865</v>
      </c>
      <c r="B6" t="s">
        <v>27</v>
      </c>
      <c r="C6">
        <v>3</v>
      </c>
      <c r="D6" t="s">
        <v>517</v>
      </c>
    </row>
    <row r="7" spans="1:4" x14ac:dyDescent="0.3">
      <c r="A7" s="3">
        <v>45857</v>
      </c>
      <c r="B7" t="s">
        <v>15</v>
      </c>
      <c r="C7">
        <v>5</v>
      </c>
      <c r="D7" t="s">
        <v>516</v>
      </c>
    </row>
    <row r="8" spans="1:4" x14ac:dyDescent="0.3">
      <c r="A8" s="3">
        <v>45849</v>
      </c>
      <c r="B8" t="s">
        <v>27</v>
      </c>
      <c r="C8">
        <v>2</v>
      </c>
      <c r="D8" t="s">
        <v>518</v>
      </c>
    </row>
    <row r="9" spans="1:4" x14ac:dyDescent="0.3">
      <c r="A9" s="3">
        <v>45892</v>
      </c>
      <c r="B9" t="s">
        <v>27</v>
      </c>
      <c r="C9">
        <v>4</v>
      </c>
      <c r="D9" t="s">
        <v>516</v>
      </c>
    </row>
    <row r="10" spans="1:4" x14ac:dyDescent="0.3">
      <c r="A10" s="3">
        <v>45840</v>
      </c>
      <c r="B10" t="s">
        <v>15</v>
      </c>
      <c r="C10">
        <v>5</v>
      </c>
      <c r="D10" t="s">
        <v>516</v>
      </c>
    </row>
    <row r="11" spans="1:4" x14ac:dyDescent="0.3">
      <c r="A11" s="3">
        <v>45847</v>
      </c>
      <c r="B11" t="s">
        <v>9</v>
      </c>
      <c r="C11">
        <v>3</v>
      </c>
      <c r="D11" t="s">
        <v>515</v>
      </c>
    </row>
    <row r="12" spans="1:4" x14ac:dyDescent="0.3">
      <c r="A12" s="3">
        <v>45875</v>
      </c>
      <c r="B12" t="s">
        <v>27</v>
      </c>
      <c r="C12">
        <v>3</v>
      </c>
      <c r="D12" t="s">
        <v>519</v>
      </c>
    </row>
    <row r="13" spans="1:4" x14ac:dyDescent="0.3">
      <c r="A13" s="3">
        <v>45868</v>
      </c>
      <c r="B13" t="s">
        <v>15</v>
      </c>
      <c r="C13">
        <v>5</v>
      </c>
      <c r="D13" t="s">
        <v>515</v>
      </c>
    </row>
    <row r="14" spans="1:4" x14ac:dyDescent="0.3">
      <c r="A14" s="3">
        <v>45845</v>
      </c>
      <c r="B14" t="s">
        <v>27</v>
      </c>
      <c r="C14">
        <v>5</v>
      </c>
      <c r="D14" t="s">
        <v>519</v>
      </c>
    </row>
    <row r="15" spans="1:4" x14ac:dyDescent="0.3">
      <c r="A15" s="3">
        <v>45879</v>
      </c>
      <c r="B15" t="s">
        <v>15</v>
      </c>
      <c r="C15">
        <v>5</v>
      </c>
      <c r="D15" t="s">
        <v>517</v>
      </c>
    </row>
    <row r="16" spans="1:4" x14ac:dyDescent="0.3">
      <c r="A16" s="3">
        <v>45874</v>
      </c>
      <c r="B16" t="s">
        <v>15</v>
      </c>
      <c r="C16">
        <v>3</v>
      </c>
      <c r="D16" t="s">
        <v>520</v>
      </c>
    </row>
    <row r="17" spans="1:4" x14ac:dyDescent="0.3">
      <c r="A17" s="3">
        <v>45896</v>
      </c>
      <c r="B17" t="s">
        <v>9</v>
      </c>
      <c r="C17">
        <v>3</v>
      </c>
      <c r="D17" t="s">
        <v>520</v>
      </c>
    </row>
    <row r="18" spans="1:4" x14ac:dyDescent="0.3">
      <c r="A18" s="3">
        <v>45849</v>
      </c>
      <c r="B18" t="s">
        <v>27</v>
      </c>
      <c r="C18">
        <v>4</v>
      </c>
    </row>
    <row r="19" spans="1:4" x14ac:dyDescent="0.3">
      <c r="A19" s="3">
        <v>45877</v>
      </c>
      <c r="B19" t="s">
        <v>15</v>
      </c>
      <c r="C19">
        <v>5</v>
      </c>
      <c r="D19" t="s">
        <v>518</v>
      </c>
    </row>
    <row r="20" spans="1:4" x14ac:dyDescent="0.3">
      <c r="A20" s="3">
        <v>45881</v>
      </c>
      <c r="B20" t="s">
        <v>15</v>
      </c>
      <c r="C20">
        <v>5</v>
      </c>
      <c r="D20" t="s">
        <v>515</v>
      </c>
    </row>
    <row r="21" spans="1:4" x14ac:dyDescent="0.3">
      <c r="A21" s="3">
        <v>45868</v>
      </c>
      <c r="B21" t="s">
        <v>15</v>
      </c>
      <c r="C21">
        <v>3</v>
      </c>
      <c r="D21" t="s">
        <v>520</v>
      </c>
    </row>
    <row r="22" spans="1:4" x14ac:dyDescent="0.3">
      <c r="A22" s="3">
        <v>45869</v>
      </c>
      <c r="B22" t="s">
        <v>27</v>
      </c>
      <c r="C22">
        <v>5</v>
      </c>
      <c r="D22" t="s">
        <v>518</v>
      </c>
    </row>
    <row r="23" spans="1:4" x14ac:dyDescent="0.3">
      <c r="A23" s="3">
        <v>45867</v>
      </c>
      <c r="B23" t="s">
        <v>9</v>
      </c>
      <c r="C23">
        <v>5</v>
      </c>
      <c r="D23" t="s">
        <v>521</v>
      </c>
    </row>
    <row r="24" spans="1:4" x14ac:dyDescent="0.3">
      <c r="A24" s="3">
        <v>45870</v>
      </c>
      <c r="B24" t="s">
        <v>15</v>
      </c>
      <c r="C24">
        <v>4</v>
      </c>
      <c r="D24" t="s">
        <v>516</v>
      </c>
    </row>
    <row r="25" spans="1:4" x14ac:dyDescent="0.3">
      <c r="A25" s="3">
        <v>45874</v>
      </c>
      <c r="B25" t="s">
        <v>27</v>
      </c>
      <c r="C25">
        <v>3</v>
      </c>
      <c r="D25" t="s">
        <v>515</v>
      </c>
    </row>
    <row r="26" spans="1:4" x14ac:dyDescent="0.3">
      <c r="A26" s="3">
        <v>45892</v>
      </c>
      <c r="B26" t="s">
        <v>27</v>
      </c>
      <c r="C26">
        <v>5</v>
      </c>
      <c r="D26" t="s">
        <v>521</v>
      </c>
    </row>
    <row r="27" spans="1:4" x14ac:dyDescent="0.3">
      <c r="A27" s="3">
        <v>45881</v>
      </c>
      <c r="B27" t="s">
        <v>15</v>
      </c>
      <c r="C27">
        <v>2</v>
      </c>
      <c r="D27" t="s">
        <v>516</v>
      </c>
    </row>
    <row r="28" spans="1:4" x14ac:dyDescent="0.3">
      <c r="A28" s="3">
        <v>45887</v>
      </c>
      <c r="B28" t="s">
        <v>27</v>
      </c>
      <c r="C28">
        <v>4</v>
      </c>
      <c r="D28" t="s">
        <v>521</v>
      </c>
    </row>
    <row r="29" spans="1:4" x14ac:dyDescent="0.3">
      <c r="A29" s="3">
        <v>45863</v>
      </c>
      <c r="B29" t="s">
        <v>9</v>
      </c>
      <c r="C29">
        <v>3</v>
      </c>
      <c r="D29" t="s">
        <v>516</v>
      </c>
    </row>
    <row r="30" spans="1:4" x14ac:dyDescent="0.3">
      <c r="A30" s="3">
        <v>45875</v>
      </c>
      <c r="B30" t="s">
        <v>27</v>
      </c>
      <c r="C30">
        <v>5</v>
      </c>
      <c r="D30" t="s">
        <v>520</v>
      </c>
    </row>
    <row r="31" spans="1:4" x14ac:dyDescent="0.3">
      <c r="A31" s="3">
        <v>45895</v>
      </c>
      <c r="B31" t="s">
        <v>15</v>
      </c>
      <c r="C31">
        <v>5</v>
      </c>
    </row>
    <row r="32" spans="1:4" x14ac:dyDescent="0.3">
      <c r="A32" s="3">
        <v>45873</v>
      </c>
      <c r="B32" t="s">
        <v>9</v>
      </c>
      <c r="C32">
        <v>2</v>
      </c>
      <c r="D32" t="s">
        <v>517</v>
      </c>
    </row>
    <row r="33" spans="1:4" x14ac:dyDescent="0.3">
      <c r="A33" s="3">
        <v>45863</v>
      </c>
      <c r="B33" t="s">
        <v>9</v>
      </c>
      <c r="C33">
        <v>4</v>
      </c>
      <c r="D33" t="s">
        <v>515</v>
      </c>
    </row>
    <row r="34" spans="1:4" x14ac:dyDescent="0.3">
      <c r="A34" s="3">
        <v>45843</v>
      </c>
      <c r="B34" t="s">
        <v>9</v>
      </c>
      <c r="C34">
        <v>5</v>
      </c>
      <c r="D34" t="s">
        <v>518</v>
      </c>
    </row>
    <row r="35" spans="1:4" x14ac:dyDescent="0.3">
      <c r="A35" s="3">
        <v>45880</v>
      </c>
      <c r="B35" t="s">
        <v>27</v>
      </c>
      <c r="C35">
        <v>2</v>
      </c>
      <c r="D35" t="s">
        <v>517</v>
      </c>
    </row>
    <row r="36" spans="1:4" x14ac:dyDescent="0.3">
      <c r="A36" s="3">
        <v>45864</v>
      </c>
      <c r="B36" t="s">
        <v>27</v>
      </c>
      <c r="C36">
        <v>3</v>
      </c>
      <c r="D36" t="s">
        <v>520</v>
      </c>
    </row>
    <row r="37" spans="1:4" x14ac:dyDescent="0.3">
      <c r="A37" s="3">
        <v>45875</v>
      </c>
      <c r="B37" t="s">
        <v>15</v>
      </c>
      <c r="C37">
        <v>5</v>
      </c>
      <c r="D37" t="s">
        <v>515</v>
      </c>
    </row>
    <row r="38" spans="1:4" x14ac:dyDescent="0.3">
      <c r="A38" s="3">
        <v>45872</v>
      </c>
      <c r="B38" t="s">
        <v>27</v>
      </c>
      <c r="C38">
        <v>5</v>
      </c>
      <c r="D38" t="s">
        <v>517</v>
      </c>
    </row>
    <row r="39" spans="1:4" x14ac:dyDescent="0.3">
      <c r="A39" s="3">
        <v>45867</v>
      </c>
      <c r="B39" t="s">
        <v>15</v>
      </c>
      <c r="C39">
        <v>2</v>
      </c>
      <c r="D39" t="s">
        <v>517</v>
      </c>
    </row>
    <row r="40" spans="1:4" x14ac:dyDescent="0.3">
      <c r="A40" s="3">
        <v>45852</v>
      </c>
      <c r="B40" t="s">
        <v>15</v>
      </c>
      <c r="C40">
        <v>4</v>
      </c>
      <c r="D40" t="s">
        <v>518</v>
      </c>
    </row>
    <row r="41" spans="1:4" x14ac:dyDescent="0.3">
      <c r="A41" s="3">
        <v>45883</v>
      </c>
      <c r="B41" t="s">
        <v>27</v>
      </c>
      <c r="C41">
        <v>5</v>
      </c>
      <c r="D41" t="s">
        <v>518</v>
      </c>
    </row>
    <row r="42" spans="1:4" x14ac:dyDescent="0.3">
      <c r="A42" s="3">
        <v>45885</v>
      </c>
      <c r="B42" t="s">
        <v>27</v>
      </c>
      <c r="C42">
        <v>5</v>
      </c>
      <c r="D42" t="s">
        <v>520</v>
      </c>
    </row>
    <row r="43" spans="1:4" x14ac:dyDescent="0.3">
      <c r="A43" s="3">
        <v>45869</v>
      </c>
      <c r="B43" t="s">
        <v>27</v>
      </c>
      <c r="C43">
        <v>4</v>
      </c>
    </row>
    <row r="44" spans="1:4" x14ac:dyDescent="0.3">
      <c r="A44" s="3">
        <v>45850</v>
      </c>
      <c r="B44" t="s">
        <v>27</v>
      </c>
      <c r="C44">
        <v>4</v>
      </c>
      <c r="D44" t="s">
        <v>517</v>
      </c>
    </row>
    <row r="45" spans="1:4" x14ac:dyDescent="0.3">
      <c r="A45" s="3">
        <v>45854</v>
      </c>
      <c r="B45" t="s">
        <v>9</v>
      </c>
      <c r="C45">
        <v>3</v>
      </c>
      <c r="D45" t="s">
        <v>515</v>
      </c>
    </row>
    <row r="46" spans="1:4" x14ac:dyDescent="0.3">
      <c r="A46" s="3">
        <v>45892</v>
      </c>
      <c r="B46" t="s">
        <v>27</v>
      </c>
      <c r="C46">
        <v>4</v>
      </c>
      <c r="D46" t="s">
        <v>516</v>
      </c>
    </row>
    <row r="47" spans="1:4" x14ac:dyDescent="0.3">
      <c r="A47" s="3">
        <v>45883</v>
      </c>
      <c r="B47" t="s">
        <v>27</v>
      </c>
      <c r="C47">
        <v>5</v>
      </c>
      <c r="D47" t="s">
        <v>515</v>
      </c>
    </row>
    <row r="48" spans="1:4" x14ac:dyDescent="0.3">
      <c r="A48" s="3">
        <v>45857</v>
      </c>
      <c r="B48" t="s">
        <v>9</v>
      </c>
      <c r="C48">
        <v>5</v>
      </c>
      <c r="D48" t="s">
        <v>516</v>
      </c>
    </row>
    <row r="49" spans="1:4" x14ac:dyDescent="0.3">
      <c r="A49" s="3">
        <v>45841</v>
      </c>
      <c r="B49" t="s">
        <v>9</v>
      </c>
      <c r="C49">
        <v>3</v>
      </c>
      <c r="D49" t="s">
        <v>520</v>
      </c>
    </row>
    <row r="50" spans="1:4" x14ac:dyDescent="0.3">
      <c r="A50" s="3">
        <v>45896</v>
      </c>
      <c r="B50" t="s">
        <v>15</v>
      </c>
      <c r="C50">
        <v>5</v>
      </c>
    </row>
    <row r="51" spans="1:4" x14ac:dyDescent="0.3">
      <c r="A51" s="3">
        <v>45859</v>
      </c>
      <c r="B51" t="s">
        <v>27</v>
      </c>
      <c r="C51">
        <v>4</v>
      </c>
      <c r="D51" t="s">
        <v>517</v>
      </c>
    </row>
    <row r="52" spans="1:4" x14ac:dyDescent="0.3">
      <c r="A52" s="3">
        <v>45895</v>
      </c>
      <c r="B52" t="s">
        <v>27</v>
      </c>
      <c r="C52">
        <v>3</v>
      </c>
      <c r="D52" t="s">
        <v>518</v>
      </c>
    </row>
    <row r="53" spans="1:4" x14ac:dyDescent="0.3">
      <c r="A53" s="3">
        <v>45870</v>
      </c>
      <c r="B53" t="s">
        <v>27</v>
      </c>
      <c r="C53">
        <v>5</v>
      </c>
      <c r="D53" t="s">
        <v>517</v>
      </c>
    </row>
    <row r="54" spans="1:4" x14ac:dyDescent="0.3">
      <c r="A54" s="3">
        <v>45864</v>
      </c>
      <c r="B54" t="s">
        <v>9</v>
      </c>
      <c r="C54">
        <v>5</v>
      </c>
      <c r="D54" t="s">
        <v>518</v>
      </c>
    </row>
    <row r="55" spans="1:4" x14ac:dyDescent="0.3">
      <c r="A55" s="3">
        <v>45896</v>
      </c>
      <c r="B55" t="s">
        <v>15</v>
      </c>
      <c r="C55">
        <v>5</v>
      </c>
      <c r="D55" t="s">
        <v>517</v>
      </c>
    </row>
    <row r="56" spans="1:4" x14ac:dyDescent="0.3">
      <c r="A56" s="3">
        <v>45872</v>
      </c>
      <c r="B56" t="s">
        <v>15</v>
      </c>
      <c r="C56">
        <v>5</v>
      </c>
      <c r="D56" t="s">
        <v>515</v>
      </c>
    </row>
    <row r="57" spans="1:4" x14ac:dyDescent="0.3">
      <c r="A57" s="3">
        <v>45867</v>
      </c>
      <c r="B57" t="s">
        <v>9</v>
      </c>
      <c r="C57">
        <v>2</v>
      </c>
      <c r="D57" t="s">
        <v>515</v>
      </c>
    </row>
    <row r="58" spans="1:4" x14ac:dyDescent="0.3">
      <c r="A58" s="3">
        <v>45869</v>
      </c>
      <c r="B58" t="s">
        <v>27</v>
      </c>
      <c r="C58">
        <v>3</v>
      </c>
      <c r="D58" t="s">
        <v>519</v>
      </c>
    </row>
    <row r="59" spans="1:4" x14ac:dyDescent="0.3">
      <c r="A59" s="3">
        <v>45850</v>
      </c>
      <c r="B59" t="s">
        <v>27</v>
      </c>
      <c r="C59">
        <v>4</v>
      </c>
      <c r="D59" t="s">
        <v>515</v>
      </c>
    </row>
    <row r="60" spans="1:4" x14ac:dyDescent="0.3">
      <c r="A60" s="3">
        <v>45888</v>
      </c>
      <c r="B60" t="s">
        <v>15</v>
      </c>
      <c r="C60">
        <v>5</v>
      </c>
      <c r="D60" t="s">
        <v>515</v>
      </c>
    </row>
    <row r="61" spans="1:4" x14ac:dyDescent="0.3">
      <c r="A61" s="3">
        <v>45894</v>
      </c>
      <c r="B61" t="s">
        <v>15</v>
      </c>
      <c r="C61">
        <v>5</v>
      </c>
      <c r="D61" t="s">
        <v>515</v>
      </c>
    </row>
    <row r="62" spans="1:4" x14ac:dyDescent="0.3">
      <c r="A62" s="3">
        <v>45886</v>
      </c>
      <c r="B62" t="s">
        <v>9</v>
      </c>
      <c r="C62">
        <v>3</v>
      </c>
      <c r="D62" t="s">
        <v>515</v>
      </c>
    </row>
    <row r="63" spans="1:4" x14ac:dyDescent="0.3">
      <c r="A63" s="3">
        <v>45886</v>
      </c>
      <c r="B63" t="s">
        <v>15</v>
      </c>
      <c r="C63">
        <v>3</v>
      </c>
      <c r="D63" t="s">
        <v>515</v>
      </c>
    </row>
    <row r="64" spans="1:4" x14ac:dyDescent="0.3">
      <c r="A64" s="3">
        <v>45869</v>
      </c>
      <c r="B64" t="s">
        <v>15</v>
      </c>
      <c r="C64">
        <v>2</v>
      </c>
      <c r="D64" t="s">
        <v>518</v>
      </c>
    </row>
    <row r="65" spans="1:4" x14ac:dyDescent="0.3">
      <c r="A65" s="3">
        <v>45839</v>
      </c>
      <c r="B65" t="s">
        <v>15</v>
      </c>
      <c r="C65">
        <v>3</v>
      </c>
      <c r="D65" t="s">
        <v>521</v>
      </c>
    </row>
    <row r="66" spans="1:4" x14ac:dyDescent="0.3">
      <c r="A66" s="3">
        <v>45876</v>
      </c>
      <c r="B66" t="s">
        <v>9</v>
      </c>
      <c r="C66">
        <v>5</v>
      </c>
      <c r="D66" t="s">
        <v>516</v>
      </c>
    </row>
    <row r="67" spans="1:4" x14ac:dyDescent="0.3">
      <c r="A67" s="3">
        <v>45886</v>
      </c>
      <c r="B67" t="s">
        <v>15</v>
      </c>
      <c r="C67">
        <v>5</v>
      </c>
      <c r="D67" t="s">
        <v>520</v>
      </c>
    </row>
    <row r="68" spans="1:4" x14ac:dyDescent="0.3">
      <c r="A68" s="3">
        <v>45855</v>
      </c>
      <c r="B68" t="s">
        <v>27</v>
      </c>
      <c r="C68">
        <v>2</v>
      </c>
      <c r="D68" t="s">
        <v>521</v>
      </c>
    </row>
    <row r="69" spans="1:4" x14ac:dyDescent="0.3">
      <c r="A69" s="3">
        <v>45867</v>
      </c>
      <c r="B69" t="s">
        <v>27</v>
      </c>
      <c r="C69">
        <v>4</v>
      </c>
      <c r="D69" t="s">
        <v>521</v>
      </c>
    </row>
    <row r="70" spans="1:4" x14ac:dyDescent="0.3">
      <c r="A70" s="3">
        <v>45891</v>
      </c>
      <c r="B70" t="s">
        <v>15</v>
      </c>
      <c r="C70">
        <v>3</v>
      </c>
      <c r="D70" t="s">
        <v>520</v>
      </c>
    </row>
    <row r="71" spans="1:4" x14ac:dyDescent="0.3">
      <c r="A71" s="3">
        <v>45893</v>
      </c>
      <c r="B71" t="s">
        <v>9</v>
      </c>
      <c r="C71">
        <v>5</v>
      </c>
      <c r="D71" t="s">
        <v>517</v>
      </c>
    </row>
    <row r="72" spans="1:4" x14ac:dyDescent="0.3">
      <c r="A72" s="3">
        <v>45894</v>
      </c>
      <c r="B72" t="s">
        <v>27</v>
      </c>
      <c r="C72">
        <v>4</v>
      </c>
      <c r="D72" t="s">
        <v>518</v>
      </c>
    </row>
    <row r="73" spans="1:4" x14ac:dyDescent="0.3">
      <c r="A73" s="3">
        <v>45891</v>
      </c>
      <c r="B73" t="s">
        <v>27</v>
      </c>
      <c r="C73">
        <v>5</v>
      </c>
      <c r="D73" t="s">
        <v>521</v>
      </c>
    </row>
    <row r="74" spans="1:4" x14ac:dyDescent="0.3">
      <c r="A74" s="3">
        <v>45880</v>
      </c>
      <c r="B74" t="s">
        <v>27</v>
      </c>
      <c r="C74">
        <v>3</v>
      </c>
      <c r="D74" t="s">
        <v>519</v>
      </c>
    </row>
    <row r="75" spans="1:4" x14ac:dyDescent="0.3">
      <c r="A75" s="3">
        <v>45842</v>
      </c>
      <c r="B75" t="s">
        <v>15</v>
      </c>
      <c r="C75">
        <v>4</v>
      </c>
      <c r="D75" t="s">
        <v>518</v>
      </c>
    </row>
    <row r="76" spans="1:4" x14ac:dyDescent="0.3">
      <c r="A76" s="3">
        <v>45847</v>
      </c>
      <c r="B76" t="s">
        <v>15</v>
      </c>
      <c r="C76">
        <v>2</v>
      </c>
      <c r="D76" t="s">
        <v>521</v>
      </c>
    </row>
    <row r="77" spans="1:4" x14ac:dyDescent="0.3">
      <c r="A77" s="3">
        <v>45859</v>
      </c>
      <c r="B77" t="s">
        <v>9</v>
      </c>
      <c r="C77">
        <v>4</v>
      </c>
      <c r="D77" t="s">
        <v>516</v>
      </c>
    </row>
    <row r="78" spans="1:4" x14ac:dyDescent="0.3">
      <c r="A78" s="3">
        <v>45855</v>
      </c>
      <c r="B78" t="s">
        <v>9</v>
      </c>
      <c r="C78">
        <v>3</v>
      </c>
      <c r="D78" t="s">
        <v>521</v>
      </c>
    </row>
    <row r="79" spans="1:4" x14ac:dyDescent="0.3">
      <c r="A79" s="3">
        <v>45859</v>
      </c>
      <c r="B79" t="s">
        <v>27</v>
      </c>
      <c r="C79">
        <v>4</v>
      </c>
      <c r="D79" t="s">
        <v>519</v>
      </c>
    </row>
    <row r="80" spans="1:4" x14ac:dyDescent="0.3">
      <c r="A80" s="3">
        <v>45896</v>
      </c>
      <c r="B80" t="s">
        <v>9</v>
      </c>
      <c r="C80">
        <v>3</v>
      </c>
      <c r="D80" t="s">
        <v>518</v>
      </c>
    </row>
    <row r="81" spans="1:4" x14ac:dyDescent="0.3">
      <c r="A81" s="3">
        <v>45867</v>
      </c>
      <c r="B81" t="s">
        <v>15</v>
      </c>
      <c r="C81">
        <v>4</v>
      </c>
      <c r="D81" t="s">
        <v>517</v>
      </c>
    </row>
    <row r="82" spans="1:4" x14ac:dyDescent="0.3">
      <c r="A82" s="3">
        <v>45852</v>
      </c>
      <c r="B82" t="s">
        <v>15</v>
      </c>
      <c r="C82">
        <v>2</v>
      </c>
      <c r="D82" t="s">
        <v>519</v>
      </c>
    </row>
    <row r="83" spans="1:4" x14ac:dyDescent="0.3">
      <c r="A83" s="3">
        <v>45851</v>
      </c>
      <c r="B83" t="s">
        <v>9</v>
      </c>
      <c r="C83">
        <v>3</v>
      </c>
      <c r="D83" t="s">
        <v>521</v>
      </c>
    </row>
    <row r="84" spans="1:4" x14ac:dyDescent="0.3">
      <c r="A84" s="3">
        <v>45853</v>
      </c>
      <c r="B84" t="s">
        <v>9</v>
      </c>
      <c r="C84">
        <v>4</v>
      </c>
      <c r="D84" t="s">
        <v>521</v>
      </c>
    </row>
    <row r="85" spans="1:4" x14ac:dyDescent="0.3">
      <c r="A85" s="3">
        <v>45877</v>
      </c>
      <c r="B85" t="s">
        <v>15</v>
      </c>
      <c r="C85">
        <v>3</v>
      </c>
      <c r="D85" t="s">
        <v>519</v>
      </c>
    </row>
    <row r="86" spans="1:4" x14ac:dyDescent="0.3">
      <c r="A86" s="3">
        <v>45879</v>
      </c>
      <c r="B86" t="s">
        <v>15</v>
      </c>
      <c r="C86">
        <v>5</v>
      </c>
      <c r="D86" t="s">
        <v>517</v>
      </c>
    </row>
    <row r="87" spans="1:4" x14ac:dyDescent="0.3">
      <c r="A87" s="3">
        <v>45848</v>
      </c>
      <c r="B87" t="s">
        <v>15</v>
      </c>
      <c r="C87">
        <v>4</v>
      </c>
      <c r="D87" t="s">
        <v>518</v>
      </c>
    </row>
    <row r="88" spans="1:4" x14ac:dyDescent="0.3">
      <c r="A88" s="3">
        <v>45883</v>
      </c>
      <c r="B88" t="s">
        <v>15</v>
      </c>
      <c r="C88">
        <v>4</v>
      </c>
    </row>
    <row r="89" spans="1:4" x14ac:dyDescent="0.3">
      <c r="A89" s="3">
        <v>45848</v>
      </c>
      <c r="B89" t="s">
        <v>9</v>
      </c>
      <c r="C89">
        <v>5</v>
      </c>
      <c r="D89" t="s">
        <v>518</v>
      </c>
    </row>
    <row r="90" spans="1:4" x14ac:dyDescent="0.3">
      <c r="A90" s="3">
        <v>45845</v>
      </c>
      <c r="B90" t="s">
        <v>9</v>
      </c>
      <c r="C90">
        <v>5</v>
      </c>
      <c r="D90" t="s">
        <v>521</v>
      </c>
    </row>
    <row r="91" spans="1:4" x14ac:dyDescent="0.3">
      <c r="A91" s="3">
        <v>45880</v>
      </c>
      <c r="B91" t="s">
        <v>27</v>
      </c>
      <c r="C91">
        <v>5</v>
      </c>
      <c r="D91" t="s">
        <v>519</v>
      </c>
    </row>
    <row r="92" spans="1:4" x14ac:dyDescent="0.3">
      <c r="A92" s="3">
        <v>45870</v>
      </c>
      <c r="B92" t="s">
        <v>15</v>
      </c>
      <c r="C92">
        <v>4</v>
      </c>
      <c r="D92" t="s">
        <v>515</v>
      </c>
    </row>
    <row r="93" spans="1:4" x14ac:dyDescent="0.3">
      <c r="A93" s="3">
        <v>45893</v>
      </c>
      <c r="B93" t="s">
        <v>15</v>
      </c>
      <c r="C93">
        <v>4</v>
      </c>
    </row>
    <row r="94" spans="1:4" x14ac:dyDescent="0.3">
      <c r="A94" s="3">
        <v>45843</v>
      </c>
      <c r="B94" t="s">
        <v>27</v>
      </c>
      <c r="C94">
        <v>5</v>
      </c>
    </row>
    <row r="95" spans="1:4" x14ac:dyDescent="0.3">
      <c r="A95" s="3">
        <v>45851</v>
      </c>
      <c r="B95" t="s">
        <v>27</v>
      </c>
      <c r="C95">
        <v>5</v>
      </c>
      <c r="D95" t="s">
        <v>520</v>
      </c>
    </row>
    <row r="96" spans="1:4" x14ac:dyDescent="0.3">
      <c r="A96" s="3">
        <v>45839</v>
      </c>
      <c r="B96" t="s">
        <v>15</v>
      </c>
      <c r="C96">
        <v>3</v>
      </c>
      <c r="D96" t="s">
        <v>515</v>
      </c>
    </row>
    <row r="97" spans="1:4" x14ac:dyDescent="0.3">
      <c r="A97" s="3">
        <v>45868</v>
      </c>
      <c r="B97" t="s">
        <v>27</v>
      </c>
      <c r="C97">
        <v>4</v>
      </c>
      <c r="D97" t="s">
        <v>517</v>
      </c>
    </row>
    <row r="98" spans="1:4" x14ac:dyDescent="0.3">
      <c r="A98" s="3">
        <v>45873</v>
      </c>
      <c r="B98" t="s">
        <v>15</v>
      </c>
      <c r="C98">
        <v>2</v>
      </c>
      <c r="D98" t="s">
        <v>518</v>
      </c>
    </row>
    <row r="99" spans="1:4" x14ac:dyDescent="0.3">
      <c r="A99" s="3">
        <v>45855</v>
      </c>
      <c r="B99" t="s">
        <v>27</v>
      </c>
      <c r="C99">
        <v>5</v>
      </c>
      <c r="D99" t="s">
        <v>519</v>
      </c>
    </row>
    <row r="100" spans="1:4" x14ac:dyDescent="0.3">
      <c r="A100" s="3">
        <v>45861</v>
      </c>
      <c r="B100" t="s">
        <v>15</v>
      </c>
      <c r="C100">
        <v>2</v>
      </c>
      <c r="D100" t="s">
        <v>517</v>
      </c>
    </row>
    <row r="101" spans="1:4" x14ac:dyDescent="0.3">
      <c r="A101" s="3">
        <v>45839</v>
      </c>
      <c r="B101" t="s">
        <v>27</v>
      </c>
      <c r="C101">
        <v>5</v>
      </c>
      <c r="D101" t="s">
        <v>517</v>
      </c>
    </row>
    <row r="102" spans="1:4" x14ac:dyDescent="0.3">
      <c r="A102" s="3">
        <v>45851</v>
      </c>
      <c r="B102" t="s">
        <v>9</v>
      </c>
      <c r="C102">
        <v>3</v>
      </c>
      <c r="D102" t="s">
        <v>520</v>
      </c>
    </row>
    <row r="103" spans="1:4" x14ac:dyDescent="0.3">
      <c r="A103" s="3">
        <v>45839</v>
      </c>
      <c r="B103" t="s">
        <v>27</v>
      </c>
      <c r="C103">
        <v>4</v>
      </c>
      <c r="D103" t="s">
        <v>517</v>
      </c>
    </row>
    <row r="104" spans="1:4" x14ac:dyDescent="0.3">
      <c r="A104" s="3">
        <v>45880</v>
      </c>
      <c r="B104" t="s">
        <v>9</v>
      </c>
      <c r="C104">
        <v>3</v>
      </c>
      <c r="D104" t="s">
        <v>520</v>
      </c>
    </row>
    <row r="105" spans="1:4" x14ac:dyDescent="0.3">
      <c r="A105" s="3">
        <v>45845</v>
      </c>
      <c r="B105" t="s">
        <v>27</v>
      </c>
      <c r="C105">
        <v>5</v>
      </c>
      <c r="D105" t="s">
        <v>517</v>
      </c>
    </row>
    <row r="106" spans="1:4" x14ac:dyDescent="0.3">
      <c r="A106" s="3">
        <v>45848</v>
      </c>
      <c r="B106" t="s">
        <v>27</v>
      </c>
      <c r="C106">
        <v>4</v>
      </c>
      <c r="D106" t="s">
        <v>518</v>
      </c>
    </row>
    <row r="107" spans="1:4" x14ac:dyDescent="0.3">
      <c r="A107" s="3">
        <v>45868</v>
      </c>
      <c r="B107" t="s">
        <v>27</v>
      </c>
      <c r="C107">
        <v>5</v>
      </c>
      <c r="D107" t="s">
        <v>515</v>
      </c>
    </row>
    <row r="108" spans="1:4" x14ac:dyDescent="0.3">
      <c r="A108" s="3">
        <v>45852</v>
      </c>
      <c r="B108" t="s">
        <v>27</v>
      </c>
      <c r="C108">
        <v>2</v>
      </c>
      <c r="D108" t="s">
        <v>515</v>
      </c>
    </row>
    <row r="109" spans="1:4" x14ac:dyDescent="0.3">
      <c r="A109" s="3">
        <v>45881</v>
      </c>
      <c r="B109" t="s">
        <v>15</v>
      </c>
      <c r="C109">
        <v>3</v>
      </c>
      <c r="D109" t="s">
        <v>515</v>
      </c>
    </row>
    <row r="110" spans="1:4" x14ac:dyDescent="0.3">
      <c r="A110" s="3">
        <v>45878</v>
      </c>
      <c r="B110" t="s">
        <v>9</v>
      </c>
      <c r="C110">
        <v>5</v>
      </c>
      <c r="D110" t="s">
        <v>521</v>
      </c>
    </row>
    <row r="111" spans="1:4" x14ac:dyDescent="0.3">
      <c r="A111" s="3">
        <v>45847</v>
      </c>
      <c r="B111" t="s">
        <v>27</v>
      </c>
      <c r="C111">
        <v>3</v>
      </c>
      <c r="D111" t="s">
        <v>517</v>
      </c>
    </row>
    <row r="112" spans="1:4" x14ac:dyDescent="0.3">
      <c r="A112" s="3">
        <v>45896</v>
      </c>
      <c r="B112" t="s">
        <v>9</v>
      </c>
      <c r="C112">
        <v>5</v>
      </c>
      <c r="D112" t="s">
        <v>518</v>
      </c>
    </row>
    <row r="113" spans="1:4" x14ac:dyDescent="0.3">
      <c r="A113" s="3">
        <v>45880</v>
      </c>
      <c r="B113" t="s">
        <v>15</v>
      </c>
      <c r="C113">
        <v>3</v>
      </c>
      <c r="D113" t="s">
        <v>521</v>
      </c>
    </row>
    <row r="114" spans="1:4" x14ac:dyDescent="0.3">
      <c r="A114" s="3">
        <v>45865</v>
      </c>
      <c r="B114" t="s">
        <v>9</v>
      </c>
      <c r="C114">
        <v>2</v>
      </c>
      <c r="D114" t="s">
        <v>521</v>
      </c>
    </row>
    <row r="115" spans="1:4" x14ac:dyDescent="0.3">
      <c r="A115" s="3">
        <v>45892</v>
      </c>
      <c r="B115" t="s">
        <v>9</v>
      </c>
      <c r="C115">
        <v>4</v>
      </c>
    </row>
    <row r="116" spans="1:4" x14ac:dyDescent="0.3">
      <c r="A116" s="3">
        <v>45868</v>
      </c>
      <c r="B116" t="s">
        <v>27</v>
      </c>
      <c r="C116">
        <v>3</v>
      </c>
      <c r="D116" t="s">
        <v>516</v>
      </c>
    </row>
    <row r="117" spans="1:4" x14ac:dyDescent="0.3">
      <c r="A117" s="3">
        <v>45867</v>
      </c>
      <c r="B117" t="s">
        <v>9</v>
      </c>
      <c r="C117">
        <v>2</v>
      </c>
      <c r="D117" t="s">
        <v>521</v>
      </c>
    </row>
    <row r="118" spans="1:4" x14ac:dyDescent="0.3">
      <c r="A118" s="3">
        <v>45887</v>
      </c>
      <c r="B118" t="s">
        <v>15</v>
      </c>
      <c r="C118">
        <v>2</v>
      </c>
      <c r="D118" t="s">
        <v>521</v>
      </c>
    </row>
    <row r="119" spans="1:4" x14ac:dyDescent="0.3">
      <c r="A119" s="3">
        <v>45887</v>
      </c>
      <c r="B119" t="s">
        <v>9</v>
      </c>
      <c r="C119">
        <v>2</v>
      </c>
    </row>
    <row r="120" spans="1:4" x14ac:dyDescent="0.3">
      <c r="A120" s="3">
        <v>45874</v>
      </c>
      <c r="B120" t="s">
        <v>15</v>
      </c>
      <c r="C120">
        <v>3</v>
      </c>
      <c r="D120" t="s">
        <v>516</v>
      </c>
    </row>
    <row r="121" spans="1:4" x14ac:dyDescent="0.3">
      <c r="A121" s="3">
        <v>45894</v>
      </c>
      <c r="B121" t="s">
        <v>15</v>
      </c>
      <c r="C121">
        <v>4</v>
      </c>
      <c r="D121" t="s">
        <v>515</v>
      </c>
    </row>
    <row r="122" spans="1:4" x14ac:dyDescent="0.3">
      <c r="A122" s="3">
        <v>45884</v>
      </c>
      <c r="B122" t="s">
        <v>27</v>
      </c>
      <c r="C122">
        <v>2</v>
      </c>
      <c r="D122" t="s">
        <v>517</v>
      </c>
    </row>
    <row r="123" spans="1:4" x14ac:dyDescent="0.3">
      <c r="A123" s="3">
        <v>45840</v>
      </c>
      <c r="B123" t="s">
        <v>15</v>
      </c>
      <c r="C123">
        <v>3</v>
      </c>
    </row>
    <row r="124" spans="1:4" x14ac:dyDescent="0.3">
      <c r="A124" s="3">
        <v>45844</v>
      </c>
      <c r="B124" t="s">
        <v>15</v>
      </c>
      <c r="C124">
        <v>4</v>
      </c>
      <c r="D124" t="s">
        <v>516</v>
      </c>
    </row>
    <row r="125" spans="1:4" x14ac:dyDescent="0.3">
      <c r="A125" s="3">
        <v>45880</v>
      </c>
      <c r="B125" t="s">
        <v>9</v>
      </c>
      <c r="C125">
        <v>5</v>
      </c>
      <c r="D125" t="s">
        <v>517</v>
      </c>
    </row>
    <row r="126" spans="1:4" x14ac:dyDescent="0.3">
      <c r="A126" s="3">
        <v>45891</v>
      </c>
      <c r="B126" t="s">
        <v>9</v>
      </c>
      <c r="C126">
        <v>3</v>
      </c>
      <c r="D126" t="s">
        <v>519</v>
      </c>
    </row>
    <row r="127" spans="1:4" x14ac:dyDescent="0.3">
      <c r="A127" s="3">
        <v>45847</v>
      </c>
      <c r="B127" t="s">
        <v>15</v>
      </c>
      <c r="C127">
        <v>2</v>
      </c>
      <c r="D127" t="s">
        <v>521</v>
      </c>
    </row>
    <row r="128" spans="1:4" x14ac:dyDescent="0.3">
      <c r="A128" s="3">
        <v>45854</v>
      </c>
      <c r="B128" t="s">
        <v>9</v>
      </c>
      <c r="C128">
        <v>4</v>
      </c>
      <c r="D128" t="s">
        <v>516</v>
      </c>
    </row>
    <row r="129" spans="1:4" x14ac:dyDescent="0.3">
      <c r="A129" s="3">
        <v>45895</v>
      </c>
      <c r="B129" t="s">
        <v>9</v>
      </c>
      <c r="C129">
        <v>2</v>
      </c>
      <c r="D129" t="s">
        <v>519</v>
      </c>
    </row>
    <row r="130" spans="1:4" x14ac:dyDescent="0.3">
      <c r="A130" s="3">
        <v>45881</v>
      </c>
      <c r="B130" t="s">
        <v>9</v>
      </c>
      <c r="C130">
        <v>3</v>
      </c>
    </row>
    <row r="131" spans="1:4" x14ac:dyDescent="0.3">
      <c r="A131" s="3">
        <v>45862</v>
      </c>
      <c r="B131" t="s">
        <v>27</v>
      </c>
      <c r="C131">
        <v>5</v>
      </c>
      <c r="D131" t="s">
        <v>517</v>
      </c>
    </row>
    <row r="132" spans="1:4" x14ac:dyDescent="0.3">
      <c r="A132" s="3">
        <v>45883</v>
      </c>
      <c r="B132" t="s">
        <v>9</v>
      </c>
      <c r="C132">
        <v>2</v>
      </c>
      <c r="D132" t="s">
        <v>519</v>
      </c>
    </row>
    <row r="133" spans="1:4" x14ac:dyDescent="0.3">
      <c r="A133" s="3">
        <v>45856</v>
      </c>
      <c r="B133" t="s">
        <v>27</v>
      </c>
      <c r="C133">
        <v>2</v>
      </c>
      <c r="D133" t="s">
        <v>515</v>
      </c>
    </row>
    <row r="134" spans="1:4" x14ac:dyDescent="0.3">
      <c r="A134" s="3">
        <v>45840</v>
      </c>
      <c r="B134" t="s">
        <v>27</v>
      </c>
      <c r="C134">
        <v>5</v>
      </c>
      <c r="D134" t="s">
        <v>518</v>
      </c>
    </row>
    <row r="135" spans="1:4" x14ac:dyDescent="0.3">
      <c r="A135" s="3">
        <v>45889</v>
      </c>
      <c r="B135" t="s">
        <v>9</v>
      </c>
      <c r="C135">
        <v>4</v>
      </c>
      <c r="D135" t="s">
        <v>515</v>
      </c>
    </row>
    <row r="136" spans="1:4" x14ac:dyDescent="0.3">
      <c r="A136" s="3">
        <v>45875</v>
      </c>
      <c r="B136" t="s">
        <v>27</v>
      </c>
      <c r="C136">
        <v>4</v>
      </c>
      <c r="D136" t="s">
        <v>517</v>
      </c>
    </row>
    <row r="137" spans="1:4" x14ac:dyDescent="0.3">
      <c r="A137" s="3">
        <v>45841</v>
      </c>
      <c r="B137" t="s">
        <v>15</v>
      </c>
      <c r="C137">
        <v>5</v>
      </c>
      <c r="D137" t="s">
        <v>519</v>
      </c>
    </row>
    <row r="138" spans="1:4" x14ac:dyDescent="0.3">
      <c r="A138" s="3">
        <v>45889</v>
      </c>
      <c r="B138" t="s">
        <v>27</v>
      </c>
      <c r="C138">
        <v>4</v>
      </c>
      <c r="D138" t="s">
        <v>517</v>
      </c>
    </row>
    <row r="139" spans="1:4" x14ac:dyDescent="0.3">
      <c r="A139" s="3">
        <v>45887</v>
      </c>
      <c r="B139" t="s">
        <v>15</v>
      </c>
      <c r="C139">
        <v>4</v>
      </c>
    </row>
    <row r="140" spans="1:4" x14ac:dyDescent="0.3">
      <c r="A140" s="3">
        <v>45887</v>
      </c>
      <c r="B140" t="s">
        <v>9</v>
      </c>
      <c r="C140">
        <v>3</v>
      </c>
      <c r="D140" t="s">
        <v>518</v>
      </c>
    </row>
    <row r="141" spans="1:4" x14ac:dyDescent="0.3">
      <c r="A141" s="3">
        <v>45854</v>
      </c>
      <c r="B141" t="s">
        <v>15</v>
      </c>
      <c r="C141">
        <v>2</v>
      </c>
      <c r="D141" t="s">
        <v>517</v>
      </c>
    </row>
    <row r="142" spans="1:4" x14ac:dyDescent="0.3">
      <c r="A142" s="3">
        <v>45861</v>
      </c>
      <c r="B142" t="s">
        <v>9</v>
      </c>
      <c r="C142">
        <v>2</v>
      </c>
    </row>
    <row r="143" spans="1:4" x14ac:dyDescent="0.3">
      <c r="A143" s="3">
        <v>45840</v>
      </c>
      <c r="B143" t="s">
        <v>27</v>
      </c>
      <c r="C143">
        <v>2</v>
      </c>
      <c r="D143" t="s">
        <v>520</v>
      </c>
    </row>
    <row r="144" spans="1:4" x14ac:dyDescent="0.3">
      <c r="A144" s="3">
        <v>45874</v>
      </c>
      <c r="B144" t="s">
        <v>15</v>
      </c>
      <c r="C144">
        <v>3</v>
      </c>
      <c r="D144" t="s">
        <v>515</v>
      </c>
    </row>
    <row r="145" spans="1:4" x14ac:dyDescent="0.3">
      <c r="A145" s="3">
        <v>45842</v>
      </c>
      <c r="B145" t="s">
        <v>9</v>
      </c>
      <c r="C145">
        <v>5</v>
      </c>
      <c r="D145" t="s">
        <v>521</v>
      </c>
    </row>
    <row r="146" spans="1:4" x14ac:dyDescent="0.3">
      <c r="A146" s="3">
        <v>45870</v>
      </c>
      <c r="B146" t="s">
        <v>27</v>
      </c>
      <c r="C146">
        <v>5</v>
      </c>
      <c r="D146" t="s">
        <v>518</v>
      </c>
    </row>
    <row r="147" spans="1:4" x14ac:dyDescent="0.3">
      <c r="A147" s="3">
        <v>45865</v>
      </c>
      <c r="B147" t="s">
        <v>27</v>
      </c>
      <c r="C147">
        <v>4</v>
      </c>
      <c r="D147" t="s">
        <v>517</v>
      </c>
    </row>
    <row r="148" spans="1:4" x14ac:dyDescent="0.3">
      <c r="A148" s="3">
        <v>45887</v>
      </c>
      <c r="B148" t="s">
        <v>9</v>
      </c>
      <c r="C148">
        <v>2</v>
      </c>
      <c r="D148" t="s">
        <v>515</v>
      </c>
    </row>
    <row r="149" spans="1:4" x14ac:dyDescent="0.3">
      <c r="A149" s="3">
        <v>45860</v>
      </c>
      <c r="B149" t="s">
        <v>9</v>
      </c>
      <c r="C149">
        <v>2</v>
      </c>
      <c r="D149" t="s">
        <v>516</v>
      </c>
    </row>
    <row r="150" spans="1:4" x14ac:dyDescent="0.3">
      <c r="A150" s="3">
        <v>45845</v>
      </c>
      <c r="B150" t="s">
        <v>15</v>
      </c>
      <c r="C150">
        <v>4</v>
      </c>
      <c r="D150" t="s">
        <v>519</v>
      </c>
    </row>
    <row r="151" spans="1:4" x14ac:dyDescent="0.3">
      <c r="A151" s="3">
        <v>45870</v>
      </c>
      <c r="B151" t="s">
        <v>27</v>
      </c>
      <c r="C151">
        <v>5</v>
      </c>
    </row>
    <row r="152" spans="1:4" x14ac:dyDescent="0.3">
      <c r="A152" s="3">
        <v>45874</v>
      </c>
      <c r="B152" t="s">
        <v>27</v>
      </c>
      <c r="C152">
        <v>4</v>
      </c>
      <c r="D152" t="s">
        <v>519</v>
      </c>
    </row>
    <row r="153" spans="1:4" x14ac:dyDescent="0.3">
      <c r="A153" s="3">
        <v>45862</v>
      </c>
      <c r="B153" t="s">
        <v>15</v>
      </c>
      <c r="C153">
        <v>4</v>
      </c>
      <c r="D153" t="s">
        <v>520</v>
      </c>
    </row>
    <row r="154" spans="1:4" x14ac:dyDescent="0.3">
      <c r="A154" s="3">
        <v>45857</v>
      </c>
      <c r="B154" t="s">
        <v>9</v>
      </c>
      <c r="C154">
        <v>3</v>
      </c>
      <c r="D154" t="s">
        <v>515</v>
      </c>
    </row>
    <row r="155" spans="1:4" x14ac:dyDescent="0.3">
      <c r="A155" s="3">
        <v>45839</v>
      </c>
      <c r="B155" t="s">
        <v>15</v>
      </c>
      <c r="C155">
        <v>2</v>
      </c>
      <c r="D155" t="s">
        <v>521</v>
      </c>
    </row>
    <row r="156" spans="1:4" x14ac:dyDescent="0.3">
      <c r="A156" s="3">
        <v>45891</v>
      </c>
      <c r="B156" t="s">
        <v>15</v>
      </c>
      <c r="C156">
        <v>2</v>
      </c>
      <c r="D156" t="s">
        <v>518</v>
      </c>
    </row>
    <row r="157" spans="1:4" x14ac:dyDescent="0.3">
      <c r="A157" s="3">
        <v>45839</v>
      </c>
      <c r="B157" t="s">
        <v>9</v>
      </c>
      <c r="C157">
        <v>5</v>
      </c>
      <c r="D157" t="s">
        <v>519</v>
      </c>
    </row>
    <row r="158" spans="1:4" x14ac:dyDescent="0.3">
      <c r="A158" s="3">
        <v>45849</v>
      </c>
      <c r="B158" t="s">
        <v>27</v>
      </c>
      <c r="C158">
        <v>3</v>
      </c>
      <c r="D158" t="s">
        <v>516</v>
      </c>
    </row>
    <row r="159" spans="1:4" x14ac:dyDescent="0.3">
      <c r="A159" s="3">
        <v>45886</v>
      </c>
      <c r="B159" t="s">
        <v>27</v>
      </c>
      <c r="C159">
        <v>3</v>
      </c>
      <c r="D159" t="s">
        <v>519</v>
      </c>
    </row>
    <row r="160" spans="1:4" x14ac:dyDescent="0.3">
      <c r="A160" s="3">
        <v>45848</v>
      </c>
      <c r="B160" t="s">
        <v>27</v>
      </c>
      <c r="C160">
        <v>3</v>
      </c>
      <c r="D160" t="s">
        <v>516</v>
      </c>
    </row>
    <row r="161" spans="1:4" x14ac:dyDescent="0.3">
      <c r="A161" s="3">
        <v>45875</v>
      </c>
      <c r="B161" t="s">
        <v>15</v>
      </c>
      <c r="C161">
        <v>2</v>
      </c>
      <c r="D161" t="s">
        <v>517</v>
      </c>
    </row>
    <row r="162" spans="1:4" x14ac:dyDescent="0.3">
      <c r="A162" s="3">
        <v>45888</v>
      </c>
      <c r="B162" t="s">
        <v>27</v>
      </c>
      <c r="C162">
        <v>5</v>
      </c>
      <c r="D162" t="s">
        <v>517</v>
      </c>
    </row>
    <row r="163" spans="1:4" x14ac:dyDescent="0.3">
      <c r="A163" s="3">
        <v>45896</v>
      </c>
      <c r="B163" t="s">
        <v>9</v>
      </c>
      <c r="C163">
        <v>2</v>
      </c>
      <c r="D163" t="s">
        <v>516</v>
      </c>
    </row>
    <row r="164" spans="1:4" x14ac:dyDescent="0.3">
      <c r="A164" s="3">
        <v>45851</v>
      </c>
      <c r="B164" t="s">
        <v>27</v>
      </c>
      <c r="C164">
        <v>4</v>
      </c>
      <c r="D164" t="s">
        <v>519</v>
      </c>
    </row>
    <row r="165" spans="1:4" x14ac:dyDescent="0.3">
      <c r="A165" s="3">
        <v>45869</v>
      </c>
      <c r="B165" t="s">
        <v>15</v>
      </c>
      <c r="C165">
        <v>4</v>
      </c>
      <c r="D165" t="s">
        <v>518</v>
      </c>
    </row>
    <row r="166" spans="1:4" x14ac:dyDescent="0.3">
      <c r="A166" s="3">
        <v>45882</v>
      </c>
      <c r="B166" t="s">
        <v>15</v>
      </c>
      <c r="C166">
        <v>3</v>
      </c>
      <c r="D166" t="s">
        <v>517</v>
      </c>
    </row>
    <row r="167" spans="1:4" x14ac:dyDescent="0.3">
      <c r="A167" s="3">
        <v>45858</v>
      </c>
      <c r="B167" t="s">
        <v>27</v>
      </c>
      <c r="C167">
        <v>2</v>
      </c>
      <c r="D167" t="s">
        <v>515</v>
      </c>
    </row>
    <row r="168" spans="1:4" x14ac:dyDescent="0.3">
      <c r="A168" s="3">
        <v>45849</v>
      </c>
      <c r="B168" t="s">
        <v>27</v>
      </c>
      <c r="C168">
        <v>5</v>
      </c>
      <c r="D168" t="s">
        <v>520</v>
      </c>
    </row>
    <row r="169" spans="1:4" x14ac:dyDescent="0.3">
      <c r="A169" s="3">
        <v>45869</v>
      </c>
      <c r="B169" t="s">
        <v>15</v>
      </c>
      <c r="C169">
        <v>2</v>
      </c>
      <c r="D169" t="s">
        <v>518</v>
      </c>
    </row>
    <row r="170" spans="1:4" x14ac:dyDescent="0.3">
      <c r="A170" s="3">
        <v>45859</v>
      </c>
      <c r="B170" t="s">
        <v>15</v>
      </c>
      <c r="C170">
        <v>4</v>
      </c>
      <c r="D170" t="s">
        <v>520</v>
      </c>
    </row>
    <row r="171" spans="1:4" x14ac:dyDescent="0.3">
      <c r="A171" s="3">
        <v>45864</v>
      </c>
      <c r="B171" t="s">
        <v>27</v>
      </c>
      <c r="C171">
        <v>2</v>
      </c>
      <c r="D171" t="s">
        <v>515</v>
      </c>
    </row>
    <row r="172" spans="1:4" x14ac:dyDescent="0.3">
      <c r="A172" s="3">
        <v>45868</v>
      </c>
      <c r="B172" t="s">
        <v>9</v>
      </c>
      <c r="C172">
        <v>2</v>
      </c>
      <c r="D172" t="s">
        <v>521</v>
      </c>
    </row>
    <row r="173" spans="1:4" x14ac:dyDescent="0.3">
      <c r="A173" s="3">
        <v>45870</v>
      </c>
      <c r="B173" t="s">
        <v>27</v>
      </c>
      <c r="C173">
        <v>2</v>
      </c>
      <c r="D173" t="s">
        <v>521</v>
      </c>
    </row>
    <row r="174" spans="1:4" x14ac:dyDescent="0.3">
      <c r="A174" s="3">
        <v>45873</v>
      </c>
      <c r="B174" t="s">
        <v>15</v>
      </c>
      <c r="C174">
        <v>2</v>
      </c>
      <c r="D174" t="s">
        <v>519</v>
      </c>
    </row>
    <row r="175" spans="1:4" x14ac:dyDescent="0.3">
      <c r="A175" s="3">
        <v>45864</v>
      </c>
      <c r="B175" t="s">
        <v>27</v>
      </c>
      <c r="C175">
        <v>2</v>
      </c>
      <c r="D175" t="s">
        <v>516</v>
      </c>
    </row>
    <row r="176" spans="1:4" x14ac:dyDescent="0.3">
      <c r="A176" s="3">
        <v>45882</v>
      </c>
      <c r="B176" t="s">
        <v>9</v>
      </c>
      <c r="C176">
        <v>3</v>
      </c>
      <c r="D176" t="s">
        <v>517</v>
      </c>
    </row>
    <row r="177" spans="1:4" x14ac:dyDescent="0.3">
      <c r="A177" s="3">
        <v>45883</v>
      </c>
      <c r="B177" t="s">
        <v>27</v>
      </c>
      <c r="C177">
        <v>3</v>
      </c>
      <c r="D177" t="s">
        <v>517</v>
      </c>
    </row>
    <row r="178" spans="1:4" x14ac:dyDescent="0.3">
      <c r="A178" s="3">
        <v>45840</v>
      </c>
      <c r="B178" t="s">
        <v>27</v>
      </c>
      <c r="C178">
        <v>3</v>
      </c>
      <c r="D178" t="s">
        <v>515</v>
      </c>
    </row>
    <row r="179" spans="1:4" x14ac:dyDescent="0.3">
      <c r="A179" s="3">
        <v>45858</v>
      </c>
      <c r="B179" t="s">
        <v>15</v>
      </c>
      <c r="C179">
        <v>4</v>
      </c>
      <c r="D179" t="s">
        <v>517</v>
      </c>
    </row>
    <row r="180" spans="1:4" x14ac:dyDescent="0.3">
      <c r="A180" s="3">
        <v>45895</v>
      </c>
      <c r="B180" t="s">
        <v>9</v>
      </c>
      <c r="C180">
        <v>4</v>
      </c>
      <c r="D180" t="s">
        <v>517</v>
      </c>
    </row>
    <row r="181" spans="1:4" x14ac:dyDescent="0.3">
      <c r="A181" s="3">
        <v>45841</v>
      </c>
      <c r="B181" t="s">
        <v>27</v>
      </c>
      <c r="C181">
        <v>3</v>
      </c>
      <c r="D181" t="s">
        <v>520</v>
      </c>
    </row>
    <row r="182" spans="1:4" x14ac:dyDescent="0.3">
      <c r="A182" s="3">
        <v>45851</v>
      </c>
      <c r="B182" t="s">
        <v>27</v>
      </c>
      <c r="C182">
        <v>4</v>
      </c>
      <c r="D182" t="s">
        <v>517</v>
      </c>
    </row>
    <row r="183" spans="1:4" x14ac:dyDescent="0.3">
      <c r="A183" s="3">
        <v>45843</v>
      </c>
      <c r="B183" t="s">
        <v>15</v>
      </c>
      <c r="C183">
        <v>2</v>
      </c>
      <c r="D183" t="s">
        <v>515</v>
      </c>
    </row>
    <row r="184" spans="1:4" x14ac:dyDescent="0.3">
      <c r="A184" s="3">
        <v>45894</v>
      </c>
      <c r="B184" t="s">
        <v>15</v>
      </c>
      <c r="C184">
        <v>5</v>
      </c>
      <c r="D184" t="s">
        <v>520</v>
      </c>
    </row>
    <row r="185" spans="1:4" x14ac:dyDescent="0.3">
      <c r="A185" s="3">
        <v>45841</v>
      </c>
      <c r="B185" t="s">
        <v>15</v>
      </c>
      <c r="C185">
        <v>5</v>
      </c>
      <c r="D185" t="s">
        <v>515</v>
      </c>
    </row>
    <row r="186" spans="1:4" x14ac:dyDescent="0.3">
      <c r="A186" s="3">
        <v>45873</v>
      </c>
      <c r="B186" t="s">
        <v>27</v>
      </c>
      <c r="C186">
        <v>3</v>
      </c>
      <c r="D186" t="s">
        <v>519</v>
      </c>
    </row>
    <row r="187" spans="1:4" x14ac:dyDescent="0.3">
      <c r="A187" s="3">
        <v>45866</v>
      </c>
      <c r="B187" t="s">
        <v>15</v>
      </c>
      <c r="C187">
        <v>3</v>
      </c>
    </row>
    <row r="188" spans="1:4" x14ac:dyDescent="0.3">
      <c r="A188" s="3">
        <v>45862</v>
      </c>
      <c r="B188" t="s">
        <v>9</v>
      </c>
      <c r="C188">
        <v>4</v>
      </c>
      <c r="D188" t="s">
        <v>520</v>
      </c>
    </row>
    <row r="189" spans="1:4" x14ac:dyDescent="0.3">
      <c r="A189" s="3">
        <v>45879</v>
      </c>
      <c r="B189" t="s">
        <v>9</v>
      </c>
      <c r="C189">
        <v>5</v>
      </c>
    </row>
    <row r="190" spans="1:4" x14ac:dyDescent="0.3">
      <c r="A190" s="3">
        <v>45847</v>
      </c>
      <c r="B190" t="s">
        <v>15</v>
      </c>
      <c r="C190">
        <v>5</v>
      </c>
      <c r="D190" t="s">
        <v>515</v>
      </c>
    </row>
    <row r="191" spans="1:4" x14ac:dyDescent="0.3">
      <c r="A191" s="3">
        <v>45879</v>
      </c>
      <c r="B191" t="s">
        <v>27</v>
      </c>
      <c r="C191">
        <v>3</v>
      </c>
    </row>
    <row r="192" spans="1:4" x14ac:dyDescent="0.3">
      <c r="A192" s="3">
        <v>45876</v>
      </c>
      <c r="B192" t="s">
        <v>9</v>
      </c>
      <c r="C192">
        <v>4</v>
      </c>
      <c r="D192" t="s">
        <v>520</v>
      </c>
    </row>
    <row r="193" spans="1:4" x14ac:dyDescent="0.3">
      <c r="A193" s="3">
        <v>45891</v>
      </c>
      <c r="B193" t="s">
        <v>15</v>
      </c>
      <c r="C193">
        <v>4</v>
      </c>
      <c r="D193" t="s">
        <v>518</v>
      </c>
    </row>
    <row r="194" spans="1:4" x14ac:dyDescent="0.3">
      <c r="A194" s="3">
        <v>45876</v>
      </c>
      <c r="B194" t="s">
        <v>15</v>
      </c>
      <c r="C194">
        <v>3</v>
      </c>
    </row>
    <row r="195" spans="1:4" x14ac:dyDescent="0.3">
      <c r="A195" s="3">
        <v>45869</v>
      </c>
      <c r="B195" t="s">
        <v>9</v>
      </c>
      <c r="C195">
        <v>3</v>
      </c>
    </row>
    <row r="196" spans="1:4" x14ac:dyDescent="0.3">
      <c r="A196" s="3">
        <v>45866</v>
      </c>
      <c r="B196" t="s">
        <v>27</v>
      </c>
      <c r="C196">
        <v>5</v>
      </c>
      <c r="D196" t="s">
        <v>518</v>
      </c>
    </row>
    <row r="197" spans="1:4" x14ac:dyDescent="0.3">
      <c r="A197" s="3">
        <v>45895</v>
      </c>
      <c r="B197" t="s">
        <v>27</v>
      </c>
      <c r="C197">
        <v>3</v>
      </c>
      <c r="D197" t="s">
        <v>517</v>
      </c>
    </row>
    <row r="198" spans="1:4" x14ac:dyDescent="0.3">
      <c r="A198" s="3">
        <v>45863</v>
      </c>
      <c r="B198" t="s">
        <v>9</v>
      </c>
      <c r="C198">
        <v>3</v>
      </c>
      <c r="D198" t="s">
        <v>519</v>
      </c>
    </row>
    <row r="199" spans="1:4" x14ac:dyDescent="0.3">
      <c r="A199" s="3">
        <v>45890</v>
      </c>
      <c r="B199" t="s">
        <v>9</v>
      </c>
      <c r="C199">
        <v>2</v>
      </c>
      <c r="D199" t="s">
        <v>521</v>
      </c>
    </row>
    <row r="200" spans="1:4" x14ac:dyDescent="0.3">
      <c r="A200" s="3">
        <v>45894</v>
      </c>
      <c r="B200" t="s">
        <v>15</v>
      </c>
      <c r="C200">
        <v>4</v>
      </c>
      <c r="D200" t="s">
        <v>515</v>
      </c>
    </row>
    <row r="201" spans="1:4" x14ac:dyDescent="0.3">
      <c r="A201" s="3">
        <v>45856</v>
      </c>
      <c r="B201" t="s">
        <v>27</v>
      </c>
      <c r="C201">
        <v>4</v>
      </c>
      <c r="D201" t="s">
        <v>518</v>
      </c>
    </row>
    <row r="202" spans="1:4" x14ac:dyDescent="0.3">
      <c r="A202" s="3">
        <v>45896</v>
      </c>
      <c r="B202" t="s">
        <v>27</v>
      </c>
      <c r="C202">
        <v>4</v>
      </c>
      <c r="D202" t="s">
        <v>515</v>
      </c>
    </row>
    <row r="203" spans="1:4" x14ac:dyDescent="0.3">
      <c r="A203" s="3">
        <v>45893</v>
      </c>
      <c r="B203" t="s">
        <v>27</v>
      </c>
      <c r="C203">
        <v>5</v>
      </c>
      <c r="D203" t="s">
        <v>519</v>
      </c>
    </row>
    <row r="204" spans="1:4" x14ac:dyDescent="0.3">
      <c r="A204" s="3">
        <v>45856</v>
      </c>
      <c r="B204" t="s">
        <v>15</v>
      </c>
      <c r="C204">
        <v>2</v>
      </c>
      <c r="D204" t="s">
        <v>517</v>
      </c>
    </row>
    <row r="205" spans="1:4" x14ac:dyDescent="0.3">
      <c r="A205" s="3">
        <v>45844</v>
      </c>
      <c r="B205" t="s">
        <v>27</v>
      </c>
      <c r="C205">
        <v>3</v>
      </c>
    </row>
    <row r="206" spans="1:4" x14ac:dyDescent="0.3">
      <c r="A206" s="3">
        <v>45890</v>
      </c>
      <c r="B206" t="s">
        <v>15</v>
      </c>
      <c r="C206">
        <v>2</v>
      </c>
      <c r="D206" t="s">
        <v>518</v>
      </c>
    </row>
    <row r="207" spans="1:4" x14ac:dyDescent="0.3">
      <c r="A207" s="3">
        <v>45858</v>
      </c>
      <c r="B207" t="s">
        <v>27</v>
      </c>
      <c r="C207">
        <v>4</v>
      </c>
      <c r="D207" t="s">
        <v>515</v>
      </c>
    </row>
    <row r="208" spans="1:4" x14ac:dyDescent="0.3">
      <c r="A208" s="3">
        <v>45870</v>
      </c>
      <c r="B208" t="s">
        <v>27</v>
      </c>
      <c r="C208">
        <v>2</v>
      </c>
      <c r="D208" t="s">
        <v>515</v>
      </c>
    </row>
    <row r="209" spans="1:4" x14ac:dyDescent="0.3">
      <c r="A209" s="3">
        <v>45895</v>
      </c>
      <c r="B209" t="s">
        <v>9</v>
      </c>
      <c r="C209">
        <v>3</v>
      </c>
      <c r="D209" t="s">
        <v>517</v>
      </c>
    </row>
    <row r="210" spans="1:4" x14ac:dyDescent="0.3">
      <c r="A210" s="3">
        <v>45890</v>
      </c>
      <c r="B210" t="s">
        <v>15</v>
      </c>
      <c r="C210">
        <v>2</v>
      </c>
      <c r="D210" t="s">
        <v>518</v>
      </c>
    </row>
    <row r="211" spans="1:4" x14ac:dyDescent="0.3">
      <c r="A211" s="3">
        <v>45877</v>
      </c>
      <c r="B211" t="s">
        <v>9</v>
      </c>
      <c r="C211">
        <v>2</v>
      </c>
      <c r="D211" t="s">
        <v>518</v>
      </c>
    </row>
    <row r="212" spans="1:4" x14ac:dyDescent="0.3">
      <c r="A212" s="3">
        <v>45868</v>
      </c>
      <c r="B212" t="s">
        <v>15</v>
      </c>
      <c r="C212">
        <v>3</v>
      </c>
      <c r="D212" t="s">
        <v>515</v>
      </c>
    </row>
    <row r="213" spans="1:4" x14ac:dyDescent="0.3">
      <c r="A213" s="3">
        <v>45881</v>
      </c>
      <c r="B213" t="s">
        <v>9</v>
      </c>
      <c r="C213">
        <v>5</v>
      </c>
      <c r="D213" t="s">
        <v>518</v>
      </c>
    </row>
    <row r="214" spans="1:4" x14ac:dyDescent="0.3">
      <c r="A214" s="3">
        <v>45855</v>
      </c>
      <c r="B214" t="s">
        <v>9</v>
      </c>
      <c r="C214">
        <v>4</v>
      </c>
      <c r="D214" t="s">
        <v>521</v>
      </c>
    </row>
    <row r="215" spans="1:4" x14ac:dyDescent="0.3">
      <c r="A215" s="3">
        <v>45896</v>
      </c>
      <c r="B215" t="s">
        <v>27</v>
      </c>
      <c r="C215">
        <v>5</v>
      </c>
      <c r="D215" t="s">
        <v>519</v>
      </c>
    </row>
    <row r="216" spans="1:4" x14ac:dyDescent="0.3">
      <c r="A216" s="3">
        <v>45867</v>
      </c>
      <c r="B216" t="s">
        <v>27</v>
      </c>
      <c r="C216">
        <v>3</v>
      </c>
    </row>
    <row r="217" spans="1:4" x14ac:dyDescent="0.3">
      <c r="A217" s="3">
        <v>45894</v>
      </c>
      <c r="B217" t="s">
        <v>15</v>
      </c>
      <c r="C217">
        <v>2</v>
      </c>
      <c r="D217" t="s">
        <v>515</v>
      </c>
    </row>
    <row r="218" spans="1:4" x14ac:dyDescent="0.3">
      <c r="A218" s="3">
        <v>45897</v>
      </c>
      <c r="B218" t="s">
        <v>15</v>
      </c>
      <c r="C218">
        <v>3</v>
      </c>
      <c r="D218" t="s">
        <v>517</v>
      </c>
    </row>
    <row r="219" spans="1:4" x14ac:dyDescent="0.3">
      <c r="A219" s="3">
        <v>45887</v>
      </c>
      <c r="B219" t="s">
        <v>27</v>
      </c>
      <c r="C219">
        <v>4</v>
      </c>
      <c r="D219" t="s">
        <v>517</v>
      </c>
    </row>
    <row r="220" spans="1:4" x14ac:dyDescent="0.3">
      <c r="A220" s="3">
        <v>45862</v>
      </c>
      <c r="B220" t="s">
        <v>15</v>
      </c>
      <c r="C220">
        <v>4</v>
      </c>
      <c r="D220" t="s">
        <v>515</v>
      </c>
    </row>
    <row r="221" spans="1:4" x14ac:dyDescent="0.3">
      <c r="A221" s="3">
        <v>45847</v>
      </c>
      <c r="B221" t="s">
        <v>9</v>
      </c>
      <c r="C221">
        <v>4</v>
      </c>
      <c r="D221" t="s">
        <v>520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98F3-877F-48AA-8C8F-A23E21EB77FE}">
  <dimension ref="A1:B15"/>
  <sheetViews>
    <sheetView workbookViewId="0">
      <selection activeCell="G26" sqref="G26"/>
    </sheetView>
  </sheetViews>
  <sheetFormatPr defaultRowHeight="14.4" x14ac:dyDescent="0.3"/>
  <cols>
    <col min="1" max="1" width="54.21875" bestFit="1" customWidth="1"/>
    <col min="2" max="2" width="9.6640625" customWidth="1"/>
  </cols>
  <sheetData>
    <row r="1" spans="1:2" x14ac:dyDescent="0.3">
      <c r="A1" s="8" t="s">
        <v>526</v>
      </c>
      <c r="B1" s="4" t="s">
        <v>528</v>
      </c>
    </row>
    <row r="2" spans="1:2" x14ac:dyDescent="0.3">
      <c r="A2" s="4" t="s">
        <v>527</v>
      </c>
      <c r="B2" s="7">
        <f>SUMIFS(OrderLines!I:I, OrderLines!G:G, "&gt;="&amp;DATE(2025,7,1), OrderLines!G:G, "&lt;"&amp;DATE(2025,8,1))</f>
        <v>63939.190700000021</v>
      </c>
    </row>
    <row r="3" spans="1:2" x14ac:dyDescent="0.3">
      <c r="A3" s="4" t="s">
        <v>529</v>
      </c>
      <c r="B3" s="7">
        <f>SUMIFS(OrderLines!I:I, OrderLines!G:G, "&gt;="&amp;DATE(2025,8,1), OrderLines!G:G, "&lt;"&amp;DATE(2025,9,1))</f>
        <v>68708.43990000007</v>
      </c>
    </row>
    <row r="4" spans="1:2" x14ac:dyDescent="0.3">
      <c r="A4" s="4" t="s">
        <v>530</v>
      </c>
      <c r="B4" s="6">
        <f>(B3-B2)/B2</f>
        <v>7.4590390459853717E-2</v>
      </c>
    </row>
    <row r="6" spans="1:2" x14ac:dyDescent="0.3">
      <c r="A6" s="4" t="s">
        <v>531</v>
      </c>
      <c r="B6" s="4" t="s">
        <v>528</v>
      </c>
    </row>
    <row r="7" spans="1:2" x14ac:dyDescent="0.3">
      <c r="A7" s="4" t="s">
        <v>532</v>
      </c>
      <c r="B7" s="7">
        <f>SUMIFS(OrderLines!I:I, OrderLines!G:G,"&gt;="&amp;DATE(2025,8,1), OrderLines!G:G,"&lt;"&amp;DATE(2025,9,1), OrderLines!H:H,"Head Office Café", OrderLines!J:J,"Lunch")</f>
        <v>7403.6595000000016</v>
      </c>
    </row>
    <row r="9" spans="1:2" x14ac:dyDescent="0.3">
      <c r="A9" s="4" t="s">
        <v>534</v>
      </c>
      <c r="B9" s="4" t="s">
        <v>528</v>
      </c>
    </row>
    <row r="10" spans="1:2" x14ac:dyDescent="0.3">
      <c r="A10" s="4" t="s">
        <v>533</v>
      </c>
      <c r="B10">
        <f>COUNTIFS(Orders!H:H,TRUE,Orders!E:E,"UPI")</f>
        <v>70</v>
      </c>
    </row>
    <row r="12" spans="1:2" x14ac:dyDescent="0.3">
      <c r="A12" s="4" t="s">
        <v>535</v>
      </c>
      <c r="B12" s="4" t="s">
        <v>528</v>
      </c>
    </row>
    <row r="13" spans="1:2" x14ac:dyDescent="0.3">
      <c r="A13" s="4" t="s">
        <v>12</v>
      </c>
      <c r="B13" s="7">
        <f>AVERAGEIFS(Orders!I:I, Orders!F:F,"Breakfast", Orders!B:B,"&gt;="&amp;DATE(2025,7,1), Orders!B:B,"&lt;"&amp;DATE(2025,9,1))</f>
        <v>360.57145141242933</v>
      </c>
    </row>
    <row r="14" spans="1:2" x14ac:dyDescent="0.3">
      <c r="A14" s="9" t="s">
        <v>22</v>
      </c>
      <c r="B14" s="7">
        <f>AVERAGEIFS(Orders!I:I, Orders!F:F,"Lunch", Orders!B:B,"&gt;="&amp;DATE(2025,7,1), Orders!B:B,"&lt;"&amp;DATE(2025,9,1))</f>
        <v>372.02586849315071</v>
      </c>
    </row>
    <row r="15" spans="1:2" x14ac:dyDescent="0.3">
      <c r="A15" s="9" t="s">
        <v>18</v>
      </c>
      <c r="B15" s="7">
        <f>AVERAGEIFS(Orders!I:I, Orders!F:F,"Dinner", Orders!B:B,"&gt;="&amp;DATE(2025,7,1), Orders!B:B,"&lt;"&amp;DATE(2025,9,1))</f>
        <v>378.80541181818211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1E53-BAC6-45BE-B29D-0844D9E26B17}">
  <dimension ref="A1:K32"/>
  <sheetViews>
    <sheetView tabSelected="1" workbookViewId="0">
      <selection activeCell="F18" sqref="F18"/>
    </sheetView>
  </sheetViews>
  <sheetFormatPr defaultRowHeight="14.4" x14ac:dyDescent="0.3"/>
  <cols>
    <col min="1" max="1" width="48.77734375" bestFit="1" customWidth="1"/>
    <col min="2" max="2" width="17.33203125" bestFit="1" customWidth="1"/>
    <col min="3" max="3" width="25.109375" bestFit="1" customWidth="1"/>
    <col min="4" max="4" width="16.5546875" bestFit="1" customWidth="1"/>
    <col min="5" max="5" width="18" bestFit="1" customWidth="1"/>
    <col min="6" max="6" width="30.6640625" bestFit="1" customWidth="1"/>
    <col min="7" max="8" width="29.88671875" bestFit="1" customWidth="1"/>
    <col min="10" max="10" width="10.88671875" bestFit="1" customWidth="1"/>
    <col min="11" max="11" width="18.77734375" bestFit="1" customWidth="1"/>
  </cols>
  <sheetData>
    <row r="1" spans="1:11" x14ac:dyDescent="0.3">
      <c r="A1" s="4" t="s">
        <v>543</v>
      </c>
    </row>
    <row r="2" spans="1:11" x14ac:dyDescent="0.3">
      <c r="A2" s="4"/>
    </row>
    <row r="3" spans="1:11" x14ac:dyDescent="0.3">
      <c r="A3" s="4" t="s">
        <v>421</v>
      </c>
      <c r="B3" s="4" t="s">
        <v>9</v>
      </c>
      <c r="C3" s="8" t="s">
        <v>27</v>
      </c>
      <c r="D3" s="4" t="s">
        <v>15</v>
      </c>
      <c r="E3" s="4" t="s">
        <v>538</v>
      </c>
      <c r="F3" s="4" t="s">
        <v>539</v>
      </c>
      <c r="G3" s="4" t="s">
        <v>540</v>
      </c>
      <c r="H3" s="4" t="s">
        <v>541</v>
      </c>
    </row>
    <row r="4" spans="1:11" x14ac:dyDescent="0.3">
      <c r="A4" s="12" t="s">
        <v>425</v>
      </c>
      <c r="B4" s="7">
        <f>SUMIFS(OrderLines!$I:$I, OrderLines!$F:$F, $A4, OrderLines!$H:$H, B$3, OrderLines!$G:$G, "&gt;="&amp;DATE(2025,7,1), OrderLines!$G:$G, "&lt;"&amp;DATE(2025,9,1))</f>
        <v>30604.807700000001</v>
      </c>
      <c r="C4" s="7">
        <f>SUMIFS(OrderLines!$I:$I, OrderLines!$F:$F, $A4, OrderLines!$H:$H, C$3, OrderLines!$G:$G, "&gt;="&amp;DATE(2025,7,1), OrderLines!$G:$G, "&lt;"&amp;DATE(2025,9,1))</f>
        <v>17407.725699999995</v>
      </c>
      <c r="D4" s="7">
        <f>SUMIFS(OrderLines!$I:$I, OrderLines!$F:$F, $A4, OrderLines!$H:$H, D$3, OrderLines!$G:$G, "&gt;="&amp;DATE(2025,7,1), OrderLines!$G:$G, "&lt;"&amp;DATE(2025,9,1))</f>
        <v>31124.137500000012</v>
      </c>
      <c r="E4" s="7">
        <f>SUM(B4:D4)</f>
        <v>79136.670900000012</v>
      </c>
      <c r="F4" s="6">
        <f>IFERROR(B4/E4,0)</f>
        <v>0.38673357562227195</v>
      </c>
      <c r="G4" s="6">
        <f>IFERROR(C4/E4,0)</f>
        <v>0.21997040691788808</v>
      </c>
      <c r="H4" s="6">
        <f>IFERROR(D4/E4,0)</f>
        <v>0.39329601745983994</v>
      </c>
    </row>
    <row r="5" spans="1:11" x14ac:dyDescent="0.3">
      <c r="A5" s="13" t="s">
        <v>436</v>
      </c>
      <c r="B5" s="7">
        <f>SUMIFS(OrderLines!$I:$I, OrderLines!$F:$F, $A5, OrderLines!$H:$H, B$3, OrderLines!$G:$G, "&gt;="&amp;DATE(2025,7,1), OrderLines!$G:$G, "&lt;"&amp;DATE(2025,9,1))</f>
        <v>5343.4489999999978</v>
      </c>
      <c r="C5" s="7">
        <f>SUMIFS(OrderLines!$I:$I, OrderLines!$F:$F, $A5, OrderLines!$H:$H, C$3, OrderLines!$G:$G, "&gt;="&amp;DATE(2025,7,1), OrderLines!$G:$G, "&lt;"&amp;DATE(2025,9,1))</f>
        <v>6448.5656999999983</v>
      </c>
      <c r="D5" s="7">
        <f>SUMIFS(OrderLines!$I:$I, OrderLines!$F:$F, $A5, OrderLines!$H:$H, D$3, OrderLines!$G:$G, "&gt;="&amp;DATE(2025,7,1), OrderLines!$G:$G, "&lt;"&amp;DATE(2025,9,1))</f>
        <v>6840.9941000000035</v>
      </c>
      <c r="E5" s="7">
        <f t="shared" ref="E5:E7" si="0">SUM(B5:D5)</f>
        <v>18633.0088</v>
      </c>
      <c r="F5" s="6">
        <f t="shared" ref="F5:F7" si="1">IFERROR(B5/E5,0)</f>
        <v>0.28677327732491587</v>
      </c>
      <c r="G5" s="6">
        <f t="shared" ref="G5:G7" si="2">IFERROR(C5/E5,0)</f>
        <v>0.34608289886064986</v>
      </c>
      <c r="H5" s="6">
        <f t="shared" ref="H5:H7" si="3">IFERROR(D5/E5,0)</f>
        <v>0.36714382381443428</v>
      </c>
    </row>
    <row r="6" spans="1:11" x14ac:dyDescent="0.3">
      <c r="A6" s="13" t="s">
        <v>444</v>
      </c>
      <c r="B6" s="7">
        <f>SUMIFS(OrderLines!$I:$I, OrderLines!$F:$F, $A6, OrderLines!$H:$H, B$3, OrderLines!$G:$G, "&gt;="&amp;DATE(2025,7,1), OrderLines!$G:$G, "&lt;"&amp;DATE(2025,9,1))</f>
        <v>3489.8726999999994</v>
      </c>
      <c r="C6" s="7">
        <f>SUMIFS(OrderLines!$I:$I, OrderLines!$F:$F, $A6, OrderLines!$H:$H, C$3, OrderLines!$G:$G, "&gt;="&amp;DATE(2025,7,1), OrderLines!$G:$G, "&lt;"&amp;DATE(2025,9,1))</f>
        <v>2895.3357000000015</v>
      </c>
      <c r="D6" s="7">
        <f>SUMIFS(OrderLines!$I:$I, OrderLines!$F:$F, $A6, OrderLines!$H:$H, D$3, OrderLines!$G:$G, "&gt;="&amp;DATE(2025,7,1), OrderLines!$G:$G, "&lt;"&amp;DATE(2025,9,1))</f>
        <v>3936.5499000000009</v>
      </c>
      <c r="E6" s="7">
        <f t="shared" si="0"/>
        <v>10321.758300000001</v>
      </c>
      <c r="F6" s="6">
        <f t="shared" si="1"/>
        <v>0.33810835310879145</v>
      </c>
      <c r="G6" s="6">
        <f t="shared" si="2"/>
        <v>0.28050799251906539</v>
      </c>
      <c r="H6" s="6">
        <f t="shared" si="3"/>
        <v>0.38138365437214322</v>
      </c>
    </row>
    <row r="7" spans="1:11" x14ac:dyDescent="0.3">
      <c r="A7" s="4" t="s">
        <v>450</v>
      </c>
      <c r="B7" s="7">
        <f>SUMIFS(OrderLines!$I:$I, OrderLines!$F:$F, $A7, OrderLines!$H:$H, B$3, OrderLines!$G:$G, "&gt;="&amp;DATE(2025,7,1), OrderLines!$G:$G, "&lt;"&amp;DATE(2025,9,1))</f>
        <v>9544.017200000002</v>
      </c>
      <c r="C7" s="7">
        <f>SUMIFS(OrderLines!$I:$I, OrderLines!$F:$F, $A7, OrderLines!$H:$H, C$3, OrderLines!$G:$G, "&gt;="&amp;DATE(2025,7,1), OrderLines!$G:$G, "&lt;"&amp;DATE(2025,9,1))</f>
        <v>6497.6641999999974</v>
      </c>
      <c r="D7" s="7">
        <f>SUMIFS(OrderLines!$I:$I, OrderLines!$F:$F, $A7, OrderLines!$H:$H, D$3, OrderLines!$G:$G, "&gt;="&amp;DATE(2025,7,1), OrderLines!$G:$G, "&lt;"&amp;DATE(2025,9,1))</f>
        <v>8514.511199999999</v>
      </c>
      <c r="E7" s="7">
        <f t="shared" si="0"/>
        <v>24556.192599999998</v>
      </c>
      <c r="F7" s="6">
        <f t="shared" si="1"/>
        <v>0.3886603007015022</v>
      </c>
      <c r="G7" s="6">
        <f t="shared" si="2"/>
        <v>0.26460389466077072</v>
      </c>
      <c r="H7" s="6">
        <f t="shared" si="3"/>
        <v>0.34673580463772707</v>
      </c>
    </row>
    <row r="8" spans="1:11" x14ac:dyDescent="0.3">
      <c r="A8" s="13" t="s">
        <v>542</v>
      </c>
      <c r="B8" s="7">
        <f>SUM(B4:B7)</f>
        <v>48982.1466</v>
      </c>
      <c r="C8" s="7">
        <f t="shared" ref="C8:E8" si="4">SUM(C4:C7)</f>
        <v>33249.291299999997</v>
      </c>
      <c r="D8" s="7">
        <f t="shared" si="4"/>
        <v>50416.192700000014</v>
      </c>
      <c r="E8" s="7">
        <f t="shared" si="4"/>
        <v>132647.6306</v>
      </c>
    </row>
    <row r="11" spans="1:11" x14ac:dyDescent="0.3">
      <c r="A11" s="4" t="s">
        <v>544</v>
      </c>
    </row>
    <row r="12" spans="1:11" x14ac:dyDescent="0.3">
      <c r="A12" s="4"/>
    </row>
    <row r="13" spans="1:11" x14ac:dyDescent="0.3">
      <c r="A13" s="4" t="s">
        <v>545</v>
      </c>
      <c r="B13" s="4" t="s">
        <v>398</v>
      </c>
      <c r="C13" s="4" t="s">
        <v>420</v>
      </c>
      <c r="D13" s="4" t="s">
        <v>546</v>
      </c>
      <c r="E13" s="4" t="s">
        <v>547</v>
      </c>
      <c r="J13" s="14" t="s">
        <v>548</v>
      </c>
      <c r="K13" s="14" t="s">
        <v>549</v>
      </c>
    </row>
    <row r="14" spans="1:11" x14ac:dyDescent="0.3">
      <c r="A14">
        <v>1</v>
      </c>
      <c r="B14" t="str">
        <f>INDEX($J$14:$J$32,MATCH($E14,$K$14:$K$32,0))</f>
        <v>HXAJI0</v>
      </c>
      <c r="C14" t="str">
        <f>VLOOKUP(B14,Menu!$A:$B,2,FALSE())</f>
        <v>Veg Thali</v>
      </c>
      <c r="D14">
        <f>SUMIFS(OrderLines!$C:$C, OrderLines!$B:$B, B14, OrderLines!$G:$G, "&gt;="&amp;DATE(2025,8,1), OrderLines!$G:$G, "&lt;"&amp;DATE(2025,9,1))</f>
        <v>49</v>
      </c>
      <c r="E14" s="7">
        <f>LARGE($K$14:$K$32,$A14)</f>
        <v>10470.060000000001</v>
      </c>
      <c r="J14" s="15" t="str">
        <f>Menu!A2</f>
        <v>HXAJI0</v>
      </c>
      <c r="K14" s="16">
        <f>SUMIFS(OrderLines!$I:$I, OrderLines!$B:$B, J14, OrderLines!$G:$G, "&gt;="&amp;DATE(2025,8,1), OrderLines!$G:$G, "&lt;"&amp;DATE(2025,9,1))</f>
        <v>10470.060000000001</v>
      </c>
    </row>
    <row r="15" spans="1:11" x14ac:dyDescent="0.3">
      <c r="A15">
        <v>2</v>
      </c>
      <c r="B15" t="str">
        <f t="shared" ref="B15:B23" si="5">INDEX($J$14:$J$32,MATCH($E15,$K$14:$K$32,0))</f>
        <v>HDPBHS</v>
      </c>
      <c r="C15" t="str">
        <f>VLOOKUP(B15,Menu!$A:$B,2,FALSE())</f>
        <v>Chicken Thali</v>
      </c>
      <c r="D15">
        <f>SUMIFS(OrderLines!$C:$C, OrderLines!$B:$B, B15, OrderLines!$G:$G, "&gt;="&amp;DATE(2025,8,1), OrderLines!$G:$G, "&lt;"&amp;DATE(2025,9,1))</f>
        <v>38</v>
      </c>
      <c r="E15" s="7">
        <f t="shared" ref="E15:E23" si="6">LARGE($K$14:$K$32,$A15)</f>
        <v>9230.7762999999995</v>
      </c>
      <c r="J15" s="15" t="str">
        <f>Menu!A3</f>
        <v>HDPBHS</v>
      </c>
      <c r="K15" s="16">
        <f>SUMIFS(OrderLines!$I:$I, OrderLines!$B:$B, J15, OrderLines!$G:$G, "&gt;="&amp;DATE(2025,8,1), OrderLines!$G:$G, "&lt;"&amp;DATE(2025,9,1))</f>
        <v>9230.7762999999995</v>
      </c>
    </row>
    <row r="16" spans="1:11" x14ac:dyDescent="0.3">
      <c r="A16">
        <v>3</v>
      </c>
      <c r="B16" t="str">
        <f t="shared" si="5"/>
        <v>HH1DNM</v>
      </c>
      <c r="C16" t="str">
        <f>VLOOKUP(B16,Menu!$A:$B,2,FALSE())</f>
        <v>Egg Curry + Rice</v>
      </c>
      <c r="D16">
        <f>SUMIFS(OrderLines!$C:$C, OrderLines!$B:$B, B16, OrderLines!$G:$G, "&gt;="&amp;DATE(2025,8,1), OrderLines!$G:$G, "&lt;"&amp;DATE(2025,9,1))</f>
        <v>36</v>
      </c>
      <c r="E16" s="7">
        <f t="shared" si="6"/>
        <v>8283.3893999999982</v>
      </c>
      <c r="J16" s="15" t="str">
        <f>Menu!A4</f>
        <v>HUZZPQ</v>
      </c>
      <c r="K16" s="16">
        <f>SUMIFS(OrderLines!$I:$I, OrderLines!$B:$B, J16, OrderLines!$G:$G, "&gt;="&amp;DATE(2025,8,1), OrderLines!$G:$G, "&lt;"&amp;DATE(2025,9,1))</f>
        <v>6563.1120000000001</v>
      </c>
    </row>
    <row r="17" spans="1:11" x14ac:dyDescent="0.3">
      <c r="A17">
        <v>4</v>
      </c>
      <c r="B17" t="str">
        <f t="shared" si="5"/>
        <v>HUZZPQ</v>
      </c>
      <c r="C17" t="str">
        <f>VLOOKUP(B17,Menu!$A:$B,2,FALSE())</f>
        <v>Rajma Chawal</v>
      </c>
      <c r="D17">
        <f>SUMIFS(OrderLines!$C:$C, OrderLines!$B:$B, B17, OrderLines!$G:$G, "&gt;="&amp;DATE(2025,8,1), OrderLines!$G:$G, "&lt;"&amp;DATE(2025,9,1))</f>
        <v>48</v>
      </c>
      <c r="E17" s="7">
        <f t="shared" si="6"/>
        <v>6563.1120000000001</v>
      </c>
      <c r="J17" s="15" t="str">
        <f>Menu!A5</f>
        <v>H3A3ZM</v>
      </c>
      <c r="K17" s="16">
        <f>SUMIFS(OrderLines!$I:$I, OrderLines!$B:$B, J17, OrderLines!$G:$G, "&gt;="&amp;DATE(2025,8,1), OrderLines!$G:$G, "&lt;"&amp;DATE(2025,9,1))</f>
        <v>5927.8010000000004</v>
      </c>
    </row>
    <row r="18" spans="1:11" x14ac:dyDescent="0.3">
      <c r="A18">
        <v>5</v>
      </c>
      <c r="B18" t="str">
        <f t="shared" si="5"/>
        <v>H3A3ZM</v>
      </c>
      <c r="C18" t="str">
        <f>VLOOKUP(B18,Menu!$A:$B,2,FALSE())</f>
        <v>Paneer Butter Masala + Naan</v>
      </c>
      <c r="D18">
        <f>SUMIFS(OrderLines!$C:$C, OrderLines!$B:$B, B18, OrderLines!$G:$G, "&gt;="&amp;DATE(2025,8,1), OrderLines!$G:$G, "&lt;"&amp;DATE(2025,9,1))</f>
        <v>37</v>
      </c>
      <c r="E18" s="7">
        <f t="shared" si="6"/>
        <v>5927.8010000000004</v>
      </c>
      <c r="J18" s="15" t="str">
        <f>Menu!A6</f>
        <v>HH1DNM</v>
      </c>
      <c r="K18" s="16">
        <f>SUMIFS(OrderLines!$I:$I, OrderLines!$B:$B, J18, OrderLines!$G:$G, "&gt;="&amp;DATE(2025,8,1), OrderLines!$G:$G, "&lt;"&amp;DATE(2025,9,1))</f>
        <v>8283.3893999999982</v>
      </c>
    </row>
    <row r="19" spans="1:11" x14ac:dyDescent="0.3">
      <c r="A19">
        <v>6</v>
      </c>
      <c r="B19" t="str">
        <f t="shared" si="5"/>
        <v>D9T84A</v>
      </c>
      <c r="C19" t="str">
        <f>VLOOKUP(B19,Menu!$A:$B,2,FALSE())</f>
        <v>Brownie</v>
      </c>
      <c r="D19">
        <f>SUMIFS(OrderLines!$C:$C, OrderLines!$B:$B, B19, OrderLines!$G:$G, "&gt;="&amp;DATE(2025,8,1), OrderLines!$G:$G, "&lt;"&amp;DATE(2025,9,1))</f>
        <v>45</v>
      </c>
      <c r="E19" s="7">
        <f t="shared" si="6"/>
        <v>4925.4560000000001</v>
      </c>
      <c r="J19" s="15" t="str">
        <f>Menu!A7</f>
        <v>SV30T9</v>
      </c>
      <c r="K19" s="16">
        <f>SUMIFS(OrderLines!$I:$I, OrderLines!$B:$B, J19, OrderLines!$G:$G, "&gt;="&amp;DATE(2025,8,1), OrderLines!$G:$G, "&lt;"&amp;DATE(2025,9,1))</f>
        <v>1484.1425000000002</v>
      </c>
    </row>
    <row r="20" spans="1:11" x14ac:dyDescent="0.3">
      <c r="A20">
        <v>7</v>
      </c>
      <c r="B20" t="str">
        <f t="shared" si="5"/>
        <v>DH9SDB</v>
      </c>
      <c r="C20" t="str">
        <f>VLOOKUP(B20,Menu!$A:$B,2,FALSE())</f>
        <v>Gulab Jamun (2 pc)</v>
      </c>
      <c r="D20">
        <f>SUMIFS(OrderLines!$C:$C, OrderLines!$B:$B, B20, OrderLines!$G:$G, "&gt;="&amp;DATE(2025,8,1), OrderLines!$G:$G, "&lt;"&amp;DATE(2025,9,1))</f>
        <v>52</v>
      </c>
      <c r="E20" s="7">
        <f t="shared" si="6"/>
        <v>3714.9714999999992</v>
      </c>
      <c r="J20" s="15" t="str">
        <f>Menu!A8</f>
        <v>SCKW5N</v>
      </c>
      <c r="K20" s="16">
        <f>SUMIFS(OrderLines!$I:$I, OrderLines!$B:$B, J20, OrderLines!$G:$G, "&gt;="&amp;DATE(2025,8,1), OrderLines!$G:$G, "&lt;"&amp;DATE(2025,9,1))</f>
        <v>2910.4803999999995</v>
      </c>
    </row>
    <row r="21" spans="1:11" x14ac:dyDescent="0.3">
      <c r="A21">
        <v>8</v>
      </c>
      <c r="B21" t="str">
        <f t="shared" si="5"/>
        <v>SCKW5N</v>
      </c>
      <c r="C21" t="str">
        <f>VLOOKUP(B21,Menu!$A:$B,2,FALSE())</f>
        <v>Veg Sandwich</v>
      </c>
      <c r="D21">
        <f>SUMIFS(OrderLines!$C:$C, OrderLines!$B:$B, B21, OrderLines!$G:$G, "&gt;="&amp;DATE(2025,8,1), OrderLines!$G:$G, "&lt;"&amp;DATE(2025,9,1))</f>
        <v>44</v>
      </c>
      <c r="E21" s="7">
        <f t="shared" si="6"/>
        <v>2910.4803999999995</v>
      </c>
      <c r="J21" s="15" t="str">
        <f>Menu!A9</f>
        <v>SZBIKC</v>
      </c>
      <c r="K21" s="16">
        <f>SUMIFS(OrderLines!$I:$I, OrderLines!$B:$B, J21, OrderLines!$G:$G, "&gt;="&amp;DATE(2025,8,1), OrderLines!$G:$G, "&lt;"&amp;DATE(2025,9,1))</f>
        <v>1155.5016000000001</v>
      </c>
    </row>
    <row r="22" spans="1:11" x14ac:dyDescent="0.3">
      <c r="A22">
        <v>9</v>
      </c>
      <c r="B22" t="str">
        <f t="shared" si="5"/>
        <v>DFFYVN</v>
      </c>
      <c r="C22" t="str">
        <f>VLOOKUP(B22,Menu!$A:$B,2,FALSE())</f>
        <v>Kheer Cup</v>
      </c>
      <c r="D22">
        <f>SUMIFS(OrderLines!$C:$C, OrderLines!$B:$B, B22, OrderLines!$G:$G, "&gt;="&amp;DATE(2025,8,1), OrderLines!$G:$G, "&lt;"&amp;DATE(2025,9,1))</f>
        <v>46</v>
      </c>
      <c r="E22" s="7">
        <f t="shared" si="6"/>
        <v>2362.578</v>
      </c>
      <c r="J22" s="15" t="str">
        <f>Menu!A10</f>
        <v>S5NQ4F</v>
      </c>
      <c r="K22" s="16">
        <f>SUMIFS(OrderLines!$I:$I, OrderLines!$B:$B, J22, OrderLines!$G:$G, "&gt;="&amp;DATE(2025,8,1), OrderLines!$G:$G, "&lt;"&amp;DATE(2025,9,1))</f>
        <v>2318.7779999999998</v>
      </c>
    </row>
    <row r="23" spans="1:11" x14ac:dyDescent="0.3">
      <c r="A23">
        <v>10</v>
      </c>
      <c r="B23" t="str">
        <f t="shared" si="5"/>
        <v>S5NQ4F</v>
      </c>
      <c r="C23" t="str">
        <f>VLOOKUP(B23,Menu!$A:$B,2,FALSE())</f>
        <v>Masala Puff</v>
      </c>
      <c r="D23">
        <f>SUMIFS(OrderLines!$C:$C, OrderLines!$B:$B, B23, OrderLines!$G:$G, "&gt;="&amp;DATE(2025,8,1), OrderLines!$G:$G, "&lt;"&amp;DATE(2025,9,1))</f>
        <v>49</v>
      </c>
      <c r="E23" s="7">
        <f t="shared" si="6"/>
        <v>2318.7779999999998</v>
      </c>
      <c r="J23" s="15" t="str">
        <f>Menu!A11</f>
        <v>SHJ7XV</v>
      </c>
      <c r="K23" s="16">
        <f>SUMIFS(OrderLines!$I:$I, OrderLines!$B:$B, J23, OrderLines!$G:$G, "&gt;="&amp;DATE(2025,8,1), OrderLines!$G:$G, "&lt;"&amp;DATE(2025,9,1))</f>
        <v>1563.5345000000004</v>
      </c>
    </row>
    <row r="24" spans="1:11" x14ac:dyDescent="0.3">
      <c r="J24" s="15" t="str">
        <f>Menu!A12</f>
        <v>BTIQJ7</v>
      </c>
      <c r="K24" s="16">
        <f>SUMIFS(OrderLines!$I:$I, OrderLines!$B:$B, J24, OrderLines!$G:$G, "&gt;="&amp;DATE(2025,8,1), OrderLines!$G:$G, "&lt;"&amp;DATE(2025,9,1))</f>
        <v>1508.5048000000002</v>
      </c>
    </row>
    <row r="25" spans="1:11" x14ac:dyDescent="0.3">
      <c r="J25" s="15" t="str">
        <f>Menu!A13</f>
        <v>BHL1C3</v>
      </c>
      <c r="K25" s="16">
        <f>SUMIFS(OrderLines!$I:$I, OrderLines!$B:$B, J25, OrderLines!$G:$G, "&gt;="&amp;DATE(2025,8,1), OrderLines!$G:$G, "&lt;"&amp;DATE(2025,9,1))</f>
        <v>647.79600000000005</v>
      </c>
    </row>
    <row r="26" spans="1:11" x14ac:dyDescent="0.3">
      <c r="A26" s="4" t="s">
        <v>550</v>
      </c>
      <c r="J26" s="15" t="str">
        <f>Menu!A14</f>
        <v>BOC6UZ</v>
      </c>
      <c r="K26" s="16">
        <f>SUMIFS(OrderLines!$I:$I, OrderLines!$B:$B, J26, OrderLines!$G:$G, "&gt;="&amp;DATE(2025,8,1), OrderLines!$G:$G, "&lt;"&amp;DATE(2025,9,1))</f>
        <v>1432.6511999999998</v>
      </c>
    </row>
    <row r="27" spans="1:11" x14ac:dyDescent="0.3">
      <c r="J27" s="15" t="str">
        <f>Menu!A15</f>
        <v>BXO6QJ</v>
      </c>
      <c r="K27" s="16">
        <f>SUMIFS(OrderLines!$I:$I, OrderLines!$B:$B, J27, OrderLines!$G:$G, "&gt;="&amp;DATE(2025,8,1), OrderLines!$G:$G, "&lt;"&amp;DATE(2025,9,1))</f>
        <v>854.87610000000006</v>
      </c>
    </row>
    <row r="28" spans="1:11" x14ac:dyDescent="0.3">
      <c r="A28" s="18" t="s">
        <v>2</v>
      </c>
      <c r="B28" s="18" t="s">
        <v>547</v>
      </c>
      <c r="C28" s="18" t="s">
        <v>551</v>
      </c>
      <c r="D28" s="18" t="s">
        <v>552</v>
      </c>
      <c r="E28" s="18" t="s">
        <v>553</v>
      </c>
      <c r="J28" s="15" t="str">
        <f>Menu!A16</f>
        <v>B0T0PV</v>
      </c>
      <c r="K28" s="16">
        <f>SUMIFS(OrderLines!$I:$I, OrderLines!$B:$B, J28, OrderLines!$G:$G, "&gt;="&amp;DATE(2025,8,1), OrderLines!$G:$G, "&lt;"&amp;DATE(2025,9,1))</f>
        <v>1151.6993000000002</v>
      </c>
    </row>
    <row r="29" spans="1:11" x14ac:dyDescent="0.3">
      <c r="A29" t="s">
        <v>9</v>
      </c>
      <c r="B29" s="7">
        <f>SUMIFS(OrderLines!$I:$I, OrderLines!$H:$H, $A29)</f>
        <v>48982.146600000022</v>
      </c>
      <c r="C29">
        <f>SUMPRODUCT((OrderLines!$H$2:$H$925=$A29)*OrderLines!$C$2:$C$925*OrderLines!$E$2:$E$925)</f>
        <v>24001.279999999962</v>
      </c>
      <c r="D29" s="7">
        <f>B29-C29</f>
        <v>24980.866600000059</v>
      </c>
      <c r="E29" s="17">
        <f>IFERROR(D29/B29,0)</f>
        <v>0.50999942497416084</v>
      </c>
      <c r="J29" s="15" t="str">
        <f>Menu!A17</f>
        <v>DH9SDB</v>
      </c>
      <c r="K29" s="16">
        <f>SUMIFS(OrderLines!$I:$I, OrderLines!$B:$B, J29, OrderLines!$G:$G, "&gt;="&amp;DATE(2025,8,1), OrderLines!$G:$G, "&lt;"&amp;DATE(2025,9,1))</f>
        <v>3714.9714999999992</v>
      </c>
    </row>
    <row r="30" spans="1:11" x14ac:dyDescent="0.3">
      <c r="A30" t="s">
        <v>27</v>
      </c>
      <c r="B30" s="7">
        <f>SUMIFS(OrderLines!$I:$I, OrderLines!$H:$H, $A30)</f>
        <v>33249.291299999997</v>
      </c>
      <c r="C30">
        <f>SUMPRODUCT((OrderLines!$H$2:$H$925=$A30)*OrderLines!$C$2:$C$925*OrderLines!$E$2:$E$925)</f>
        <v>16720.52</v>
      </c>
      <c r="D30" s="7">
        <f t="shared" ref="D30:D31" si="7">B30-C30</f>
        <v>16528.771299999997</v>
      </c>
      <c r="E30" s="17">
        <f t="shared" ref="E30:E31" si="8">IFERROR(D30/B30,0)</f>
        <v>0.49711649944250086</v>
      </c>
      <c r="J30" s="15" t="str">
        <f>Menu!A18</f>
        <v>DFFYVN</v>
      </c>
      <c r="K30" s="16">
        <f>SUMIFS(OrderLines!$I:$I, OrderLines!$B:$B, J30, OrderLines!$G:$G, "&gt;="&amp;DATE(2025,8,1), OrderLines!$G:$G, "&lt;"&amp;DATE(2025,9,1))</f>
        <v>2362.578</v>
      </c>
    </row>
    <row r="31" spans="1:11" x14ac:dyDescent="0.3">
      <c r="A31" t="s">
        <v>15</v>
      </c>
      <c r="B31" s="7">
        <f>SUMIFS(OrderLines!$I:$I, OrderLines!$H:$H, $A31)</f>
        <v>50416.192700000007</v>
      </c>
      <c r="C31">
        <f>SUMPRODUCT((OrderLines!$H$2:$H$925=$A31)*OrderLines!$C$2:$C$925*OrderLines!$E$2:$E$925)</f>
        <v>24427.499999999982</v>
      </c>
      <c r="D31" s="7">
        <f t="shared" si="7"/>
        <v>25988.692700000025</v>
      </c>
      <c r="E31" s="17">
        <f t="shared" si="8"/>
        <v>0.51548304836592751</v>
      </c>
      <c r="J31" s="15" t="str">
        <f>Menu!A19</f>
        <v>D9T84A</v>
      </c>
      <c r="K31" s="16">
        <f>SUMIFS(OrderLines!$I:$I, OrderLines!$B:$B, J31, OrderLines!$G:$G, "&gt;="&amp;DATE(2025,8,1), OrderLines!$G:$G, "&lt;"&amp;DATE(2025,9,1))</f>
        <v>4925.4560000000001</v>
      </c>
    </row>
    <row r="32" spans="1:11" x14ac:dyDescent="0.3">
      <c r="J32" s="15" t="str">
        <f>Menu!A20</f>
        <v>DYTJXE</v>
      </c>
      <c r="K32" s="16">
        <f>SUMIFS(OrderLines!$I:$I, OrderLines!$B:$B, J32, OrderLines!$G:$G, "&gt;="&amp;DATE(2025,8,1), OrderLines!$G:$G, "&lt;"&amp;DATE(2025,9,1))</f>
        <v>2202.3312999999998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Orders</vt:lpstr>
      <vt:lpstr>OrderLines</vt:lpstr>
      <vt:lpstr>Menu</vt:lpstr>
      <vt:lpstr>Staff</vt:lpstr>
      <vt:lpstr>Inventory</vt:lpstr>
      <vt:lpstr>Suppliers</vt:lpstr>
      <vt:lpstr>WasteLog</vt:lpstr>
      <vt:lpstr>Feedback</vt:lpstr>
      <vt:lpstr>KPI Calculations (Day 2)</vt:lpstr>
      <vt:lpstr>Gross Margin Analysis (Day 4 )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lastModifiedBy>Sayan Saha</cp:lastModifiedBy>
  <dcterms:created xsi:type="dcterms:W3CDTF">2026-06-17T12:42:05Z</dcterms:created>
  <dcterms:modified xsi:type="dcterms:W3CDTF">2026-06-24T07:45:39Z</dcterms:modified>
</cp:coreProperties>
</file>